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lton.netta\py\"/>
    </mc:Choice>
  </mc:AlternateContent>
  <xr:revisionPtr revIDLastSave="0" documentId="13_ncr:1_{68B5EFD0-4F27-4F6E-A344-53D96DC53E98}" xr6:coauthVersionLast="47" xr6:coauthVersionMax="47" xr10:uidLastSave="{00000000-0000-0000-0000-000000000000}"/>
  <bookViews>
    <workbookView xWindow="390" yWindow="390" windowWidth="25965" windowHeight="14235" activeTab="5" xr2:uid="{00000000-000D-0000-FFFF-FFFF00000000}"/>
  </bookViews>
  <sheets>
    <sheet name="S" sheetId="5" r:id="rId1"/>
    <sheet name="Static" sheetId="14" r:id="rId2"/>
    <sheet name="Summary" sheetId="6" r:id="rId3"/>
    <sheet name="Glbl Expsr" sheetId="7" r:id="rId4"/>
    <sheet name="Data" sheetId="8" r:id="rId5"/>
    <sheet name="Deltas" sheetId="9" r:id="rId6"/>
    <sheet name="BM" sheetId="1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_xlnm._FilterDatabase" localSheetId="6" hidden="1">BM!$A$1:$E$2647</definedName>
    <definedName name="_xlnm._FilterDatabase" localSheetId="4" hidden="1">Data!$A$1:$AA$136</definedName>
    <definedName name="_xlnm._FilterDatabase" localSheetId="0" hidden="1">S!$A$1:$P$76</definedName>
    <definedName name="Hols">Static!$A$1:$A$29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14" l="1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N4" i="5"/>
  <c r="M4" i="5"/>
  <c r="L4" i="5"/>
  <c r="K4" i="5"/>
  <c r="J4" i="5"/>
  <c r="I4" i="5"/>
  <c r="H4" i="5"/>
  <c r="G4" i="5"/>
  <c r="F4" i="5"/>
  <c r="E4" i="5"/>
  <c r="D4" i="5"/>
  <c r="C4" i="5"/>
  <c r="B4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N2" i="5"/>
  <c r="M2" i="5"/>
  <c r="L2" i="5"/>
  <c r="K2" i="5"/>
  <c r="J2" i="5"/>
  <c r="I2" i="5"/>
  <c r="H2" i="5"/>
  <c r="G2" i="5"/>
  <c r="F2" i="5"/>
  <c r="E2" i="5"/>
  <c r="D2" i="5"/>
  <c r="C2" i="5"/>
  <c r="B2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5" i="5"/>
  <c r="M5" i="5"/>
  <c r="L5" i="5"/>
  <c r="K5" i="5"/>
  <c r="J5" i="5"/>
  <c r="I5" i="5"/>
  <c r="H5" i="5"/>
  <c r="G5" i="5"/>
  <c r="F5" i="5"/>
  <c r="E5" i="5"/>
  <c r="D5" i="5"/>
  <c r="C5" i="5"/>
  <c r="B5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N3" i="5"/>
  <c r="M3" i="5"/>
  <c r="L3" i="5"/>
  <c r="K3" i="5"/>
  <c r="J3" i="5"/>
  <c r="I3" i="5"/>
  <c r="H3" i="5"/>
  <c r="G3" i="5"/>
  <c r="F3" i="5"/>
  <c r="E3" i="5"/>
  <c r="D3" i="5"/>
  <c r="C3" i="5"/>
  <c r="B3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N8" i="5"/>
  <c r="M8" i="5"/>
  <c r="L8" i="5"/>
  <c r="K8" i="5"/>
  <c r="J8" i="5"/>
  <c r="I8" i="5"/>
  <c r="H8" i="5"/>
  <c r="G8" i="5"/>
  <c r="F8" i="5"/>
  <c r="E8" i="5"/>
  <c r="D8" i="5"/>
  <c r="C8" i="5"/>
  <c r="B8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7" i="5"/>
  <c r="M7" i="5"/>
  <c r="L7" i="5"/>
  <c r="K7" i="5"/>
  <c r="J7" i="5"/>
  <c r="I7" i="5"/>
  <c r="H7" i="5"/>
  <c r="G7" i="5"/>
  <c r="F7" i="5"/>
  <c r="E7" i="5"/>
  <c r="D7" i="5"/>
  <c r="C7" i="5"/>
  <c r="B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N6" i="5"/>
  <c r="M6" i="5"/>
  <c r="L6" i="5"/>
  <c r="K6" i="5"/>
  <c r="J6" i="5"/>
  <c r="I6" i="5"/>
  <c r="H6" i="5"/>
  <c r="G6" i="5"/>
  <c r="F6" i="5"/>
  <c r="E6" i="5"/>
  <c r="D6" i="5"/>
  <c r="C6" i="5"/>
  <c r="B6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S1" i="8"/>
  <c r="I22" i="6" l="1"/>
  <c r="H22" i="6"/>
  <c r="I19" i="6"/>
  <c r="H19" i="6"/>
  <c r="I16" i="6"/>
  <c r="H16" i="6"/>
  <c r="I13" i="6"/>
  <c r="J13" i="6" s="1" a="1"/>
  <c r="J13" i="6" s="1"/>
  <c r="H13" i="6"/>
  <c r="I10" i="6" a="1"/>
  <c r="I10" i="6" s="1"/>
  <c r="H10" i="6" a="1"/>
  <c r="H10" i="6" s="1"/>
  <c r="I7" i="6" a="1"/>
  <c r="I7" i="6" s="1"/>
  <c r="H7" i="6" a="1"/>
  <c r="H7" i="6" s="1"/>
  <c r="I4" i="6" a="1"/>
  <c r="I4" i="6" s="1"/>
  <c r="H4" i="6" a="1"/>
  <c r="H4" i="6" s="1"/>
  <c r="I1" i="6" a="1"/>
  <c r="I1" i="6" s="1"/>
  <c r="H1" i="6" a="1"/>
  <c r="H1" i="6" s="1"/>
  <c r="C78" i="6" a="1"/>
  <c r="C78" i="6" s="1"/>
  <c r="B78" i="6" a="1"/>
  <c r="B78" i="6" s="1"/>
  <c r="A78" i="6" a="1"/>
  <c r="A78" i="6" s="1"/>
  <c r="C77" i="6" a="1"/>
  <c r="C77" i="6" s="1"/>
  <c r="B77" i="6" a="1"/>
  <c r="B77" i="6" s="1"/>
  <c r="A77" i="6" a="1"/>
  <c r="A77" i="6" s="1"/>
  <c r="C71" i="6" a="1"/>
  <c r="C71" i="6" s="1"/>
  <c r="B71" i="6" a="1"/>
  <c r="B71" i="6" s="1"/>
  <c r="A71" i="6" a="1"/>
  <c r="A71" i="6" s="1"/>
  <c r="C70" i="6" a="1"/>
  <c r="C70" i="6" s="1"/>
  <c r="B70" i="6" a="1"/>
  <c r="B70" i="6" s="1"/>
  <c r="A70" i="6" a="1"/>
  <c r="A70" i="6" s="1"/>
  <c r="C67" i="6" a="1"/>
  <c r="C67" i="6" s="1"/>
  <c r="B67" i="6" a="1"/>
  <c r="B67" i="6" s="1"/>
  <c r="A67" i="6" a="1"/>
  <c r="A67" i="6" s="1"/>
  <c r="C66" i="6" a="1"/>
  <c r="C66" i="6" s="1"/>
  <c r="B66" i="6" a="1"/>
  <c r="B66" i="6" s="1"/>
  <c r="A66" i="6" a="1"/>
  <c r="A66" i="6" s="1"/>
  <c r="C65" i="6" a="1"/>
  <c r="C65" i="6" s="1"/>
  <c r="B65" i="6" a="1"/>
  <c r="B65" i="6" s="1"/>
  <c r="A65" i="6" a="1"/>
  <c r="A65" i="6" s="1"/>
  <c r="C64" i="6" a="1"/>
  <c r="C64" i="6" s="1"/>
  <c r="B64" i="6" a="1"/>
  <c r="B64" i="6" s="1"/>
  <c r="A64" i="6" a="1"/>
  <c r="A64" i="6" s="1"/>
  <c r="C61" i="6" a="1"/>
  <c r="C61" i="6" s="1"/>
  <c r="B61" i="6" a="1"/>
  <c r="B61" i="6" s="1"/>
  <c r="A61" i="6" a="1"/>
  <c r="A61" i="6" s="1"/>
  <c r="C60" i="6" a="1"/>
  <c r="C60" i="6" s="1"/>
  <c r="B60" i="6" a="1"/>
  <c r="B60" i="6" s="1"/>
  <c r="A60" i="6" a="1"/>
  <c r="A60" i="6" s="1"/>
  <c r="C59" i="6" a="1"/>
  <c r="C59" i="6" s="1"/>
  <c r="B59" i="6" a="1"/>
  <c r="B59" i="6" s="1"/>
  <c r="A59" i="6" a="1"/>
  <c r="A59" i="6" s="1"/>
  <c r="C58" i="6" a="1"/>
  <c r="C58" i="6" s="1"/>
  <c r="B58" i="6" a="1"/>
  <c r="B58" i="6" s="1"/>
  <c r="A58" i="6" a="1"/>
  <c r="A58" i="6" s="1"/>
  <c r="C57" i="6" a="1"/>
  <c r="C57" i="6" s="1"/>
  <c r="B57" i="6" a="1"/>
  <c r="B57" i="6" s="1"/>
  <c r="C46" i="6" a="1"/>
  <c r="C46" i="6" s="1"/>
  <c r="B46" i="6" a="1"/>
  <c r="B46" i="6" s="1"/>
  <c r="B19" i="6" a="1"/>
  <c r="B19" i="6" s="1"/>
  <c r="B18" i="6" a="1"/>
  <c r="B18" i="6" s="1"/>
  <c r="F1" i="7"/>
  <c r="C69" i="6" l="1"/>
  <c r="C76" i="6"/>
  <c r="J16" i="6" a="1"/>
  <c r="J16" i="6" s="1"/>
  <c r="K16" i="6" s="1" a="1"/>
  <c r="K16" i="6" s="1"/>
  <c r="K17" i="6" s="1"/>
  <c r="J7" i="6" a="1"/>
  <c r="J7" i="6" s="1"/>
  <c r="J22" i="6" a="1"/>
  <c r="J22" i="6" s="1"/>
  <c r="K22" i="6" s="1" a="1"/>
  <c r="K22" i="6" s="1"/>
  <c r="L22" i="6" s="1" a="1"/>
  <c r="L22" i="6" s="1"/>
  <c r="J1" i="6" a="1"/>
  <c r="J1" i="6" s="1"/>
  <c r="J4" i="6" a="1"/>
  <c r="J4" i="6" s="1"/>
  <c r="J10" i="6" a="1"/>
  <c r="J10" i="6" s="1"/>
  <c r="K13" i="6" a="1"/>
  <c r="K13" i="6" s="1"/>
  <c r="L13" i="6" s="1" a="1"/>
  <c r="L13" i="6" s="1"/>
  <c r="J19" i="6" a="1"/>
  <c r="J19" i="6" s="1"/>
  <c r="B69" i="6"/>
  <c r="B63" i="6"/>
  <c r="C63" i="6"/>
  <c r="C56" i="6"/>
  <c r="B76" i="6"/>
  <c r="B56" i="6"/>
  <c r="G3" i="6"/>
  <c r="C73" i="6" l="1"/>
  <c r="C54" i="6"/>
  <c r="K7" i="6" a="1"/>
  <c r="K7" i="6" s="1"/>
  <c r="K8" i="6" s="1"/>
  <c r="L16" i="6" a="1"/>
  <c r="L16" i="6" s="1"/>
  <c r="M16" i="6" s="1" a="1"/>
  <c r="M16" i="6" s="1"/>
  <c r="M17" i="6" s="1"/>
  <c r="B73" i="6"/>
  <c r="B54" i="6" s="1"/>
  <c r="M22" i="6" a="1"/>
  <c r="M22" i="6" s="1"/>
  <c r="M13" i="6" a="1"/>
  <c r="M13" i="6" s="1"/>
  <c r="K1" i="6" a="1"/>
  <c r="K1" i="6" s="1"/>
  <c r="K4" i="6" a="1"/>
  <c r="K4" i="6" s="1"/>
  <c r="K10" i="6" a="1"/>
  <c r="K10" i="6" s="1"/>
  <c r="K19" i="6" a="1"/>
  <c r="K19" i="6" s="1"/>
  <c r="G52" i="7" a="1"/>
  <c r="G52" i="7" s="1"/>
  <c r="G1" i="7" a="1"/>
  <c r="G1" i="7" s="1"/>
  <c r="L17" i="6" l="1"/>
  <c r="L7" i="6" a="1"/>
  <c r="L7" i="6" s="1"/>
  <c r="L8" i="6" s="1"/>
  <c r="N16" i="6" a="1"/>
  <c r="N16" i="6" s="1"/>
  <c r="N17" i="6" s="1"/>
  <c r="M14" i="6"/>
  <c r="N13" i="6" a="1"/>
  <c r="N13" i="6" s="1"/>
  <c r="L1" i="6" a="1"/>
  <c r="L1" i="6" s="1"/>
  <c r="K11" i="6"/>
  <c r="L4" i="6" a="1"/>
  <c r="L4" i="6" s="1"/>
  <c r="K5" i="6"/>
  <c r="L19" i="6" a="1"/>
  <c r="L19" i="6" s="1"/>
  <c r="L10" i="6" a="1"/>
  <c r="L10" i="6" s="1"/>
  <c r="N22" i="6" a="1"/>
  <c r="N22" i="6" s="1"/>
  <c r="E2647" i="13"/>
  <c r="E2646" i="13"/>
  <c r="E2645" i="13"/>
  <c r="E2644" i="13"/>
  <c r="E2643" i="13"/>
  <c r="E2642" i="13"/>
  <c r="E2641" i="13"/>
  <c r="E2640" i="13"/>
  <c r="E2639" i="13"/>
  <c r="E2638" i="13"/>
  <c r="E2637" i="13"/>
  <c r="E2636" i="13"/>
  <c r="E2635" i="13"/>
  <c r="E2634" i="13"/>
  <c r="E2633" i="13"/>
  <c r="E2632" i="13"/>
  <c r="E2631" i="13"/>
  <c r="E2630" i="13"/>
  <c r="E2629" i="13"/>
  <c r="E2628" i="13"/>
  <c r="E2627" i="13"/>
  <c r="E2626" i="13"/>
  <c r="E2625" i="13"/>
  <c r="E2624" i="13"/>
  <c r="E2623" i="13"/>
  <c r="E2622" i="13"/>
  <c r="E2621" i="13"/>
  <c r="E2620" i="13"/>
  <c r="E2619" i="13"/>
  <c r="E2618" i="13"/>
  <c r="E2617" i="13"/>
  <c r="E2616" i="13"/>
  <c r="E2615" i="13"/>
  <c r="E2614" i="13"/>
  <c r="E2613" i="13"/>
  <c r="E2612" i="13"/>
  <c r="E2611" i="13"/>
  <c r="E2610" i="13"/>
  <c r="E2609" i="13"/>
  <c r="E2608" i="13"/>
  <c r="E2607" i="13"/>
  <c r="E2606" i="13"/>
  <c r="E2605" i="13"/>
  <c r="E2604" i="13"/>
  <c r="E2603" i="13"/>
  <c r="E2602" i="13"/>
  <c r="E2601" i="13"/>
  <c r="E2600" i="13"/>
  <c r="E2599" i="13"/>
  <c r="E2598" i="13"/>
  <c r="E2597" i="13"/>
  <c r="E2596" i="13"/>
  <c r="E2595" i="13"/>
  <c r="E2594" i="13"/>
  <c r="E2593" i="13"/>
  <c r="E2592" i="13"/>
  <c r="E2591" i="13"/>
  <c r="E2590" i="13"/>
  <c r="E2589" i="13"/>
  <c r="E2588" i="13"/>
  <c r="E2587" i="13"/>
  <c r="E2586" i="13"/>
  <c r="E2585" i="13"/>
  <c r="E2584" i="13"/>
  <c r="E2583" i="13"/>
  <c r="E2582" i="13"/>
  <c r="E2581" i="13"/>
  <c r="E2580" i="13"/>
  <c r="E2579" i="13"/>
  <c r="E2578" i="13"/>
  <c r="E2577" i="13"/>
  <c r="E2576" i="13"/>
  <c r="E2575" i="13"/>
  <c r="E2574" i="13"/>
  <c r="E2573" i="13"/>
  <c r="E2572" i="13"/>
  <c r="E2571" i="13"/>
  <c r="E2570" i="13"/>
  <c r="E2569" i="13"/>
  <c r="E2568" i="13"/>
  <c r="E2567" i="13"/>
  <c r="E2566" i="13"/>
  <c r="E2565" i="13"/>
  <c r="E2564" i="13"/>
  <c r="E2563" i="13"/>
  <c r="E2562" i="13"/>
  <c r="E2561" i="13"/>
  <c r="E2560" i="13"/>
  <c r="E2559" i="13"/>
  <c r="E2558" i="13"/>
  <c r="E2557" i="13"/>
  <c r="E2556" i="13"/>
  <c r="E2555" i="13"/>
  <c r="E2554" i="13"/>
  <c r="E2553" i="13"/>
  <c r="E2552" i="13"/>
  <c r="E2551" i="13"/>
  <c r="E2550" i="13"/>
  <c r="E2549" i="13"/>
  <c r="E2548" i="13"/>
  <c r="E2547" i="13"/>
  <c r="E2546" i="13"/>
  <c r="E2545" i="13"/>
  <c r="E2544" i="13"/>
  <c r="E2543" i="13"/>
  <c r="E2542" i="13"/>
  <c r="E2541" i="13"/>
  <c r="E2540" i="13"/>
  <c r="E2539" i="13"/>
  <c r="E2538" i="13"/>
  <c r="E2537" i="13"/>
  <c r="E2536" i="13"/>
  <c r="E2535" i="13"/>
  <c r="E2534" i="13"/>
  <c r="E2533" i="13"/>
  <c r="E2532" i="13"/>
  <c r="E2531" i="13"/>
  <c r="E2530" i="13"/>
  <c r="E2529" i="13"/>
  <c r="E2528" i="13"/>
  <c r="E2527" i="13"/>
  <c r="E2526" i="13"/>
  <c r="E2525" i="13"/>
  <c r="E2524" i="13"/>
  <c r="E2523" i="13"/>
  <c r="E2522" i="13"/>
  <c r="E2521" i="13"/>
  <c r="E2520" i="13"/>
  <c r="E2519" i="13"/>
  <c r="E2518" i="13"/>
  <c r="E2517" i="13"/>
  <c r="E2516" i="13"/>
  <c r="E2515" i="13"/>
  <c r="E2514" i="13"/>
  <c r="E2513" i="13"/>
  <c r="E2512" i="13"/>
  <c r="E2511" i="13"/>
  <c r="E2510" i="13"/>
  <c r="E2509" i="13"/>
  <c r="E2508" i="13"/>
  <c r="E2507" i="13"/>
  <c r="E2506" i="13"/>
  <c r="E2505" i="13"/>
  <c r="E2504" i="13"/>
  <c r="E2503" i="13"/>
  <c r="E2502" i="13"/>
  <c r="E2501" i="13"/>
  <c r="E2500" i="13"/>
  <c r="E2499" i="13"/>
  <c r="E2498" i="13"/>
  <c r="E2497" i="13"/>
  <c r="E2496" i="13"/>
  <c r="E2495" i="13"/>
  <c r="E2494" i="13"/>
  <c r="E2493" i="13"/>
  <c r="E2492" i="13"/>
  <c r="E2491" i="13"/>
  <c r="E2490" i="13"/>
  <c r="E2489" i="13"/>
  <c r="E2488" i="13"/>
  <c r="E2487" i="13"/>
  <c r="E2486" i="13"/>
  <c r="E2485" i="13"/>
  <c r="E2484" i="13"/>
  <c r="E2483" i="13"/>
  <c r="E2482" i="13"/>
  <c r="E2481" i="13"/>
  <c r="E2480" i="13"/>
  <c r="E2479" i="13"/>
  <c r="E2478" i="13"/>
  <c r="E2477" i="13"/>
  <c r="E2476" i="13"/>
  <c r="E2475" i="13"/>
  <c r="E2474" i="13"/>
  <c r="E2473" i="13"/>
  <c r="E2472" i="13"/>
  <c r="E2471" i="13"/>
  <c r="E2470" i="13"/>
  <c r="E2469" i="13"/>
  <c r="E2468" i="13"/>
  <c r="E2467" i="13"/>
  <c r="E2466" i="13"/>
  <c r="E2465" i="13"/>
  <c r="E2464" i="13"/>
  <c r="E2463" i="13"/>
  <c r="E2462" i="13"/>
  <c r="E2461" i="13"/>
  <c r="E2460" i="13"/>
  <c r="E2459" i="13"/>
  <c r="E2458" i="13"/>
  <c r="E2457" i="13"/>
  <c r="E2456" i="13"/>
  <c r="E2455" i="13"/>
  <c r="E2454" i="13"/>
  <c r="E2453" i="13"/>
  <c r="E2452" i="13"/>
  <c r="E2451" i="13"/>
  <c r="E2450" i="13"/>
  <c r="E2449" i="13"/>
  <c r="E2448" i="13"/>
  <c r="E2447" i="13"/>
  <c r="E2446" i="13"/>
  <c r="E2445" i="13"/>
  <c r="E2444" i="13"/>
  <c r="E2443" i="13"/>
  <c r="E2442" i="13"/>
  <c r="E2441" i="13"/>
  <c r="E2440" i="13"/>
  <c r="E2439" i="13"/>
  <c r="E2438" i="13"/>
  <c r="E2437" i="13"/>
  <c r="E2436" i="13"/>
  <c r="E2435" i="13"/>
  <c r="E2434" i="13"/>
  <c r="E2433" i="13"/>
  <c r="E2432" i="13"/>
  <c r="E2431" i="13"/>
  <c r="E2430" i="13"/>
  <c r="E2429" i="13"/>
  <c r="E2428" i="13"/>
  <c r="E2427" i="13"/>
  <c r="E2426" i="13"/>
  <c r="E2425" i="13"/>
  <c r="E2424" i="13"/>
  <c r="E2423" i="13"/>
  <c r="E2422" i="13"/>
  <c r="E2421" i="13"/>
  <c r="E2420" i="13"/>
  <c r="E2419" i="13"/>
  <c r="E2418" i="13"/>
  <c r="E2417" i="13"/>
  <c r="E2416" i="13"/>
  <c r="E2415" i="13"/>
  <c r="E2414" i="13"/>
  <c r="E2413" i="13"/>
  <c r="E2412" i="13"/>
  <c r="E2411" i="13"/>
  <c r="E2410" i="13"/>
  <c r="E2409" i="13"/>
  <c r="E2408" i="13"/>
  <c r="E2407" i="13"/>
  <c r="E2406" i="13"/>
  <c r="E2405" i="13"/>
  <c r="E2404" i="13"/>
  <c r="E2403" i="13"/>
  <c r="E2402" i="13"/>
  <c r="E2401" i="13"/>
  <c r="E2400" i="13"/>
  <c r="E2399" i="13"/>
  <c r="E2398" i="13"/>
  <c r="E2397" i="13"/>
  <c r="E2396" i="13"/>
  <c r="E2395" i="13"/>
  <c r="E2394" i="13"/>
  <c r="E2393" i="13"/>
  <c r="E2392" i="13"/>
  <c r="E2391" i="13"/>
  <c r="E2390" i="13"/>
  <c r="E2389" i="13"/>
  <c r="E2388" i="13"/>
  <c r="E2387" i="13"/>
  <c r="E2386" i="13"/>
  <c r="E2385" i="13"/>
  <c r="E2384" i="13"/>
  <c r="E2383" i="13"/>
  <c r="E2382" i="13"/>
  <c r="E2381" i="13"/>
  <c r="E2380" i="13"/>
  <c r="E2379" i="13"/>
  <c r="E2378" i="13"/>
  <c r="E2377" i="13"/>
  <c r="E2376" i="13"/>
  <c r="E2375" i="13"/>
  <c r="E2374" i="13"/>
  <c r="E2373" i="13"/>
  <c r="E2372" i="13"/>
  <c r="E2371" i="13"/>
  <c r="E2370" i="13"/>
  <c r="E2369" i="13"/>
  <c r="E2368" i="13"/>
  <c r="E2367" i="13"/>
  <c r="E2366" i="13"/>
  <c r="E2365" i="13"/>
  <c r="E2364" i="13"/>
  <c r="E2363" i="13"/>
  <c r="E2362" i="13"/>
  <c r="E2361" i="13"/>
  <c r="E2360" i="13"/>
  <c r="E2359" i="13"/>
  <c r="E2358" i="13"/>
  <c r="E2357" i="13"/>
  <c r="E2356" i="13"/>
  <c r="E2355" i="13"/>
  <c r="E2354" i="13"/>
  <c r="E2353" i="13"/>
  <c r="E2352" i="13"/>
  <c r="E2351" i="13"/>
  <c r="E2350" i="13"/>
  <c r="E2349" i="13"/>
  <c r="E2348" i="13"/>
  <c r="E2347" i="13"/>
  <c r="E2346" i="13"/>
  <c r="E2345" i="13"/>
  <c r="E2344" i="13"/>
  <c r="E2343" i="13"/>
  <c r="E2342" i="13"/>
  <c r="E2341" i="13"/>
  <c r="E2340" i="13"/>
  <c r="E2339" i="13"/>
  <c r="E2338" i="13"/>
  <c r="E2337" i="13"/>
  <c r="E2336" i="13"/>
  <c r="E2335" i="13"/>
  <c r="E2334" i="13"/>
  <c r="E2333" i="13"/>
  <c r="E2332" i="13"/>
  <c r="E2331" i="13"/>
  <c r="E2330" i="13"/>
  <c r="E2329" i="13"/>
  <c r="E2328" i="13"/>
  <c r="E2327" i="13"/>
  <c r="E2326" i="13"/>
  <c r="E2325" i="13"/>
  <c r="E2324" i="13"/>
  <c r="E2323" i="13"/>
  <c r="E2322" i="13"/>
  <c r="E2321" i="13"/>
  <c r="E2320" i="13"/>
  <c r="E2319" i="13"/>
  <c r="E2318" i="13"/>
  <c r="E2317" i="13"/>
  <c r="E2316" i="13"/>
  <c r="E2315" i="13"/>
  <c r="E2314" i="13"/>
  <c r="E2313" i="13"/>
  <c r="E2312" i="13"/>
  <c r="E2311" i="13"/>
  <c r="E2310" i="13"/>
  <c r="E2309" i="13"/>
  <c r="E2308" i="13"/>
  <c r="E2307" i="13"/>
  <c r="E2306" i="13"/>
  <c r="E2305" i="13"/>
  <c r="E2304" i="13"/>
  <c r="E2303" i="13"/>
  <c r="E2302" i="13"/>
  <c r="E2301" i="13"/>
  <c r="E2300" i="13"/>
  <c r="E2299" i="13"/>
  <c r="E2298" i="13"/>
  <c r="E2297" i="13"/>
  <c r="E2296" i="13"/>
  <c r="E2295" i="13"/>
  <c r="E2294" i="13"/>
  <c r="E2293" i="13"/>
  <c r="E2292" i="13"/>
  <c r="E2291" i="13"/>
  <c r="E2290" i="13"/>
  <c r="E2289" i="13"/>
  <c r="E2288" i="13"/>
  <c r="E2287" i="13"/>
  <c r="E2286" i="13"/>
  <c r="E2285" i="13"/>
  <c r="E2284" i="13"/>
  <c r="E2283" i="13"/>
  <c r="E2282" i="13"/>
  <c r="E2281" i="13"/>
  <c r="E2280" i="13"/>
  <c r="E2279" i="13"/>
  <c r="E2278" i="13"/>
  <c r="E2277" i="13"/>
  <c r="E2276" i="13"/>
  <c r="E2275" i="13"/>
  <c r="E2274" i="13"/>
  <c r="E2273" i="13"/>
  <c r="E2272" i="13"/>
  <c r="E2271" i="13"/>
  <c r="E2270" i="13"/>
  <c r="E2269" i="13"/>
  <c r="E2268" i="13"/>
  <c r="E2267" i="13"/>
  <c r="E2266" i="13"/>
  <c r="E2265" i="13"/>
  <c r="E2264" i="13"/>
  <c r="E2263" i="13"/>
  <c r="E2262" i="13"/>
  <c r="E2261" i="13"/>
  <c r="E2260" i="13"/>
  <c r="E2259" i="13"/>
  <c r="E2258" i="13"/>
  <c r="E2257" i="13"/>
  <c r="E2256" i="13"/>
  <c r="E2255" i="13"/>
  <c r="E2254" i="13"/>
  <c r="E2253" i="13"/>
  <c r="E2252" i="13"/>
  <c r="E2251" i="13"/>
  <c r="E2250" i="13"/>
  <c r="E2249" i="13"/>
  <c r="E2248" i="13"/>
  <c r="E2247" i="13"/>
  <c r="E2246" i="13"/>
  <c r="E2245" i="13"/>
  <c r="E2244" i="13"/>
  <c r="E2243" i="13"/>
  <c r="E2242" i="13"/>
  <c r="E2241" i="13"/>
  <c r="E2240" i="13"/>
  <c r="E2239" i="13"/>
  <c r="E2238" i="13"/>
  <c r="E2237" i="13"/>
  <c r="E2236" i="13"/>
  <c r="E2235" i="13"/>
  <c r="E2234" i="13"/>
  <c r="E2233" i="13"/>
  <c r="E2232" i="13"/>
  <c r="E2231" i="13"/>
  <c r="E2230" i="13"/>
  <c r="E2229" i="13"/>
  <c r="E2228" i="13"/>
  <c r="E2227" i="13"/>
  <c r="E2226" i="13"/>
  <c r="E2225" i="13"/>
  <c r="E2224" i="13"/>
  <c r="E2223" i="13"/>
  <c r="E2222" i="13"/>
  <c r="E2221" i="13"/>
  <c r="E2220" i="13"/>
  <c r="E2219" i="13"/>
  <c r="E2218" i="13"/>
  <c r="E2217" i="13"/>
  <c r="E2216" i="13"/>
  <c r="E2215" i="13"/>
  <c r="E2214" i="13"/>
  <c r="E2213" i="13"/>
  <c r="E2212" i="13"/>
  <c r="E2211" i="13"/>
  <c r="E2210" i="13"/>
  <c r="E2209" i="13"/>
  <c r="E2208" i="13"/>
  <c r="E2207" i="13"/>
  <c r="E2206" i="13"/>
  <c r="E2205" i="13"/>
  <c r="E2204" i="13"/>
  <c r="E2203" i="13"/>
  <c r="E2202" i="13"/>
  <c r="E2201" i="13"/>
  <c r="E2200" i="13"/>
  <c r="E2199" i="13"/>
  <c r="E2198" i="13"/>
  <c r="E2197" i="13"/>
  <c r="E2196" i="13"/>
  <c r="E2195" i="13"/>
  <c r="E2194" i="13"/>
  <c r="E2193" i="13"/>
  <c r="E2192" i="13"/>
  <c r="E2191" i="13"/>
  <c r="E2190" i="13"/>
  <c r="E2189" i="13"/>
  <c r="E2188" i="13"/>
  <c r="E2187" i="13"/>
  <c r="E2186" i="13"/>
  <c r="E2185" i="13"/>
  <c r="E2184" i="13"/>
  <c r="E2183" i="13"/>
  <c r="E2182" i="13"/>
  <c r="E2181" i="13"/>
  <c r="E2180" i="13"/>
  <c r="E2179" i="13"/>
  <c r="E2178" i="13"/>
  <c r="E2177" i="13"/>
  <c r="E2176" i="13"/>
  <c r="E2175" i="13"/>
  <c r="E2174" i="13"/>
  <c r="E2173" i="13"/>
  <c r="E2172" i="13"/>
  <c r="E2171" i="13"/>
  <c r="E2170" i="13"/>
  <c r="E2169" i="13"/>
  <c r="E2168" i="13"/>
  <c r="E2167" i="13"/>
  <c r="E2166" i="13"/>
  <c r="E2165" i="13"/>
  <c r="E2164" i="13"/>
  <c r="E2163" i="13"/>
  <c r="E2162" i="13"/>
  <c r="E2161" i="13"/>
  <c r="E2160" i="13"/>
  <c r="E2159" i="13"/>
  <c r="E2158" i="13"/>
  <c r="E2157" i="13"/>
  <c r="E2156" i="13"/>
  <c r="E2155" i="13"/>
  <c r="E2154" i="13"/>
  <c r="E2153" i="13"/>
  <c r="E2152" i="13"/>
  <c r="E2151" i="13"/>
  <c r="E2150" i="13"/>
  <c r="E2149" i="13"/>
  <c r="E2148" i="13"/>
  <c r="E2147" i="13"/>
  <c r="E2146" i="13"/>
  <c r="E2145" i="13"/>
  <c r="E2144" i="13"/>
  <c r="E2143" i="13"/>
  <c r="E2142" i="13"/>
  <c r="E2141" i="13"/>
  <c r="E2140" i="13"/>
  <c r="E2139" i="13"/>
  <c r="E2138" i="13"/>
  <c r="E2137" i="13"/>
  <c r="E2136" i="13"/>
  <c r="E2135" i="13"/>
  <c r="E2134" i="13"/>
  <c r="E2133" i="13"/>
  <c r="E2132" i="13"/>
  <c r="E2131" i="13"/>
  <c r="E2130" i="13"/>
  <c r="E2129" i="13"/>
  <c r="E2128" i="13"/>
  <c r="E2127" i="13"/>
  <c r="E2126" i="13"/>
  <c r="E2125" i="13"/>
  <c r="E2124" i="13"/>
  <c r="E2123" i="13"/>
  <c r="E2122" i="13"/>
  <c r="E2121" i="13"/>
  <c r="E2120" i="13"/>
  <c r="E2119" i="13"/>
  <c r="E2118" i="13"/>
  <c r="E2117" i="13"/>
  <c r="E2116" i="13"/>
  <c r="E2115" i="13"/>
  <c r="E2114" i="13"/>
  <c r="E2113" i="13"/>
  <c r="E2112" i="13"/>
  <c r="E2111" i="13"/>
  <c r="E2110" i="13"/>
  <c r="E2109" i="13"/>
  <c r="E2108" i="13"/>
  <c r="E2107" i="13"/>
  <c r="E2106" i="13"/>
  <c r="E2105" i="13"/>
  <c r="E2104" i="13"/>
  <c r="E2103" i="13"/>
  <c r="E2102" i="13"/>
  <c r="E2101" i="13"/>
  <c r="E2100" i="13"/>
  <c r="E2099" i="13"/>
  <c r="E2098" i="13"/>
  <c r="E2097" i="13"/>
  <c r="E2096" i="13"/>
  <c r="E2095" i="13"/>
  <c r="E2094" i="13"/>
  <c r="E2093" i="13"/>
  <c r="E2092" i="13"/>
  <c r="E2091" i="13"/>
  <c r="E2090" i="13"/>
  <c r="E2089" i="13"/>
  <c r="E2088" i="13"/>
  <c r="E2087" i="13"/>
  <c r="E2086" i="13"/>
  <c r="E2085" i="13"/>
  <c r="E2084" i="13"/>
  <c r="E2083" i="13"/>
  <c r="E2082" i="13"/>
  <c r="E2081" i="13"/>
  <c r="E2080" i="13"/>
  <c r="E2079" i="13"/>
  <c r="E2078" i="13"/>
  <c r="E2077" i="13"/>
  <c r="E2076" i="13"/>
  <c r="E2075" i="13"/>
  <c r="E2074" i="13"/>
  <c r="E2073" i="13"/>
  <c r="E2072" i="13"/>
  <c r="E2071" i="13"/>
  <c r="E2070" i="13"/>
  <c r="E2069" i="13"/>
  <c r="E2068" i="13"/>
  <c r="E2067" i="13"/>
  <c r="E2066" i="13"/>
  <c r="E2065" i="13"/>
  <c r="E2064" i="13"/>
  <c r="E2063" i="13"/>
  <c r="E2062" i="13"/>
  <c r="E2061" i="13"/>
  <c r="E2060" i="13"/>
  <c r="E2059" i="13"/>
  <c r="E2058" i="13"/>
  <c r="E2057" i="13"/>
  <c r="E2056" i="13"/>
  <c r="E2055" i="13"/>
  <c r="E2054" i="13"/>
  <c r="E2053" i="13"/>
  <c r="E2052" i="13"/>
  <c r="E2051" i="13"/>
  <c r="E2050" i="13"/>
  <c r="E2049" i="13"/>
  <c r="E2048" i="13"/>
  <c r="E2047" i="13"/>
  <c r="E2046" i="13"/>
  <c r="E2045" i="13"/>
  <c r="E2044" i="13"/>
  <c r="E2043" i="13"/>
  <c r="E2042" i="13"/>
  <c r="E2041" i="13"/>
  <c r="E2040" i="13"/>
  <c r="E2039" i="13"/>
  <c r="E2038" i="13"/>
  <c r="E2037" i="13"/>
  <c r="E2036" i="13"/>
  <c r="E2035" i="13"/>
  <c r="E2034" i="13"/>
  <c r="E2033" i="13"/>
  <c r="E2032" i="13"/>
  <c r="E2031" i="13"/>
  <c r="E2030" i="13"/>
  <c r="E2029" i="13"/>
  <c r="E2028" i="13"/>
  <c r="E2027" i="13"/>
  <c r="E2026" i="13"/>
  <c r="E2025" i="13"/>
  <c r="E2024" i="13"/>
  <c r="E2023" i="13"/>
  <c r="E2022" i="13"/>
  <c r="E2021" i="13"/>
  <c r="E2020" i="13"/>
  <c r="E2019" i="13"/>
  <c r="E2018" i="13"/>
  <c r="E2017" i="13"/>
  <c r="E2016" i="13"/>
  <c r="E2015" i="13"/>
  <c r="E2014" i="13"/>
  <c r="E2013" i="13"/>
  <c r="E2012" i="13"/>
  <c r="E2011" i="13"/>
  <c r="E2010" i="13"/>
  <c r="E2009" i="13"/>
  <c r="E2008" i="13"/>
  <c r="E2007" i="13"/>
  <c r="E2006" i="13"/>
  <c r="E2005" i="13"/>
  <c r="E2004" i="13"/>
  <c r="E2003" i="13"/>
  <c r="E2002" i="13"/>
  <c r="E2001" i="13"/>
  <c r="E2000" i="13"/>
  <c r="E1999" i="13"/>
  <c r="E1998" i="13"/>
  <c r="E1997" i="13"/>
  <c r="E1996" i="13"/>
  <c r="E1995" i="13"/>
  <c r="E1994" i="13"/>
  <c r="E1993" i="13"/>
  <c r="E1992" i="13"/>
  <c r="E1991" i="13"/>
  <c r="E1990" i="13"/>
  <c r="E1989" i="13"/>
  <c r="E1988" i="13"/>
  <c r="E1987" i="13"/>
  <c r="E1986" i="13"/>
  <c r="E1985" i="13"/>
  <c r="E1984" i="13"/>
  <c r="E1983" i="13"/>
  <c r="E1982" i="13"/>
  <c r="E1981" i="13"/>
  <c r="E1980" i="13"/>
  <c r="E1979" i="13"/>
  <c r="E1978" i="13"/>
  <c r="E1977" i="13"/>
  <c r="E1976" i="13"/>
  <c r="E1975" i="13"/>
  <c r="E1974" i="13"/>
  <c r="E1973" i="13"/>
  <c r="E1972" i="13"/>
  <c r="E1971" i="13"/>
  <c r="E1970" i="13"/>
  <c r="E1969" i="13"/>
  <c r="E1968" i="13"/>
  <c r="E1967" i="13"/>
  <c r="E1966" i="13"/>
  <c r="E1965" i="13"/>
  <c r="E1964" i="13"/>
  <c r="E1963" i="13"/>
  <c r="E1962" i="13"/>
  <c r="E1961" i="13"/>
  <c r="E1960" i="13"/>
  <c r="E1959" i="13"/>
  <c r="E1958" i="13"/>
  <c r="E1957" i="13"/>
  <c r="E1956" i="13"/>
  <c r="E1955" i="13"/>
  <c r="E1954" i="13"/>
  <c r="E1953" i="13"/>
  <c r="E1952" i="13"/>
  <c r="E1951" i="13"/>
  <c r="E1950" i="13"/>
  <c r="E1949" i="13"/>
  <c r="E1948" i="13"/>
  <c r="E1947" i="13"/>
  <c r="E1946" i="13"/>
  <c r="E1945" i="13"/>
  <c r="E1944" i="13"/>
  <c r="E1943" i="13"/>
  <c r="E1942" i="13"/>
  <c r="E1941" i="13"/>
  <c r="E1940" i="13"/>
  <c r="E1939" i="13"/>
  <c r="E1938" i="13"/>
  <c r="E1937" i="13"/>
  <c r="E1936" i="13"/>
  <c r="E1935" i="13"/>
  <c r="E1934" i="13"/>
  <c r="E1933" i="13"/>
  <c r="E1932" i="13"/>
  <c r="E1931" i="13"/>
  <c r="E1930" i="13"/>
  <c r="E1929" i="13"/>
  <c r="E1928" i="13"/>
  <c r="E1927" i="13"/>
  <c r="E1926" i="13"/>
  <c r="E1925" i="13"/>
  <c r="E1924" i="13"/>
  <c r="E1923" i="13"/>
  <c r="E1922" i="13"/>
  <c r="E1921" i="13"/>
  <c r="E1920" i="13"/>
  <c r="E1919" i="13"/>
  <c r="E1918" i="13"/>
  <c r="E1917" i="13"/>
  <c r="E1916" i="13"/>
  <c r="E1915" i="13"/>
  <c r="E1914" i="13"/>
  <c r="E1913" i="13"/>
  <c r="E1912" i="13"/>
  <c r="E1911" i="13"/>
  <c r="E1910" i="13"/>
  <c r="E1909" i="13"/>
  <c r="E1908" i="13"/>
  <c r="E1907" i="13"/>
  <c r="E1906" i="13"/>
  <c r="E1905" i="13"/>
  <c r="E1904" i="13"/>
  <c r="E1903" i="13"/>
  <c r="E1902" i="13"/>
  <c r="E1901" i="13"/>
  <c r="E1900" i="13"/>
  <c r="E1899" i="13"/>
  <c r="E1898" i="13"/>
  <c r="E1897" i="13"/>
  <c r="E1896" i="13"/>
  <c r="E1895" i="13"/>
  <c r="E1894" i="13"/>
  <c r="E1893" i="13"/>
  <c r="E1892" i="13"/>
  <c r="E1891" i="13"/>
  <c r="E1890" i="13"/>
  <c r="E1889" i="13"/>
  <c r="E1888" i="13"/>
  <c r="E1887" i="13"/>
  <c r="E1886" i="13"/>
  <c r="E1885" i="13"/>
  <c r="E1884" i="13"/>
  <c r="E1883" i="13"/>
  <c r="E1882" i="13"/>
  <c r="E1881" i="13"/>
  <c r="E1880" i="13"/>
  <c r="E1879" i="13"/>
  <c r="E1878" i="13"/>
  <c r="E1877" i="13"/>
  <c r="E1876" i="13"/>
  <c r="E1875" i="13"/>
  <c r="E1874" i="13"/>
  <c r="E1873" i="13"/>
  <c r="E1872" i="13"/>
  <c r="E1871" i="13"/>
  <c r="E1870" i="13"/>
  <c r="E1869" i="13"/>
  <c r="E1868" i="13"/>
  <c r="E1867" i="13"/>
  <c r="E1866" i="13"/>
  <c r="E1865" i="13"/>
  <c r="E1864" i="13"/>
  <c r="E1863" i="13"/>
  <c r="E1862" i="13"/>
  <c r="E1861" i="13"/>
  <c r="E1860" i="13"/>
  <c r="E1859" i="13"/>
  <c r="E1858" i="13"/>
  <c r="E1857" i="13"/>
  <c r="E1856" i="13"/>
  <c r="E1855" i="13"/>
  <c r="E1854" i="13"/>
  <c r="E1853" i="13"/>
  <c r="E1852" i="13"/>
  <c r="E1851" i="13"/>
  <c r="E1850" i="13"/>
  <c r="E1849" i="13"/>
  <c r="E1848" i="13"/>
  <c r="E1847" i="13"/>
  <c r="E1846" i="13"/>
  <c r="E1845" i="13"/>
  <c r="E1844" i="13"/>
  <c r="E1843" i="13"/>
  <c r="E1842" i="13"/>
  <c r="E1841" i="13"/>
  <c r="E1840" i="13"/>
  <c r="E1839" i="13"/>
  <c r="E1838" i="13"/>
  <c r="E1837" i="13"/>
  <c r="E1836" i="13"/>
  <c r="E1835" i="13"/>
  <c r="E1834" i="13"/>
  <c r="E1833" i="13"/>
  <c r="E1832" i="13"/>
  <c r="E1831" i="13"/>
  <c r="E1830" i="13"/>
  <c r="E1829" i="13"/>
  <c r="E1828" i="13"/>
  <c r="E1827" i="13"/>
  <c r="E1826" i="13"/>
  <c r="E1825" i="13"/>
  <c r="E1824" i="13"/>
  <c r="E1823" i="13"/>
  <c r="E1822" i="13"/>
  <c r="E1821" i="13"/>
  <c r="E1820" i="13"/>
  <c r="E1819" i="13"/>
  <c r="E1818" i="13"/>
  <c r="E1817" i="13"/>
  <c r="E1816" i="13"/>
  <c r="E1815" i="13"/>
  <c r="E1814" i="13"/>
  <c r="E1813" i="13"/>
  <c r="E1812" i="13"/>
  <c r="E1811" i="13"/>
  <c r="E1810" i="13"/>
  <c r="E1809" i="13"/>
  <c r="E1808" i="13"/>
  <c r="E1807" i="13"/>
  <c r="E1806" i="13"/>
  <c r="E1805" i="13"/>
  <c r="E1804" i="13"/>
  <c r="E1803" i="13"/>
  <c r="E1802" i="13"/>
  <c r="E1801" i="13"/>
  <c r="E1800" i="13"/>
  <c r="E1799" i="13"/>
  <c r="E1798" i="13"/>
  <c r="E1797" i="13"/>
  <c r="E1796" i="13"/>
  <c r="E1795" i="13"/>
  <c r="E1794" i="13"/>
  <c r="E1793" i="13"/>
  <c r="E1792" i="13"/>
  <c r="E1791" i="13"/>
  <c r="E1790" i="13"/>
  <c r="E1789" i="13"/>
  <c r="E1788" i="13"/>
  <c r="E1787" i="13"/>
  <c r="E1786" i="13"/>
  <c r="E1785" i="13"/>
  <c r="E1784" i="13"/>
  <c r="E1783" i="13"/>
  <c r="E1782" i="13"/>
  <c r="E1781" i="13"/>
  <c r="E1780" i="13"/>
  <c r="E1779" i="13"/>
  <c r="E1778" i="13"/>
  <c r="E1777" i="13"/>
  <c r="E1776" i="13"/>
  <c r="E1775" i="13"/>
  <c r="E1774" i="13"/>
  <c r="E1773" i="13"/>
  <c r="E1772" i="13"/>
  <c r="E1771" i="13"/>
  <c r="E1770" i="13"/>
  <c r="E1769" i="13"/>
  <c r="E1768" i="13"/>
  <c r="E1767" i="13"/>
  <c r="E1766" i="13"/>
  <c r="E1765" i="13"/>
  <c r="E1764" i="13"/>
  <c r="E1763" i="13"/>
  <c r="E1762" i="13"/>
  <c r="E1761" i="13"/>
  <c r="E1760" i="13"/>
  <c r="E1759" i="13"/>
  <c r="E1758" i="13"/>
  <c r="E1757" i="13"/>
  <c r="E1756" i="13"/>
  <c r="E1755" i="13"/>
  <c r="E1754" i="13"/>
  <c r="E1753" i="13"/>
  <c r="E1752" i="13"/>
  <c r="E1751" i="13"/>
  <c r="E1750" i="13"/>
  <c r="E1749" i="13"/>
  <c r="E1748" i="13"/>
  <c r="E1747" i="13"/>
  <c r="E1746" i="13"/>
  <c r="E1745" i="13"/>
  <c r="E1744" i="13"/>
  <c r="E1743" i="13"/>
  <c r="E1742" i="13"/>
  <c r="E1741" i="13"/>
  <c r="E1740" i="13"/>
  <c r="E1739" i="13"/>
  <c r="E1738" i="13"/>
  <c r="E1737" i="13"/>
  <c r="E1736" i="13"/>
  <c r="E1735" i="13"/>
  <c r="E1734" i="13"/>
  <c r="E1733" i="13"/>
  <c r="E1732" i="13"/>
  <c r="E1731" i="13"/>
  <c r="E1730" i="13"/>
  <c r="E1729" i="13"/>
  <c r="E1728" i="13"/>
  <c r="E1727" i="13"/>
  <c r="E1726" i="13"/>
  <c r="E1725" i="13"/>
  <c r="E1724" i="13"/>
  <c r="E1723" i="13"/>
  <c r="E1722" i="13"/>
  <c r="E1721" i="13"/>
  <c r="E1720" i="13"/>
  <c r="E1719" i="13"/>
  <c r="E1718" i="13"/>
  <c r="E1717" i="13"/>
  <c r="E1716" i="13"/>
  <c r="E1715" i="13"/>
  <c r="E1714" i="13"/>
  <c r="E1713" i="13"/>
  <c r="E1712" i="13"/>
  <c r="E1711" i="13"/>
  <c r="E1710" i="13"/>
  <c r="E1709" i="13"/>
  <c r="E1708" i="13"/>
  <c r="E1707" i="13"/>
  <c r="E1706" i="13"/>
  <c r="E1705" i="13"/>
  <c r="E1704" i="13"/>
  <c r="E1703" i="13"/>
  <c r="E1702" i="13"/>
  <c r="E1701" i="13"/>
  <c r="E1700" i="13"/>
  <c r="E1699" i="13"/>
  <c r="E1698" i="13"/>
  <c r="E1697" i="13"/>
  <c r="E1696" i="13"/>
  <c r="E1695" i="13"/>
  <c r="E1694" i="13"/>
  <c r="E1693" i="13"/>
  <c r="E1692" i="13"/>
  <c r="E1691" i="13"/>
  <c r="E1690" i="13"/>
  <c r="E1689" i="13"/>
  <c r="E1688" i="13"/>
  <c r="E1687" i="13"/>
  <c r="E1686" i="13"/>
  <c r="E1685" i="13"/>
  <c r="E1684" i="13"/>
  <c r="E1683" i="13"/>
  <c r="E1682" i="13"/>
  <c r="E1681" i="13"/>
  <c r="E1680" i="13"/>
  <c r="E1679" i="13"/>
  <c r="E1678" i="13"/>
  <c r="E1677" i="13"/>
  <c r="E1676" i="13"/>
  <c r="E1675" i="13"/>
  <c r="E1674" i="13"/>
  <c r="E1673" i="13"/>
  <c r="E1672" i="13"/>
  <c r="E1671" i="13"/>
  <c r="E1670" i="13"/>
  <c r="E1669" i="13"/>
  <c r="V1668" i="13"/>
  <c r="E1668" i="13"/>
  <c r="V1667" i="13"/>
  <c r="E1667" i="13"/>
  <c r="V1666" i="13"/>
  <c r="E1666" i="13"/>
  <c r="V1665" i="13"/>
  <c r="E1665" i="13"/>
  <c r="V1664" i="13"/>
  <c r="E1664" i="13"/>
  <c r="V1663" i="13"/>
  <c r="E1663" i="13"/>
  <c r="V1662" i="13"/>
  <c r="E1662" i="13"/>
  <c r="V1661" i="13"/>
  <c r="E1661" i="13"/>
  <c r="V1660" i="13"/>
  <c r="E1660" i="13"/>
  <c r="V1659" i="13"/>
  <c r="E1659" i="13"/>
  <c r="V1658" i="13"/>
  <c r="E1658" i="13"/>
  <c r="V1657" i="13"/>
  <c r="E1657" i="13"/>
  <c r="V1656" i="13"/>
  <c r="E1656" i="13"/>
  <c r="V1655" i="13"/>
  <c r="E1655" i="13"/>
  <c r="V1654" i="13"/>
  <c r="E1654" i="13"/>
  <c r="V1653" i="13"/>
  <c r="E1653" i="13"/>
  <c r="V1652" i="13"/>
  <c r="E1652" i="13"/>
  <c r="V1651" i="13"/>
  <c r="E1651" i="13"/>
  <c r="V1650" i="13"/>
  <c r="E1650" i="13"/>
  <c r="V1649" i="13"/>
  <c r="E1649" i="13"/>
  <c r="V1648" i="13"/>
  <c r="E1648" i="13"/>
  <c r="V1647" i="13"/>
  <c r="E1647" i="13"/>
  <c r="V1646" i="13"/>
  <c r="E1646" i="13"/>
  <c r="V1645" i="13"/>
  <c r="E1645" i="13"/>
  <c r="V1644" i="13"/>
  <c r="E1644" i="13"/>
  <c r="V1643" i="13"/>
  <c r="E1643" i="13"/>
  <c r="V1642" i="13"/>
  <c r="E1642" i="13"/>
  <c r="V1641" i="13"/>
  <c r="E1641" i="13"/>
  <c r="V1640" i="13"/>
  <c r="E1640" i="13"/>
  <c r="V1639" i="13"/>
  <c r="E1639" i="13"/>
  <c r="V1638" i="13"/>
  <c r="E1638" i="13"/>
  <c r="V1637" i="13"/>
  <c r="E1637" i="13"/>
  <c r="V1636" i="13"/>
  <c r="E1636" i="13"/>
  <c r="V1635" i="13"/>
  <c r="E1635" i="13"/>
  <c r="V1634" i="13"/>
  <c r="E1634" i="13"/>
  <c r="V1633" i="13"/>
  <c r="E1633" i="13"/>
  <c r="V1632" i="13"/>
  <c r="E1632" i="13"/>
  <c r="V1631" i="13"/>
  <c r="E1631" i="13"/>
  <c r="V1630" i="13"/>
  <c r="E1630" i="13"/>
  <c r="V1629" i="13"/>
  <c r="E1629" i="13"/>
  <c r="V1628" i="13"/>
  <c r="E1628" i="13"/>
  <c r="V1627" i="13"/>
  <c r="E1627" i="13"/>
  <c r="V1626" i="13"/>
  <c r="E1626" i="13"/>
  <c r="V1625" i="13"/>
  <c r="E1625" i="13"/>
  <c r="V1624" i="13"/>
  <c r="E1624" i="13"/>
  <c r="V1623" i="13"/>
  <c r="E1623" i="13"/>
  <c r="V1622" i="13"/>
  <c r="E1622" i="13"/>
  <c r="V1621" i="13"/>
  <c r="E1621" i="13"/>
  <c r="V1620" i="13"/>
  <c r="E1620" i="13"/>
  <c r="V1619" i="13"/>
  <c r="E1619" i="13"/>
  <c r="V1618" i="13"/>
  <c r="E1618" i="13"/>
  <c r="V1617" i="13"/>
  <c r="E1617" i="13"/>
  <c r="V1616" i="13"/>
  <c r="E1616" i="13"/>
  <c r="V1615" i="13"/>
  <c r="E1615" i="13"/>
  <c r="V1614" i="13"/>
  <c r="E1614" i="13"/>
  <c r="V1613" i="13"/>
  <c r="E1613" i="13"/>
  <c r="V1612" i="13"/>
  <c r="E1612" i="13"/>
  <c r="V1611" i="13"/>
  <c r="E1611" i="13"/>
  <c r="V1610" i="13"/>
  <c r="E1610" i="13"/>
  <c r="V1609" i="13"/>
  <c r="E1609" i="13"/>
  <c r="V1608" i="13"/>
  <c r="E1608" i="13"/>
  <c r="V1607" i="13"/>
  <c r="E1607" i="13"/>
  <c r="V1606" i="13"/>
  <c r="E1606" i="13"/>
  <c r="V1605" i="13"/>
  <c r="E1605" i="13"/>
  <c r="V1604" i="13"/>
  <c r="E1604" i="13"/>
  <c r="V1603" i="13"/>
  <c r="E1603" i="13"/>
  <c r="V1602" i="13"/>
  <c r="E1602" i="13"/>
  <c r="V1601" i="13"/>
  <c r="E1601" i="13"/>
  <c r="V1600" i="13"/>
  <c r="E1600" i="13"/>
  <c r="V1599" i="13"/>
  <c r="E1599" i="13"/>
  <c r="V1598" i="13"/>
  <c r="E1598" i="13"/>
  <c r="V1597" i="13"/>
  <c r="E1597" i="13"/>
  <c r="V1596" i="13"/>
  <c r="E1596" i="13"/>
  <c r="V1595" i="13"/>
  <c r="E1595" i="13"/>
  <c r="V1594" i="13"/>
  <c r="E1594" i="13"/>
  <c r="V1593" i="13"/>
  <c r="E1593" i="13"/>
  <c r="V1592" i="13"/>
  <c r="E1592" i="13"/>
  <c r="V1591" i="13"/>
  <c r="E1591" i="13"/>
  <c r="V1590" i="13"/>
  <c r="E1590" i="13"/>
  <c r="V1589" i="13"/>
  <c r="E1589" i="13"/>
  <c r="V1588" i="13"/>
  <c r="E1588" i="13"/>
  <c r="V1587" i="13"/>
  <c r="E1587" i="13"/>
  <c r="V1586" i="13"/>
  <c r="E1586" i="13"/>
  <c r="V1585" i="13"/>
  <c r="E1585" i="13"/>
  <c r="V1584" i="13"/>
  <c r="E1584" i="13"/>
  <c r="V1583" i="13"/>
  <c r="E1583" i="13"/>
  <c r="V1582" i="13"/>
  <c r="E1582" i="13"/>
  <c r="V1581" i="13"/>
  <c r="E1581" i="13"/>
  <c r="V1580" i="13"/>
  <c r="E1580" i="13"/>
  <c r="V1579" i="13"/>
  <c r="E1579" i="13"/>
  <c r="V1578" i="13"/>
  <c r="E1578" i="13"/>
  <c r="V1577" i="13"/>
  <c r="E1577" i="13"/>
  <c r="V1576" i="13"/>
  <c r="E1576" i="13"/>
  <c r="V1575" i="13"/>
  <c r="E1575" i="13"/>
  <c r="V1574" i="13"/>
  <c r="E1574" i="13"/>
  <c r="V1573" i="13"/>
  <c r="E1573" i="13"/>
  <c r="V1572" i="13"/>
  <c r="E1572" i="13"/>
  <c r="V1571" i="13"/>
  <c r="E1571" i="13"/>
  <c r="V1570" i="13"/>
  <c r="E1570" i="13"/>
  <c r="V1569" i="13"/>
  <c r="E1569" i="13"/>
  <c r="V1568" i="13"/>
  <c r="E1568" i="13"/>
  <c r="V1567" i="13"/>
  <c r="E1567" i="13"/>
  <c r="V1566" i="13"/>
  <c r="E1566" i="13"/>
  <c r="V1565" i="13"/>
  <c r="E1565" i="13"/>
  <c r="V1564" i="13"/>
  <c r="E1564" i="13"/>
  <c r="V1563" i="13"/>
  <c r="E1563" i="13"/>
  <c r="V1562" i="13"/>
  <c r="E1562" i="13"/>
  <c r="V1561" i="13"/>
  <c r="E1561" i="13"/>
  <c r="V1560" i="13"/>
  <c r="E1560" i="13"/>
  <c r="V1559" i="13"/>
  <c r="E1559" i="13"/>
  <c r="V1558" i="13"/>
  <c r="E1558" i="13"/>
  <c r="V1557" i="13"/>
  <c r="E1557" i="13"/>
  <c r="V1556" i="13"/>
  <c r="E1556" i="13"/>
  <c r="V1555" i="13"/>
  <c r="E1555" i="13"/>
  <c r="V1554" i="13"/>
  <c r="E1554" i="13"/>
  <c r="V1553" i="13"/>
  <c r="E1553" i="13"/>
  <c r="V1552" i="13"/>
  <c r="E1552" i="13"/>
  <c r="V1551" i="13"/>
  <c r="E1551" i="13"/>
  <c r="V1550" i="13"/>
  <c r="E1550" i="13"/>
  <c r="V1549" i="13"/>
  <c r="E1549" i="13"/>
  <c r="V1548" i="13"/>
  <c r="E1548" i="13"/>
  <c r="V1547" i="13"/>
  <c r="E1547" i="13"/>
  <c r="V1546" i="13"/>
  <c r="E1546" i="13"/>
  <c r="V1545" i="13"/>
  <c r="E1545" i="13"/>
  <c r="V1544" i="13"/>
  <c r="E1544" i="13"/>
  <c r="V1543" i="13"/>
  <c r="E1543" i="13"/>
  <c r="V1542" i="13"/>
  <c r="E1542" i="13"/>
  <c r="V1541" i="13"/>
  <c r="E1541" i="13"/>
  <c r="V1540" i="13"/>
  <c r="E1540" i="13"/>
  <c r="V1539" i="13"/>
  <c r="E1539" i="13"/>
  <c r="V1538" i="13"/>
  <c r="E1538" i="13"/>
  <c r="V1537" i="13"/>
  <c r="E1537" i="13"/>
  <c r="V1536" i="13"/>
  <c r="E1536" i="13"/>
  <c r="V1535" i="13"/>
  <c r="E1535" i="13"/>
  <c r="V1534" i="13"/>
  <c r="E1534" i="13"/>
  <c r="V1533" i="13"/>
  <c r="E1533" i="13"/>
  <c r="V1532" i="13"/>
  <c r="E1532" i="13"/>
  <c r="V1531" i="13"/>
  <c r="E1531" i="13"/>
  <c r="V1530" i="13"/>
  <c r="E1530" i="13"/>
  <c r="V1529" i="13"/>
  <c r="E1529" i="13"/>
  <c r="V1528" i="13"/>
  <c r="E1528" i="13"/>
  <c r="V1527" i="13"/>
  <c r="E1527" i="13"/>
  <c r="V1526" i="13"/>
  <c r="E1526" i="13"/>
  <c r="V1525" i="13"/>
  <c r="E1525" i="13"/>
  <c r="V1524" i="13"/>
  <c r="E1524" i="13"/>
  <c r="V1523" i="13"/>
  <c r="E1523" i="13"/>
  <c r="V1522" i="13"/>
  <c r="E1522" i="13"/>
  <c r="V1521" i="13"/>
  <c r="E1521" i="13"/>
  <c r="V1520" i="13"/>
  <c r="E1520" i="13"/>
  <c r="V1519" i="13"/>
  <c r="E1519" i="13"/>
  <c r="V1518" i="13"/>
  <c r="E1518" i="13"/>
  <c r="V1517" i="13"/>
  <c r="E1517" i="13"/>
  <c r="V1516" i="13"/>
  <c r="E1516" i="13"/>
  <c r="V1515" i="13"/>
  <c r="E1515" i="13"/>
  <c r="V1514" i="13"/>
  <c r="E1514" i="13"/>
  <c r="V1513" i="13"/>
  <c r="E1513" i="13"/>
  <c r="V1512" i="13"/>
  <c r="E1512" i="13"/>
  <c r="V1511" i="13"/>
  <c r="E1511" i="13"/>
  <c r="V1510" i="13"/>
  <c r="E1510" i="13"/>
  <c r="V1509" i="13"/>
  <c r="E1509" i="13"/>
  <c r="V1508" i="13"/>
  <c r="E1508" i="13"/>
  <c r="V1507" i="13"/>
  <c r="E1507" i="13"/>
  <c r="V1506" i="13"/>
  <c r="E1506" i="13"/>
  <c r="V1505" i="13"/>
  <c r="E1505" i="13"/>
  <c r="V1504" i="13"/>
  <c r="E1504" i="13"/>
  <c r="V1503" i="13"/>
  <c r="E1503" i="13"/>
  <c r="V1502" i="13"/>
  <c r="E1502" i="13"/>
  <c r="V1501" i="13"/>
  <c r="E1501" i="13"/>
  <c r="V1500" i="13"/>
  <c r="E1500" i="13"/>
  <c r="V1499" i="13"/>
  <c r="E1499" i="13"/>
  <c r="V1498" i="13"/>
  <c r="E1498" i="13"/>
  <c r="V1497" i="13"/>
  <c r="E1497" i="13"/>
  <c r="V1496" i="13"/>
  <c r="E1496" i="13"/>
  <c r="V1495" i="13"/>
  <c r="E1495" i="13"/>
  <c r="V1494" i="13"/>
  <c r="E1494" i="13"/>
  <c r="V1493" i="13"/>
  <c r="E1493" i="13"/>
  <c r="V1492" i="13"/>
  <c r="E1492" i="13"/>
  <c r="V1491" i="13"/>
  <c r="E1491" i="13"/>
  <c r="V1490" i="13"/>
  <c r="E1490" i="13"/>
  <c r="V1489" i="13"/>
  <c r="E1489" i="13"/>
  <c r="V1488" i="13"/>
  <c r="E1488" i="13"/>
  <c r="V1487" i="13"/>
  <c r="E1487" i="13"/>
  <c r="V1486" i="13"/>
  <c r="E1486" i="13"/>
  <c r="V1485" i="13"/>
  <c r="E1485" i="13"/>
  <c r="V1484" i="13"/>
  <c r="E1484" i="13"/>
  <c r="V1483" i="13"/>
  <c r="E1483" i="13"/>
  <c r="V1482" i="13"/>
  <c r="E1482" i="13"/>
  <c r="V1481" i="13"/>
  <c r="E1481" i="13"/>
  <c r="V1480" i="13"/>
  <c r="E1480" i="13"/>
  <c r="V1479" i="13"/>
  <c r="E1479" i="13"/>
  <c r="V1478" i="13"/>
  <c r="E1478" i="13"/>
  <c r="V1477" i="13"/>
  <c r="E1477" i="13"/>
  <c r="V1476" i="13"/>
  <c r="E1476" i="13"/>
  <c r="V1475" i="13"/>
  <c r="E1475" i="13"/>
  <c r="V1474" i="13"/>
  <c r="E1474" i="13"/>
  <c r="V1473" i="13"/>
  <c r="E1473" i="13"/>
  <c r="V1472" i="13"/>
  <c r="E1472" i="13"/>
  <c r="V1471" i="13"/>
  <c r="E1471" i="13"/>
  <c r="V1470" i="13"/>
  <c r="E1470" i="13"/>
  <c r="V1469" i="13"/>
  <c r="E1469" i="13"/>
  <c r="V1468" i="13"/>
  <c r="E1468" i="13"/>
  <c r="V1467" i="13"/>
  <c r="E1467" i="13"/>
  <c r="V1466" i="13"/>
  <c r="E1466" i="13"/>
  <c r="V1465" i="13"/>
  <c r="E1465" i="13"/>
  <c r="V1464" i="13"/>
  <c r="E1464" i="13"/>
  <c r="V1463" i="13"/>
  <c r="E1463" i="13"/>
  <c r="V1462" i="13"/>
  <c r="E1462" i="13"/>
  <c r="V1461" i="13"/>
  <c r="E1461" i="13"/>
  <c r="V1460" i="13"/>
  <c r="E1460" i="13"/>
  <c r="V1459" i="13"/>
  <c r="E1459" i="13"/>
  <c r="V1458" i="13"/>
  <c r="E1458" i="13"/>
  <c r="V1457" i="13"/>
  <c r="E1457" i="13"/>
  <c r="V1456" i="13"/>
  <c r="E1456" i="13"/>
  <c r="V1455" i="13"/>
  <c r="E1455" i="13"/>
  <c r="V1454" i="13"/>
  <c r="E1454" i="13"/>
  <c r="V1453" i="13"/>
  <c r="E1453" i="13"/>
  <c r="V1452" i="13"/>
  <c r="E1452" i="13"/>
  <c r="V1451" i="13"/>
  <c r="E1451" i="13"/>
  <c r="V1450" i="13"/>
  <c r="E1450" i="13"/>
  <c r="V1449" i="13"/>
  <c r="E1449" i="13"/>
  <c r="V1448" i="13"/>
  <c r="E1448" i="13"/>
  <c r="V1447" i="13"/>
  <c r="E1447" i="13"/>
  <c r="V1446" i="13"/>
  <c r="E1446" i="13"/>
  <c r="V1445" i="13"/>
  <c r="E1445" i="13"/>
  <c r="V1444" i="13"/>
  <c r="E1444" i="13"/>
  <c r="V1443" i="13"/>
  <c r="E1443" i="13"/>
  <c r="V1442" i="13"/>
  <c r="E1442" i="13"/>
  <c r="V1441" i="13"/>
  <c r="E1441" i="13"/>
  <c r="V1440" i="13"/>
  <c r="E1440" i="13"/>
  <c r="V1439" i="13"/>
  <c r="E1439" i="13"/>
  <c r="V1438" i="13"/>
  <c r="E1438" i="13"/>
  <c r="V1437" i="13"/>
  <c r="E1437" i="13"/>
  <c r="V1436" i="13"/>
  <c r="E1436" i="13"/>
  <c r="V1435" i="13"/>
  <c r="E1435" i="13"/>
  <c r="V1434" i="13"/>
  <c r="E1434" i="13"/>
  <c r="V1433" i="13"/>
  <c r="E1433" i="13"/>
  <c r="V1432" i="13"/>
  <c r="E1432" i="13"/>
  <c r="V1431" i="13"/>
  <c r="E1431" i="13"/>
  <c r="V1430" i="13"/>
  <c r="E1430" i="13"/>
  <c r="V1429" i="13"/>
  <c r="E1429" i="13"/>
  <c r="V1428" i="13"/>
  <c r="E1428" i="13"/>
  <c r="V1427" i="13"/>
  <c r="E1427" i="13"/>
  <c r="V1426" i="13"/>
  <c r="E1426" i="13"/>
  <c r="V1425" i="13"/>
  <c r="E1425" i="13"/>
  <c r="V1424" i="13"/>
  <c r="E1424" i="13"/>
  <c r="V1423" i="13"/>
  <c r="E1423" i="13"/>
  <c r="V1422" i="13"/>
  <c r="E1422" i="13"/>
  <c r="V1421" i="13"/>
  <c r="E1421" i="13"/>
  <c r="V1420" i="13"/>
  <c r="E1420" i="13"/>
  <c r="V1419" i="13"/>
  <c r="E1419" i="13"/>
  <c r="V1418" i="13"/>
  <c r="E1418" i="13"/>
  <c r="V1417" i="13"/>
  <c r="E1417" i="13"/>
  <c r="V1416" i="13"/>
  <c r="E1416" i="13"/>
  <c r="V1415" i="13"/>
  <c r="E1415" i="13"/>
  <c r="V1414" i="13"/>
  <c r="E1414" i="13"/>
  <c r="V1413" i="13"/>
  <c r="E1413" i="13"/>
  <c r="V1412" i="13"/>
  <c r="E1412" i="13"/>
  <c r="V1411" i="13"/>
  <c r="E1411" i="13"/>
  <c r="V1410" i="13"/>
  <c r="E1410" i="13"/>
  <c r="V1409" i="13"/>
  <c r="E1409" i="13"/>
  <c r="V1408" i="13"/>
  <c r="E1408" i="13"/>
  <c r="V1407" i="13"/>
  <c r="E1407" i="13"/>
  <c r="V1406" i="13"/>
  <c r="E1406" i="13"/>
  <c r="V1405" i="13"/>
  <c r="E1405" i="13"/>
  <c r="V1404" i="13"/>
  <c r="E1404" i="13"/>
  <c r="V1403" i="13"/>
  <c r="E1403" i="13"/>
  <c r="V1402" i="13"/>
  <c r="E1402" i="13"/>
  <c r="V1401" i="13"/>
  <c r="E1401" i="13"/>
  <c r="V1400" i="13"/>
  <c r="E1400" i="13"/>
  <c r="V1399" i="13"/>
  <c r="E1399" i="13"/>
  <c r="V1398" i="13"/>
  <c r="E1398" i="13"/>
  <c r="V1397" i="13"/>
  <c r="E1397" i="13"/>
  <c r="V1396" i="13"/>
  <c r="E1396" i="13"/>
  <c r="V1395" i="13"/>
  <c r="E1395" i="13"/>
  <c r="V1394" i="13"/>
  <c r="E1394" i="13"/>
  <c r="V1393" i="13"/>
  <c r="E1393" i="13"/>
  <c r="V1392" i="13"/>
  <c r="E1392" i="13"/>
  <c r="V1391" i="13"/>
  <c r="E1391" i="13"/>
  <c r="V1390" i="13"/>
  <c r="E1390" i="13"/>
  <c r="V1389" i="13"/>
  <c r="E1389" i="13"/>
  <c r="V1388" i="13"/>
  <c r="E1388" i="13"/>
  <c r="V1387" i="13"/>
  <c r="E1387" i="13"/>
  <c r="V1386" i="13"/>
  <c r="E1386" i="13"/>
  <c r="V1385" i="13"/>
  <c r="E1385" i="13"/>
  <c r="V1384" i="13"/>
  <c r="E1384" i="13"/>
  <c r="V1383" i="13"/>
  <c r="E1383" i="13"/>
  <c r="V1382" i="13"/>
  <c r="E1382" i="13"/>
  <c r="V1381" i="13"/>
  <c r="E1381" i="13"/>
  <c r="V1380" i="13"/>
  <c r="E1380" i="13"/>
  <c r="V1379" i="13"/>
  <c r="E1379" i="13"/>
  <c r="V1378" i="13"/>
  <c r="E1378" i="13"/>
  <c r="V1377" i="13"/>
  <c r="E1377" i="13"/>
  <c r="V1376" i="13"/>
  <c r="E1376" i="13"/>
  <c r="V1375" i="13"/>
  <c r="E1375" i="13"/>
  <c r="V1374" i="13"/>
  <c r="E1374" i="13"/>
  <c r="V1373" i="13"/>
  <c r="E1373" i="13"/>
  <c r="V1372" i="13"/>
  <c r="E1372" i="13"/>
  <c r="V1371" i="13"/>
  <c r="E1371" i="13"/>
  <c r="V1370" i="13"/>
  <c r="E1370" i="13"/>
  <c r="V1369" i="13"/>
  <c r="E1369" i="13"/>
  <c r="V1368" i="13"/>
  <c r="E1368" i="13"/>
  <c r="V1367" i="13"/>
  <c r="E1367" i="13"/>
  <c r="V1366" i="13"/>
  <c r="E1366" i="13"/>
  <c r="V1365" i="13"/>
  <c r="E1365" i="13"/>
  <c r="V1364" i="13"/>
  <c r="E1364" i="13"/>
  <c r="V1363" i="13"/>
  <c r="E1363" i="13"/>
  <c r="V1362" i="13"/>
  <c r="E1362" i="13"/>
  <c r="V1361" i="13"/>
  <c r="E1361" i="13"/>
  <c r="V1360" i="13"/>
  <c r="E1360" i="13"/>
  <c r="V1359" i="13"/>
  <c r="E1359" i="13"/>
  <c r="V1358" i="13"/>
  <c r="E1358" i="13"/>
  <c r="V1357" i="13"/>
  <c r="E1357" i="13"/>
  <c r="V1356" i="13"/>
  <c r="E1356" i="13"/>
  <c r="V1355" i="13"/>
  <c r="E1355" i="13"/>
  <c r="V1354" i="13"/>
  <c r="E1354" i="13"/>
  <c r="V1353" i="13"/>
  <c r="E1353" i="13"/>
  <c r="V1352" i="13"/>
  <c r="E1352" i="13"/>
  <c r="V1351" i="13"/>
  <c r="E1351" i="13"/>
  <c r="V1350" i="13"/>
  <c r="E1350" i="13"/>
  <c r="V1349" i="13"/>
  <c r="E1349" i="13"/>
  <c r="V1348" i="13"/>
  <c r="E1348" i="13"/>
  <c r="V1347" i="13"/>
  <c r="E1347" i="13"/>
  <c r="V1346" i="13"/>
  <c r="E1346" i="13"/>
  <c r="V1345" i="13"/>
  <c r="E1345" i="13"/>
  <c r="V1344" i="13"/>
  <c r="E1344" i="13"/>
  <c r="V1343" i="13"/>
  <c r="E1343" i="13"/>
  <c r="V1342" i="13"/>
  <c r="E1342" i="13"/>
  <c r="V1341" i="13"/>
  <c r="E1341" i="13"/>
  <c r="V1340" i="13"/>
  <c r="E1340" i="13"/>
  <c r="V1339" i="13"/>
  <c r="E1339" i="13"/>
  <c r="V1338" i="13"/>
  <c r="E1338" i="13"/>
  <c r="V1337" i="13"/>
  <c r="E1337" i="13"/>
  <c r="V1336" i="13"/>
  <c r="E1336" i="13"/>
  <c r="V1335" i="13"/>
  <c r="E1335" i="13"/>
  <c r="V1334" i="13"/>
  <c r="E1334" i="13"/>
  <c r="V1333" i="13"/>
  <c r="E1333" i="13"/>
  <c r="V1332" i="13"/>
  <c r="E1332" i="13"/>
  <c r="V1331" i="13"/>
  <c r="E1331" i="13"/>
  <c r="V1330" i="13"/>
  <c r="E1330" i="13"/>
  <c r="V1329" i="13"/>
  <c r="E1329" i="13"/>
  <c r="V1328" i="13"/>
  <c r="E1328" i="13"/>
  <c r="V1327" i="13"/>
  <c r="E1327" i="13"/>
  <c r="V1326" i="13"/>
  <c r="E1326" i="13"/>
  <c r="V1325" i="13"/>
  <c r="E1325" i="13"/>
  <c r="V1324" i="13"/>
  <c r="E1324" i="13"/>
  <c r="V1323" i="13"/>
  <c r="E1323" i="13"/>
  <c r="V1322" i="13"/>
  <c r="E1322" i="13"/>
  <c r="V1321" i="13"/>
  <c r="E1321" i="13"/>
  <c r="V1320" i="13"/>
  <c r="E1320" i="13"/>
  <c r="V1319" i="13"/>
  <c r="E1319" i="13"/>
  <c r="V1318" i="13"/>
  <c r="E1318" i="13"/>
  <c r="V1317" i="13"/>
  <c r="E1317" i="13"/>
  <c r="V1316" i="13"/>
  <c r="E1316" i="13"/>
  <c r="V1315" i="13"/>
  <c r="E1315" i="13"/>
  <c r="V1314" i="13"/>
  <c r="E1314" i="13"/>
  <c r="V1313" i="13"/>
  <c r="E1313" i="13"/>
  <c r="V1312" i="13"/>
  <c r="E1312" i="13"/>
  <c r="V1311" i="13"/>
  <c r="E1311" i="13"/>
  <c r="V1310" i="13"/>
  <c r="E1310" i="13"/>
  <c r="V1309" i="13"/>
  <c r="E1309" i="13"/>
  <c r="V1308" i="13"/>
  <c r="E1308" i="13"/>
  <c r="V1307" i="13"/>
  <c r="E1307" i="13"/>
  <c r="V1306" i="13"/>
  <c r="E1306" i="13"/>
  <c r="V1305" i="13"/>
  <c r="E1305" i="13"/>
  <c r="V1304" i="13"/>
  <c r="E1304" i="13"/>
  <c r="V1303" i="13"/>
  <c r="E1303" i="13"/>
  <c r="V1302" i="13"/>
  <c r="E1302" i="13"/>
  <c r="V1301" i="13"/>
  <c r="E1301" i="13"/>
  <c r="V1300" i="13"/>
  <c r="E1300" i="13"/>
  <c r="V1299" i="13"/>
  <c r="E1299" i="13"/>
  <c r="V1298" i="13"/>
  <c r="E1298" i="13"/>
  <c r="V1297" i="13"/>
  <c r="E1297" i="13"/>
  <c r="V1296" i="13"/>
  <c r="E1296" i="13"/>
  <c r="V1295" i="13"/>
  <c r="E1295" i="13"/>
  <c r="V1294" i="13"/>
  <c r="E1294" i="13"/>
  <c r="V1293" i="13"/>
  <c r="E1293" i="13"/>
  <c r="V1292" i="13"/>
  <c r="E1292" i="13"/>
  <c r="V1291" i="13"/>
  <c r="E1291" i="13"/>
  <c r="V1290" i="13"/>
  <c r="E1290" i="13"/>
  <c r="V1289" i="13"/>
  <c r="E1289" i="13"/>
  <c r="V1288" i="13"/>
  <c r="E1288" i="13"/>
  <c r="V1287" i="13"/>
  <c r="E1287" i="13"/>
  <c r="V1286" i="13"/>
  <c r="E1286" i="13"/>
  <c r="V1285" i="13"/>
  <c r="E1285" i="13"/>
  <c r="V1284" i="13"/>
  <c r="E1284" i="13"/>
  <c r="V1283" i="13"/>
  <c r="E1283" i="13"/>
  <c r="V1282" i="13"/>
  <c r="E1282" i="13"/>
  <c r="V1281" i="13"/>
  <c r="E1281" i="13"/>
  <c r="V1280" i="13"/>
  <c r="E1280" i="13"/>
  <c r="V1279" i="13"/>
  <c r="E1279" i="13"/>
  <c r="V1278" i="13"/>
  <c r="E1278" i="13"/>
  <c r="V1277" i="13"/>
  <c r="E1277" i="13"/>
  <c r="V1276" i="13"/>
  <c r="E1276" i="13"/>
  <c r="V1275" i="13"/>
  <c r="E1275" i="13"/>
  <c r="V1274" i="13"/>
  <c r="E1274" i="13"/>
  <c r="V1273" i="13"/>
  <c r="E1273" i="13"/>
  <c r="V1272" i="13"/>
  <c r="E1272" i="13"/>
  <c r="V1271" i="13"/>
  <c r="E1271" i="13"/>
  <c r="V1270" i="13"/>
  <c r="E1270" i="13"/>
  <c r="V1269" i="13"/>
  <c r="E1269" i="13"/>
  <c r="V1268" i="13"/>
  <c r="E1268" i="13"/>
  <c r="V1267" i="13"/>
  <c r="E1267" i="13"/>
  <c r="V1266" i="13"/>
  <c r="E1266" i="13"/>
  <c r="V1265" i="13"/>
  <c r="E1265" i="13"/>
  <c r="V1264" i="13"/>
  <c r="E1264" i="13"/>
  <c r="V1263" i="13"/>
  <c r="E1263" i="13"/>
  <c r="V1262" i="13"/>
  <c r="E1262" i="13"/>
  <c r="V1261" i="13"/>
  <c r="E1261" i="13"/>
  <c r="V1260" i="13"/>
  <c r="E1260" i="13"/>
  <c r="V1259" i="13"/>
  <c r="E1259" i="13"/>
  <c r="V1258" i="13"/>
  <c r="E1258" i="13"/>
  <c r="V1257" i="13"/>
  <c r="E1257" i="13"/>
  <c r="V1256" i="13"/>
  <c r="E1256" i="13"/>
  <c r="V1255" i="13"/>
  <c r="E1255" i="13"/>
  <c r="V1254" i="13"/>
  <c r="E1254" i="13"/>
  <c r="V1253" i="13"/>
  <c r="E1253" i="13"/>
  <c r="V1252" i="13"/>
  <c r="E1252" i="13"/>
  <c r="V1251" i="13"/>
  <c r="E1251" i="13"/>
  <c r="V1250" i="13"/>
  <c r="E1250" i="13"/>
  <c r="V1249" i="13"/>
  <c r="E1249" i="13"/>
  <c r="V1248" i="13"/>
  <c r="E1248" i="13"/>
  <c r="V1247" i="13"/>
  <c r="E1247" i="13"/>
  <c r="V1246" i="13"/>
  <c r="E1246" i="13"/>
  <c r="V1245" i="13"/>
  <c r="E1245" i="13"/>
  <c r="V1244" i="13"/>
  <c r="E1244" i="13"/>
  <c r="V1243" i="13"/>
  <c r="E1243" i="13"/>
  <c r="V1242" i="13"/>
  <c r="E1242" i="13"/>
  <c r="V1241" i="13"/>
  <c r="E1241" i="13"/>
  <c r="V1240" i="13"/>
  <c r="E1240" i="13"/>
  <c r="V1239" i="13"/>
  <c r="E1239" i="13"/>
  <c r="V1238" i="13"/>
  <c r="E1238" i="13"/>
  <c r="V1237" i="13"/>
  <c r="E1237" i="13"/>
  <c r="V1236" i="13"/>
  <c r="E1236" i="13"/>
  <c r="V1235" i="13"/>
  <c r="E1235" i="13"/>
  <c r="V1234" i="13"/>
  <c r="E1234" i="13"/>
  <c r="V1233" i="13"/>
  <c r="E1233" i="13"/>
  <c r="V1232" i="13"/>
  <c r="E1232" i="13"/>
  <c r="V1231" i="13"/>
  <c r="E1231" i="13"/>
  <c r="V1230" i="13"/>
  <c r="E1230" i="13"/>
  <c r="V1229" i="13"/>
  <c r="E1229" i="13"/>
  <c r="V1228" i="13"/>
  <c r="E1228" i="13"/>
  <c r="V1227" i="13"/>
  <c r="E1227" i="13"/>
  <c r="V1226" i="13"/>
  <c r="E1226" i="13"/>
  <c r="V1225" i="13"/>
  <c r="E1225" i="13"/>
  <c r="V1224" i="13"/>
  <c r="E1224" i="13"/>
  <c r="V1223" i="13"/>
  <c r="E1223" i="13"/>
  <c r="V1222" i="13"/>
  <c r="E1222" i="13"/>
  <c r="V1221" i="13"/>
  <c r="E1221" i="13"/>
  <c r="V1220" i="13"/>
  <c r="E1220" i="13"/>
  <c r="V1219" i="13"/>
  <c r="E1219" i="13"/>
  <c r="V1218" i="13"/>
  <c r="E1218" i="13"/>
  <c r="V1217" i="13"/>
  <c r="E1217" i="13"/>
  <c r="V1216" i="13"/>
  <c r="E1216" i="13"/>
  <c r="V1215" i="13"/>
  <c r="E1215" i="13"/>
  <c r="V1214" i="13"/>
  <c r="E1214" i="13"/>
  <c r="V1213" i="13"/>
  <c r="E1213" i="13"/>
  <c r="V1212" i="13"/>
  <c r="E1212" i="13"/>
  <c r="V1211" i="13"/>
  <c r="E1211" i="13"/>
  <c r="V1210" i="13"/>
  <c r="E1210" i="13"/>
  <c r="V1209" i="13"/>
  <c r="E1209" i="13"/>
  <c r="V1208" i="13"/>
  <c r="E1208" i="13"/>
  <c r="V1207" i="13"/>
  <c r="E1207" i="13"/>
  <c r="V1206" i="13"/>
  <c r="E1206" i="13"/>
  <c r="V1205" i="13"/>
  <c r="E1205" i="13"/>
  <c r="V1204" i="13"/>
  <c r="E1204" i="13"/>
  <c r="V1203" i="13"/>
  <c r="E1203" i="13"/>
  <c r="V1202" i="13"/>
  <c r="E1202" i="13"/>
  <c r="V1201" i="13"/>
  <c r="E1201" i="13"/>
  <c r="V1200" i="13"/>
  <c r="E1200" i="13"/>
  <c r="V1199" i="13"/>
  <c r="E1199" i="13"/>
  <c r="V1198" i="13"/>
  <c r="E1198" i="13"/>
  <c r="V1197" i="13"/>
  <c r="E1197" i="13"/>
  <c r="V1196" i="13"/>
  <c r="E1196" i="13"/>
  <c r="V1195" i="13"/>
  <c r="E1195" i="13"/>
  <c r="V1194" i="13"/>
  <c r="E1194" i="13"/>
  <c r="V1193" i="13"/>
  <c r="E1193" i="13"/>
  <c r="V1192" i="13"/>
  <c r="E1192" i="13"/>
  <c r="V1191" i="13"/>
  <c r="E1191" i="13"/>
  <c r="V1190" i="13"/>
  <c r="E1190" i="13"/>
  <c r="V1189" i="13"/>
  <c r="E1189" i="13"/>
  <c r="V1188" i="13"/>
  <c r="E1188" i="13"/>
  <c r="V1187" i="13"/>
  <c r="E1187" i="13"/>
  <c r="V1186" i="13"/>
  <c r="E1186" i="13"/>
  <c r="V1185" i="13"/>
  <c r="E1185" i="13"/>
  <c r="V1184" i="13"/>
  <c r="E1184" i="13"/>
  <c r="V1183" i="13"/>
  <c r="E1183" i="13"/>
  <c r="V1182" i="13"/>
  <c r="E1182" i="13"/>
  <c r="V1181" i="13"/>
  <c r="E1181" i="13"/>
  <c r="V1180" i="13"/>
  <c r="E1180" i="13"/>
  <c r="V1179" i="13"/>
  <c r="E1179" i="13"/>
  <c r="V1178" i="13"/>
  <c r="E1178" i="13"/>
  <c r="V1177" i="13"/>
  <c r="E1177" i="13"/>
  <c r="V1176" i="13"/>
  <c r="E1176" i="13"/>
  <c r="V1175" i="13"/>
  <c r="E1175" i="13"/>
  <c r="V1174" i="13"/>
  <c r="E1174" i="13"/>
  <c r="V1173" i="13"/>
  <c r="E1173" i="13"/>
  <c r="V1172" i="13"/>
  <c r="E1172" i="13"/>
  <c r="V1171" i="13"/>
  <c r="E1171" i="13"/>
  <c r="V1170" i="13"/>
  <c r="E1170" i="13"/>
  <c r="V1169" i="13"/>
  <c r="E1169" i="13"/>
  <c r="V1168" i="13"/>
  <c r="E1168" i="13"/>
  <c r="V1167" i="13"/>
  <c r="E1167" i="13"/>
  <c r="V1166" i="13"/>
  <c r="E1166" i="13"/>
  <c r="V1165" i="13"/>
  <c r="E1165" i="13"/>
  <c r="V1164" i="13"/>
  <c r="E1164" i="13"/>
  <c r="V1163" i="13"/>
  <c r="E1163" i="13"/>
  <c r="V1162" i="13"/>
  <c r="E1162" i="13"/>
  <c r="V1161" i="13"/>
  <c r="E1161" i="13"/>
  <c r="V1160" i="13"/>
  <c r="E1160" i="13"/>
  <c r="V1159" i="13"/>
  <c r="E1159" i="13"/>
  <c r="V1158" i="13"/>
  <c r="E1158" i="13"/>
  <c r="V1157" i="13"/>
  <c r="E1157" i="13"/>
  <c r="V1156" i="13"/>
  <c r="E1156" i="13"/>
  <c r="V1155" i="13"/>
  <c r="E1155" i="13"/>
  <c r="V1154" i="13"/>
  <c r="E1154" i="13"/>
  <c r="V1153" i="13"/>
  <c r="E1153" i="13"/>
  <c r="V1152" i="13"/>
  <c r="E1152" i="13"/>
  <c r="V1151" i="13"/>
  <c r="E1151" i="13"/>
  <c r="V1150" i="13"/>
  <c r="E1150" i="13"/>
  <c r="V1149" i="13"/>
  <c r="E1149" i="13"/>
  <c r="V1148" i="13"/>
  <c r="E1148" i="13"/>
  <c r="V1147" i="13"/>
  <c r="E1147" i="13"/>
  <c r="V1146" i="13"/>
  <c r="E1146" i="13"/>
  <c r="V1145" i="13"/>
  <c r="E1145" i="13"/>
  <c r="V1144" i="13"/>
  <c r="E1144" i="13"/>
  <c r="V1143" i="13"/>
  <c r="E1143" i="13"/>
  <c r="V1142" i="13"/>
  <c r="E1142" i="13"/>
  <c r="V1141" i="13"/>
  <c r="E1141" i="13"/>
  <c r="V1140" i="13"/>
  <c r="E1140" i="13"/>
  <c r="V1139" i="13"/>
  <c r="E1139" i="13"/>
  <c r="V1138" i="13"/>
  <c r="E1138" i="13"/>
  <c r="V1137" i="13"/>
  <c r="E1137" i="13"/>
  <c r="V1136" i="13"/>
  <c r="E1136" i="13"/>
  <c r="V1135" i="13"/>
  <c r="E1135" i="13"/>
  <c r="V1134" i="13"/>
  <c r="E1134" i="13"/>
  <c r="V1133" i="13"/>
  <c r="E1133" i="13"/>
  <c r="V1132" i="13"/>
  <c r="E1132" i="13"/>
  <c r="V1131" i="13"/>
  <c r="E1131" i="13"/>
  <c r="V1130" i="13"/>
  <c r="E1130" i="13"/>
  <c r="V1129" i="13"/>
  <c r="E1129" i="13"/>
  <c r="V1128" i="13"/>
  <c r="E1128" i="13"/>
  <c r="V1127" i="13"/>
  <c r="E1127" i="13"/>
  <c r="V1126" i="13"/>
  <c r="E1126" i="13"/>
  <c r="V1125" i="13"/>
  <c r="E1125" i="13"/>
  <c r="V1124" i="13"/>
  <c r="E1124" i="13"/>
  <c r="V1123" i="13"/>
  <c r="E1123" i="13"/>
  <c r="V1122" i="13"/>
  <c r="E1122" i="13"/>
  <c r="V1121" i="13"/>
  <c r="E1121" i="13"/>
  <c r="V1120" i="13"/>
  <c r="E1120" i="13"/>
  <c r="V1119" i="13"/>
  <c r="E1119" i="13"/>
  <c r="V1118" i="13"/>
  <c r="E1118" i="13"/>
  <c r="V1117" i="13"/>
  <c r="E1117" i="13"/>
  <c r="V1116" i="13"/>
  <c r="E1116" i="13"/>
  <c r="V1115" i="13"/>
  <c r="E1115" i="13"/>
  <c r="V1114" i="13"/>
  <c r="E1114" i="13"/>
  <c r="V1113" i="13"/>
  <c r="E1113" i="13"/>
  <c r="V1112" i="13"/>
  <c r="E1112" i="13"/>
  <c r="V1111" i="13"/>
  <c r="E1111" i="13"/>
  <c r="V1110" i="13"/>
  <c r="E1110" i="13"/>
  <c r="V1109" i="13"/>
  <c r="E1109" i="13"/>
  <c r="V1108" i="13"/>
  <c r="E1108" i="13"/>
  <c r="V1107" i="13"/>
  <c r="E1107" i="13"/>
  <c r="V1106" i="13"/>
  <c r="E1106" i="13"/>
  <c r="V1105" i="13"/>
  <c r="E1105" i="13"/>
  <c r="V1104" i="13"/>
  <c r="E1104" i="13"/>
  <c r="V1103" i="13"/>
  <c r="E1103" i="13"/>
  <c r="V1102" i="13"/>
  <c r="E1102" i="13"/>
  <c r="V1101" i="13"/>
  <c r="E1101" i="13"/>
  <c r="V1100" i="13"/>
  <c r="E1100" i="13"/>
  <c r="V1099" i="13"/>
  <c r="E1099" i="13"/>
  <c r="V1098" i="13"/>
  <c r="E1098" i="13"/>
  <c r="V1097" i="13"/>
  <c r="E1097" i="13"/>
  <c r="V1096" i="13"/>
  <c r="E1096" i="13"/>
  <c r="V1095" i="13"/>
  <c r="E1095" i="13"/>
  <c r="V1094" i="13"/>
  <c r="E1094" i="13"/>
  <c r="V1093" i="13"/>
  <c r="E1093" i="13"/>
  <c r="V1092" i="13"/>
  <c r="E1092" i="13"/>
  <c r="V1091" i="13"/>
  <c r="E1091" i="13"/>
  <c r="V1090" i="13"/>
  <c r="E1090" i="13"/>
  <c r="V1089" i="13"/>
  <c r="E1089" i="13"/>
  <c r="V1088" i="13"/>
  <c r="E1088" i="13"/>
  <c r="V1087" i="13"/>
  <c r="E1087" i="13"/>
  <c r="V1086" i="13"/>
  <c r="E1086" i="13"/>
  <c r="V1085" i="13"/>
  <c r="E1085" i="13"/>
  <c r="V1084" i="13"/>
  <c r="E1084" i="13"/>
  <c r="V1083" i="13"/>
  <c r="E1083" i="13"/>
  <c r="V1082" i="13"/>
  <c r="E1082" i="13"/>
  <c r="V1081" i="13"/>
  <c r="E1081" i="13"/>
  <c r="V1080" i="13"/>
  <c r="E1080" i="13"/>
  <c r="V1079" i="13"/>
  <c r="E1079" i="13"/>
  <c r="V1078" i="13"/>
  <c r="E1078" i="13"/>
  <c r="V1077" i="13"/>
  <c r="E1077" i="13"/>
  <c r="V1076" i="13"/>
  <c r="E1076" i="13"/>
  <c r="V1075" i="13"/>
  <c r="E1075" i="13"/>
  <c r="V1074" i="13"/>
  <c r="E1074" i="13"/>
  <c r="V1073" i="13"/>
  <c r="E1073" i="13"/>
  <c r="V1072" i="13"/>
  <c r="E1072" i="13"/>
  <c r="V1071" i="13"/>
  <c r="E1071" i="13"/>
  <c r="V1070" i="13"/>
  <c r="E1070" i="13"/>
  <c r="V1069" i="13"/>
  <c r="E1069" i="13"/>
  <c r="V1068" i="13"/>
  <c r="E1068" i="13"/>
  <c r="V1067" i="13"/>
  <c r="E1067" i="13"/>
  <c r="V1066" i="13"/>
  <c r="E1066" i="13"/>
  <c r="V1065" i="13"/>
  <c r="E1065" i="13"/>
  <c r="V1064" i="13"/>
  <c r="E1064" i="13"/>
  <c r="V1063" i="13"/>
  <c r="E1063" i="13"/>
  <c r="V1062" i="13"/>
  <c r="E1062" i="13"/>
  <c r="V1061" i="13"/>
  <c r="E1061" i="13"/>
  <c r="V1060" i="13"/>
  <c r="E1060" i="13"/>
  <c r="V1059" i="13"/>
  <c r="E1059" i="13"/>
  <c r="V1058" i="13"/>
  <c r="E1058" i="13"/>
  <c r="V1057" i="13"/>
  <c r="E1057" i="13"/>
  <c r="V1056" i="13"/>
  <c r="E1056" i="13"/>
  <c r="V1055" i="13"/>
  <c r="E1055" i="13"/>
  <c r="V1054" i="13"/>
  <c r="E1054" i="13"/>
  <c r="V1053" i="13"/>
  <c r="E1053" i="13"/>
  <c r="V1052" i="13"/>
  <c r="E1052" i="13"/>
  <c r="V1051" i="13"/>
  <c r="E1051" i="13"/>
  <c r="V1050" i="13"/>
  <c r="E1050" i="13"/>
  <c r="V1049" i="13"/>
  <c r="E1049" i="13"/>
  <c r="V1048" i="13"/>
  <c r="E1048" i="13"/>
  <c r="V1047" i="13"/>
  <c r="E1047" i="13"/>
  <c r="V1046" i="13"/>
  <c r="E1046" i="13"/>
  <c r="V1045" i="13"/>
  <c r="E1045" i="13"/>
  <c r="V1044" i="13"/>
  <c r="E1044" i="13"/>
  <c r="V1043" i="13"/>
  <c r="E1043" i="13"/>
  <c r="V1042" i="13"/>
  <c r="E1042" i="13"/>
  <c r="V1041" i="13"/>
  <c r="E1041" i="13"/>
  <c r="V1040" i="13"/>
  <c r="E1040" i="13"/>
  <c r="V1039" i="13"/>
  <c r="E1039" i="13"/>
  <c r="V1038" i="13"/>
  <c r="E1038" i="13"/>
  <c r="V1037" i="13"/>
  <c r="E1037" i="13"/>
  <c r="V1036" i="13"/>
  <c r="E1036" i="13"/>
  <c r="V1035" i="13"/>
  <c r="E1035" i="13"/>
  <c r="V1034" i="13"/>
  <c r="E1034" i="13"/>
  <c r="V1033" i="13"/>
  <c r="E1033" i="13"/>
  <c r="V1032" i="13"/>
  <c r="E1032" i="13"/>
  <c r="V1031" i="13"/>
  <c r="E1031" i="13"/>
  <c r="V1030" i="13"/>
  <c r="E1030" i="13"/>
  <c r="V1029" i="13"/>
  <c r="E1029" i="13"/>
  <c r="V1028" i="13"/>
  <c r="E1028" i="13"/>
  <c r="V1027" i="13"/>
  <c r="E1027" i="13"/>
  <c r="V1026" i="13"/>
  <c r="E1026" i="13"/>
  <c r="V1025" i="13"/>
  <c r="E1025" i="13"/>
  <c r="V1024" i="13"/>
  <c r="E1024" i="13"/>
  <c r="V1023" i="13"/>
  <c r="E1023" i="13"/>
  <c r="V1022" i="13"/>
  <c r="E1022" i="13"/>
  <c r="V1021" i="13"/>
  <c r="E1021" i="13"/>
  <c r="V1020" i="13"/>
  <c r="E1020" i="13"/>
  <c r="V1019" i="13"/>
  <c r="E1019" i="13"/>
  <c r="V1018" i="13"/>
  <c r="E1018" i="13"/>
  <c r="V1017" i="13"/>
  <c r="E1017" i="13"/>
  <c r="V1016" i="13"/>
  <c r="E1016" i="13"/>
  <c r="V1015" i="13"/>
  <c r="E1015" i="13"/>
  <c r="V1014" i="13"/>
  <c r="E1014" i="13"/>
  <c r="V1013" i="13"/>
  <c r="E1013" i="13"/>
  <c r="V1012" i="13"/>
  <c r="E1012" i="13"/>
  <c r="V1011" i="13"/>
  <c r="E1011" i="13"/>
  <c r="V1010" i="13"/>
  <c r="E1010" i="13"/>
  <c r="V1009" i="13"/>
  <c r="E1009" i="13"/>
  <c r="V1008" i="13"/>
  <c r="E1008" i="13"/>
  <c r="V1007" i="13"/>
  <c r="E1007" i="13"/>
  <c r="V1006" i="13"/>
  <c r="E1006" i="13"/>
  <c r="V1005" i="13"/>
  <c r="E1005" i="13"/>
  <c r="V1004" i="13"/>
  <c r="E1004" i="13"/>
  <c r="V1003" i="13"/>
  <c r="E1003" i="13"/>
  <c r="V1002" i="13"/>
  <c r="E1002" i="13"/>
  <c r="V1001" i="13"/>
  <c r="E1001" i="13"/>
  <c r="V1000" i="13"/>
  <c r="E1000" i="13"/>
  <c r="V999" i="13"/>
  <c r="E999" i="13"/>
  <c r="V998" i="13"/>
  <c r="E998" i="13"/>
  <c r="V997" i="13"/>
  <c r="E997" i="13"/>
  <c r="V996" i="13"/>
  <c r="E996" i="13"/>
  <c r="V995" i="13"/>
  <c r="E995" i="13"/>
  <c r="V994" i="13"/>
  <c r="E994" i="13"/>
  <c r="V993" i="13"/>
  <c r="E993" i="13"/>
  <c r="V992" i="13"/>
  <c r="E992" i="13"/>
  <c r="V991" i="13"/>
  <c r="E991" i="13"/>
  <c r="V990" i="13"/>
  <c r="E990" i="13"/>
  <c r="V989" i="13"/>
  <c r="E989" i="13"/>
  <c r="V988" i="13"/>
  <c r="E988" i="13"/>
  <c r="V987" i="13"/>
  <c r="E987" i="13"/>
  <c r="V986" i="13"/>
  <c r="E986" i="13"/>
  <c r="V985" i="13"/>
  <c r="E985" i="13"/>
  <c r="V984" i="13"/>
  <c r="E984" i="13"/>
  <c r="V983" i="13"/>
  <c r="E983" i="13"/>
  <c r="V982" i="13"/>
  <c r="E982" i="13"/>
  <c r="V981" i="13"/>
  <c r="E981" i="13"/>
  <c r="V980" i="13"/>
  <c r="E980" i="13"/>
  <c r="V979" i="13"/>
  <c r="E979" i="13"/>
  <c r="V978" i="13"/>
  <c r="E978" i="13"/>
  <c r="V977" i="13"/>
  <c r="E977" i="13"/>
  <c r="V976" i="13"/>
  <c r="E976" i="13"/>
  <c r="V975" i="13"/>
  <c r="E975" i="13"/>
  <c r="V974" i="13"/>
  <c r="E974" i="13"/>
  <c r="V973" i="13"/>
  <c r="E973" i="13"/>
  <c r="V972" i="13"/>
  <c r="E972" i="13"/>
  <c r="V971" i="13"/>
  <c r="E971" i="13"/>
  <c r="V970" i="13"/>
  <c r="E970" i="13"/>
  <c r="V969" i="13"/>
  <c r="E969" i="13"/>
  <c r="V968" i="13"/>
  <c r="E968" i="13"/>
  <c r="V967" i="13"/>
  <c r="E967" i="13"/>
  <c r="V966" i="13"/>
  <c r="E966" i="13"/>
  <c r="V965" i="13"/>
  <c r="E965" i="13"/>
  <c r="V964" i="13"/>
  <c r="E964" i="13"/>
  <c r="V963" i="13"/>
  <c r="E963" i="13"/>
  <c r="V962" i="13"/>
  <c r="E962" i="13"/>
  <c r="V961" i="13"/>
  <c r="E961" i="13"/>
  <c r="V960" i="13"/>
  <c r="E960" i="13"/>
  <c r="V959" i="13"/>
  <c r="E959" i="13"/>
  <c r="V958" i="13"/>
  <c r="E958" i="13"/>
  <c r="V957" i="13"/>
  <c r="E957" i="13"/>
  <c r="V956" i="13"/>
  <c r="E956" i="13"/>
  <c r="V955" i="13"/>
  <c r="E955" i="13"/>
  <c r="V954" i="13"/>
  <c r="E954" i="13"/>
  <c r="V953" i="13"/>
  <c r="E953" i="13"/>
  <c r="V952" i="13"/>
  <c r="E952" i="13"/>
  <c r="V951" i="13"/>
  <c r="E951" i="13"/>
  <c r="V950" i="13"/>
  <c r="E950" i="13"/>
  <c r="V949" i="13"/>
  <c r="E949" i="13"/>
  <c r="V948" i="13"/>
  <c r="E948" i="13"/>
  <c r="V947" i="13"/>
  <c r="E947" i="13"/>
  <c r="V946" i="13"/>
  <c r="E946" i="13"/>
  <c r="V945" i="13"/>
  <c r="E945" i="13"/>
  <c r="V944" i="13"/>
  <c r="E944" i="13"/>
  <c r="V943" i="13"/>
  <c r="E943" i="13"/>
  <c r="V942" i="13"/>
  <c r="E942" i="13"/>
  <c r="V941" i="13"/>
  <c r="E941" i="13"/>
  <c r="V940" i="13"/>
  <c r="E940" i="13"/>
  <c r="V939" i="13"/>
  <c r="E939" i="13"/>
  <c r="V938" i="13"/>
  <c r="E938" i="13"/>
  <c r="V937" i="13"/>
  <c r="E937" i="13"/>
  <c r="V936" i="13"/>
  <c r="E936" i="13"/>
  <c r="V935" i="13"/>
  <c r="E935" i="13"/>
  <c r="V934" i="13"/>
  <c r="E934" i="13"/>
  <c r="V933" i="13"/>
  <c r="E933" i="13"/>
  <c r="V932" i="13"/>
  <c r="E932" i="13"/>
  <c r="V931" i="13"/>
  <c r="E931" i="13"/>
  <c r="V930" i="13"/>
  <c r="E930" i="13"/>
  <c r="V929" i="13"/>
  <c r="E929" i="13"/>
  <c r="V928" i="13"/>
  <c r="E928" i="13"/>
  <c r="V927" i="13"/>
  <c r="E927" i="13"/>
  <c r="V926" i="13"/>
  <c r="E926" i="13"/>
  <c r="V925" i="13"/>
  <c r="E925" i="13"/>
  <c r="V924" i="13"/>
  <c r="E924" i="13"/>
  <c r="V923" i="13"/>
  <c r="E923" i="13"/>
  <c r="V922" i="13"/>
  <c r="E922" i="13"/>
  <c r="V921" i="13"/>
  <c r="E921" i="13"/>
  <c r="V920" i="13"/>
  <c r="E920" i="13"/>
  <c r="V919" i="13"/>
  <c r="E919" i="13"/>
  <c r="V918" i="13"/>
  <c r="E918" i="13"/>
  <c r="V917" i="13"/>
  <c r="E917" i="13"/>
  <c r="V916" i="13"/>
  <c r="E916" i="13"/>
  <c r="V915" i="13"/>
  <c r="E915" i="13"/>
  <c r="V914" i="13"/>
  <c r="E914" i="13"/>
  <c r="V913" i="13"/>
  <c r="E913" i="13"/>
  <c r="V912" i="13"/>
  <c r="E912" i="13"/>
  <c r="V911" i="13"/>
  <c r="E911" i="13"/>
  <c r="V910" i="13"/>
  <c r="E910" i="13"/>
  <c r="V909" i="13"/>
  <c r="E909" i="13"/>
  <c r="V908" i="13"/>
  <c r="E908" i="13"/>
  <c r="V907" i="13"/>
  <c r="E907" i="13"/>
  <c r="V906" i="13"/>
  <c r="E906" i="13"/>
  <c r="V905" i="13"/>
  <c r="E905" i="13"/>
  <c r="V904" i="13"/>
  <c r="E904" i="13"/>
  <c r="V903" i="13"/>
  <c r="E903" i="13"/>
  <c r="V902" i="13"/>
  <c r="E902" i="13"/>
  <c r="V901" i="13"/>
  <c r="E901" i="13"/>
  <c r="V900" i="13"/>
  <c r="E900" i="13"/>
  <c r="V899" i="13"/>
  <c r="E899" i="13"/>
  <c r="V898" i="13"/>
  <c r="E898" i="13"/>
  <c r="V897" i="13"/>
  <c r="E897" i="13"/>
  <c r="V896" i="13"/>
  <c r="E896" i="13"/>
  <c r="V895" i="13"/>
  <c r="E895" i="13"/>
  <c r="V894" i="13"/>
  <c r="E894" i="13"/>
  <c r="V893" i="13"/>
  <c r="E893" i="13"/>
  <c r="V892" i="13"/>
  <c r="E892" i="13"/>
  <c r="V891" i="13"/>
  <c r="E891" i="13"/>
  <c r="V890" i="13"/>
  <c r="E890" i="13"/>
  <c r="V889" i="13"/>
  <c r="E889" i="13"/>
  <c r="V888" i="13"/>
  <c r="E888" i="13"/>
  <c r="V887" i="13"/>
  <c r="E887" i="13"/>
  <c r="V886" i="13"/>
  <c r="E886" i="13"/>
  <c r="V885" i="13"/>
  <c r="E885" i="13"/>
  <c r="V884" i="13"/>
  <c r="E884" i="13"/>
  <c r="V883" i="13"/>
  <c r="E883" i="13"/>
  <c r="V882" i="13"/>
  <c r="E882" i="13"/>
  <c r="V881" i="13"/>
  <c r="E881" i="13"/>
  <c r="V880" i="13"/>
  <c r="E880" i="13"/>
  <c r="V879" i="13"/>
  <c r="E879" i="13"/>
  <c r="V878" i="13"/>
  <c r="E878" i="13"/>
  <c r="V877" i="13"/>
  <c r="E877" i="13"/>
  <c r="V876" i="13"/>
  <c r="E876" i="13"/>
  <c r="V875" i="13"/>
  <c r="E875" i="13"/>
  <c r="V874" i="13"/>
  <c r="E874" i="13"/>
  <c r="V873" i="13"/>
  <c r="E873" i="13"/>
  <c r="V872" i="13"/>
  <c r="E872" i="13"/>
  <c r="V871" i="13"/>
  <c r="E871" i="13"/>
  <c r="V870" i="13"/>
  <c r="E870" i="13"/>
  <c r="V869" i="13"/>
  <c r="E869" i="13"/>
  <c r="V868" i="13"/>
  <c r="E868" i="13"/>
  <c r="V867" i="13"/>
  <c r="E867" i="13"/>
  <c r="V866" i="13"/>
  <c r="E866" i="13"/>
  <c r="V865" i="13"/>
  <c r="E865" i="13"/>
  <c r="V864" i="13"/>
  <c r="E864" i="13"/>
  <c r="V863" i="13"/>
  <c r="E863" i="13"/>
  <c r="V862" i="13"/>
  <c r="E862" i="13"/>
  <c r="V861" i="13"/>
  <c r="E861" i="13"/>
  <c r="V860" i="13"/>
  <c r="E860" i="13"/>
  <c r="V859" i="13"/>
  <c r="E859" i="13"/>
  <c r="V858" i="13"/>
  <c r="E858" i="13"/>
  <c r="V857" i="13"/>
  <c r="E857" i="13"/>
  <c r="V856" i="13"/>
  <c r="E856" i="13"/>
  <c r="V855" i="13"/>
  <c r="E855" i="13"/>
  <c r="V854" i="13"/>
  <c r="E854" i="13"/>
  <c r="V853" i="13"/>
  <c r="E853" i="13"/>
  <c r="V852" i="13"/>
  <c r="E852" i="13"/>
  <c r="V851" i="13"/>
  <c r="E851" i="13"/>
  <c r="V850" i="13"/>
  <c r="E850" i="13"/>
  <c r="V849" i="13"/>
  <c r="E849" i="13"/>
  <c r="V848" i="13"/>
  <c r="E848" i="13"/>
  <c r="V847" i="13"/>
  <c r="E847" i="13"/>
  <c r="V846" i="13"/>
  <c r="E846" i="13"/>
  <c r="V845" i="13"/>
  <c r="E845" i="13"/>
  <c r="V844" i="13"/>
  <c r="E844" i="13"/>
  <c r="V843" i="13"/>
  <c r="E843" i="13"/>
  <c r="V842" i="13"/>
  <c r="E842" i="13"/>
  <c r="V841" i="13"/>
  <c r="E841" i="13"/>
  <c r="V840" i="13"/>
  <c r="E840" i="13"/>
  <c r="V839" i="13"/>
  <c r="E839" i="13"/>
  <c r="V838" i="13"/>
  <c r="E838" i="13"/>
  <c r="V837" i="13"/>
  <c r="E837" i="13"/>
  <c r="V836" i="13"/>
  <c r="E836" i="13"/>
  <c r="V835" i="13"/>
  <c r="E835" i="13"/>
  <c r="V834" i="13"/>
  <c r="E834" i="13"/>
  <c r="V833" i="13"/>
  <c r="E833" i="13"/>
  <c r="V832" i="13"/>
  <c r="E832" i="13"/>
  <c r="V831" i="13"/>
  <c r="E831" i="13"/>
  <c r="V830" i="13"/>
  <c r="E830" i="13"/>
  <c r="V829" i="13"/>
  <c r="E829" i="13"/>
  <c r="V828" i="13"/>
  <c r="E828" i="13"/>
  <c r="V827" i="13"/>
  <c r="E827" i="13"/>
  <c r="V826" i="13"/>
  <c r="E826" i="13"/>
  <c r="V825" i="13"/>
  <c r="E825" i="13"/>
  <c r="V824" i="13"/>
  <c r="E824" i="13"/>
  <c r="V823" i="13"/>
  <c r="E823" i="13"/>
  <c r="V822" i="13"/>
  <c r="E822" i="13"/>
  <c r="V821" i="13"/>
  <c r="E821" i="13"/>
  <c r="V820" i="13"/>
  <c r="E820" i="13"/>
  <c r="V819" i="13"/>
  <c r="E819" i="13"/>
  <c r="V818" i="13"/>
  <c r="E818" i="13"/>
  <c r="V817" i="13"/>
  <c r="E817" i="13"/>
  <c r="V816" i="13"/>
  <c r="E816" i="13"/>
  <c r="V815" i="13"/>
  <c r="E815" i="13"/>
  <c r="V814" i="13"/>
  <c r="E814" i="13"/>
  <c r="V813" i="13"/>
  <c r="E813" i="13"/>
  <c r="V812" i="13"/>
  <c r="E812" i="13"/>
  <c r="V811" i="13"/>
  <c r="E811" i="13"/>
  <c r="V810" i="13"/>
  <c r="E810" i="13"/>
  <c r="V809" i="13"/>
  <c r="E809" i="13"/>
  <c r="V808" i="13"/>
  <c r="E808" i="13"/>
  <c r="V807" i="13"/>
  <c r="E807" i="13"/>
  <c r="V806" i="13"/>
  <c r="E806" i="13"/>
  <c r="V805" i="13"/>
  <c r="E805" i="13"/>
  <c r="V804" i="13"/>
  <c r="E804" i="13"/>
  <c r="V803" i="13"/>
  <c r="E803" i="13"/>
  <c r="V802" i="13"/>
  <c r="E802" i="13"/>
  <c r="V801" i="13"/>
  <c r="E801" i="13"/>
  <c r="V800" i="13"/>
  <c r="E800" i="13"/>
  <c r="V799" i="13"/>
  <c r="E799" i="13"/>
  <c r="V798" i="13"/>
  <c r="E798" i="13"/>
  <c r="V797" i="13"/>
  <c r="E797" i="13"/>
  <c r="V796" i="13"/>
  <c r="E796" i="13"/>
  <c r="V795" i="13"/>
  <c r="E795" i="13"/>
  <c r="V794" i="13"/>
  <c r="E794" i="13"/>
  <c r="V793" i="13"/>
  <c r="E793" i="13"/>
  <c r="V792" i="13"/>
  <c r="E792" i="13"/>
  <c r="V791" i="13"/>
  <c r="E791" i="13"/>
  <c r="V790" i="13"/>
  <c r="E790" i="13"/>
  <c r="V789" i="13"/>
  <c r="E789" i="13"/>
  <c r="V788" i="13"/>
  <c r="E788" i="13"/>
  <c r="V787" i="13"/>
  <c r="E787" i="13"/>
  <c r="V786" i="13"/>
  <c r="E786" i="13"/>
  <c r="V785" i="13"/>
  <c r="E785" i="13"/>
  <c r="V784" i="13"/>
  <c r="E784" i="13"/>
  <c r="V783" i="13"/>
  <c r="E783" i="13"/>
  <c r="V782" i="13"/>
  <c r="E782" i="13"/>
  <c r="V781" i="13"/>
  <c r="E781" i="13"/>
  <c r="V780" i="13"/>
  <c r="E780" i="13"/>
  <c r="V779" i="13"/>
  <c r="E779" i="13"/>
  <c r="V778" i="13"/>
  <c r="E778" i="13"/>
  <c r="V777" i="13"/>
  <c r="E777" i="13"/>
  <c r="V776" i="13"/>
  <c r="E776" i="13"/>
  <c r="V775" i="13"/>
  <c r="E775" i="13"/>
  <c r="V774" i="13"/>
  <c r="E774" i="13"/>
  <c r="V773" i="13"/>
  <c r="E773" i="13"/>
  <c r="V772" i="13"/>
  <c r="E772" i="13"/>
  <c r="V771" i="13"/>
  <c r="E771" i="13"/>
  <c r="V770" i="13"/>
  <c r="E770" i="13"/>
  <c r="V769" i="13"/>
  <c r="E769" i="13"/>
  <c r="V768" i="13"/>
  <c r="E768" i="13"/>
  <c r="V767" i="13"/>
  <c r="E767" i="13"/>
  <c r="V766" i="13"/>
  <c r="E766" i="13"/>
  <c r="V765" i="13"/>
  <c r="E765" i="13"/>
  <c r="V764" i="13"/>
  <c r="E764" i="13"/>
  <c r="V763" i="13"/>
  <c r="E763" i="13"/>
  <c r="V762" i="13"/>
  <c r="E762" i="13"/>
  <c r="V761" i="13"/>
  <c r="E761" i="13"/>
  <c r="V760" i="13"/>
  <c r="E760" i="13"/>
  <c r="V759" i="13"/>
  <c r="E759" i="13"/>
  <c r="V758" i="13"/>
  <c r="E758" i="13"/>
  <c r="V757" i="13"/>
  <c r="E757" i="13"/>
  <c r="V756" i="13"/>
  <c r="E756" i="13"/>
  <c r="V755" i="13"/>
  <c r="E755" i="13"/>
  <c r="V754" i="13"/>
  <c r="E754" i="13"/>
  <c r="V753" i="13"/>
  <c r="E753" i="13"/>
  <c r="V752" i="13"/>
  <c r="E752" i="13"/>
  <c r="V751" i="13"/>
  <c r="E751" i="13"/>
  <c r="V750" i="13"/>
  <c r="E750" i="13"/>
  <c r="V749" i="13"/>
  <c r="E749" i="13"/>
  <c r="V748" i="13"/>
  <c r="E748" i="13"/>
  <c r="V747" i="13"/>
  <c r="E747" i="13"/>
  <c r="V746" i="13"/>
  <c r="E746" i="13"/>
  <c r="V745" i="13"/>
  <c r="E745" i="13"/>
  <c r="V744" i="13"/>
  <c r="E744" i="13"/>
  <c r="V743" i="13"/>
  <c r="E743" i="13"/>
  <c r="V742" i="13"/>
  <c r="E742" i="13"/>
  <c r="V741" i="13"/>
  <c r="E741" i="13"/>
  <c r="V740" i="13"/>
  <c r="E740" i="13"/>
  <c r="V739" i="13"/>
  <c r="E739" i="13"/>
  <c r="V738" i="13"/>
  <c r="E738" i="13"/>
  <c r="V737" i="13"/>
  <c r="E737" i="13"/>
  <c r="V736" i="13"/>
  <c r="E736" i="13"/>
  <c r="V735" i="13"/>
  <c r="E735" i="13"/>
  <c r="V734" i="13"/>
  <c r="E734" i="13"/>
  <c r="V733" i="13"/>
  <c r="E733" i="13"/>
  <c r="V732" i="13"/>
  <c r="E732" i="13"/>
  <c r="V731" i="13"/>
  <c r="E731" i="13"/>
  <c r="V730" i="13"/>
  <c r="E730" i="13"/>
  <c r="V729" i="13"/>
  <c r="E729" i="13"/>
  <c r="V728" i="13"/>
  <c r="E728" i="13"/>
  <c r="V727" i="13"/>
  <c r="E727" i="13"/>
  <c r="V726" i="13"/>
  <c r="E726" i="13"/>
  <c r="V725" i="13"/>
  <c r="E725" i="13"/>
  <c r="V724" i="13"/>
  <c r="E724" i="13"/>
  <c r="V723" i="13"/>
  <c r="E723" i="13"/>
  <c r="V722" i="13"/>
  <c r="E722" i="13"/>
  <c r="V721" i="13"/>
  <c r="E721" i="13"/>
  <c r="V720" i="13"/>
  <c r="E720" i="13"/>
  <c r="V719" i="13"/>
  <c r="E719" i="13"/>
  <c r="V718" i="13"/>
  <c r="E718" i="13"/>
  <c r="V717" i="13"/>
  <c r="E717" i="13"/>
  <c r="V716" i="13"/>
  <c r="E716" i="13"/>
  <c r="V715" i="13"/>
  <c r="E715" i="13"/>
  <c r="V714" i="13"/>
  <c r="E714" i="13"/>
  <c r="V713" i="13"/>
  <c r="E713" i="13"/>
  <c r="V712" i="13"/>
  <c r="E712" i="13"/>
  <c r="V711" i="13"/>
  <c r="E711" i="13"/>
  <c r="V710" i="13"/>
  <c r="E710" i="13"/>
  <c r="V709" i="13"/>
  <c r="E709" i="13"/>
  <c r="V708" i="13"/>
  <c r="E708" i="13"/>
  <c r="V707" i="13"/>
  <c r="E707" i="13"/>
  <c r="V706" i="13"/>
  <c r="E706" i="13"/>
  <c r="V705" i="13"/>
  <c r="E705" i="13"/>
  <c r="V704" i="13"/>
  <c r="E704" i="13"/>
  <c r="V703" i="13"/>
  <c r="E703" i="13"/>
  <c r="V702" i="13"/>
  <c r="E702" i="13"/>
  <c r="V701" i="13"/>
  <c r="E701" i="13"/>
  <c r="V700" i="13"/>
  <c r="E700" i="13"/>
  <c r="V699" i="13"/>
  <c r="E699" i="13"/>
  <c r="V698" i="13"/>
  <c r="E698" i="13"/>
  <c r="V697" i="13"/>
  <c r="E697" i="13"/>
  <c r="V696" i="13"/>
  <c r="E696" i="13"/>
  <c r="V695" i="13"/>
  <c r="E695" i="13"/>
  <c r="V694" i="13"/>
  <c r="E694" i="13"/>
  <c r="V693" i="13"/>
  <c r="E693" i="13"/>
  <c r="V692" i="13"/>
  <c r="E692" i="13"/>
  <c r="V691" i="13"/>
  <c r="E691" i="13"/>
  <c r="V690" i="13"/>
  <c r="E690" i="13"/>
  <c r="V689" i="13"/>
  <c r="E689" i="13"/>
  <c r="V688" i="13"/>
  <c r="E688" i="13"/>
  <c r="V687" i="13"/>
  <c r="E687" i="13"/>
  <c r="V686" i="13"/>
  <c r="E686" i="13"/>
  <c r="V685" i="13"/>
  <c r="E685" i="13"/>
  <c r="V684" i="13"/>
  <c r="E684" i="13"/>
  <c r="V683" i="13"/>
  <c r="E683" i="13"/>
  <c r="V682" i="13"/>
  <c r="E682" i="13"/>
  <c r="V681" i="13"/>
  <c r="E681" i="13"/>
  <c r="V680" i="13"/>
  <c r="E680" i="13"/>
  <c r="V679" i="13"/>
  <c r="E679" i="13"/>
  <c r="V678" i="13"/>
  <c r="E678" i="13"/>
  <c r="V677" i="13"/>
  <c r="E677" i="13"/>
  <c r="V676" i="13"/>
  <c r="E676" i="13"/>
  <c r="V675" i="13"/>
  <c r="E675" i="13"/>
  <c r="V674" i="13"/>
  <c r="E674" i="13"/>
  <c r="V673" i="13"/>
  <c r="E673" i="13"/>
  <c r="V672" i="13"/>
  <c r="E672" i="13"/>
  <c r="V671" i="13"/>
  <c r="E671" i="13"/>
  <c r="V670" i="13"/>
  <c r="E670" i="13"/>
  <c r="V669" i="13"/>
  <c r="E669" i="13"/>
  <c r="V668" i="13"/>
  <c r="E668" i="13"/>
  <c r="V667" i="13"/>
  <c r="E667" i="13"/>
  <c r="V666" i="13"/>
  <c r="E666" i="13"/>
  <c r="V665" i="13"/>
  <c r="E665" i="13"/>
  <c r="V664" i="13"/>
  <c r="E664" i="13"/>
  <c r="V663" i="13"/>
  <c r="E663" i="13"/>
  <c r="V662" i="13"/>
  <c r="E662" i="13"/>
  <c r="V661" i="13"/>
  <c r="E661" i="13"/>
  <c r="V660" i="13"/>
  <c r="E660" i="13"/>
  <c r="V659" i="13"/>
  <c r="E659" i="13"/>
  <c r="V658" i="13"/>
  <c r="E658" i="13"/>
  <c r="V657" i="13"/>
  <c r="E657" i="13"/>
  <c r="V656" i="13"/>
  <c r="E656" i="13"/>
  <c r="V655" i="13"/>
  <c r="E655" i="13"/>
  <c r="V654" i="13"/>
  <c r="E654" i="13"/>
  <c r="V653" i="13"/>
  <c r="E653" i="13"/>
  <c r="V652" i="13"/>
  <c r="E652" i="13"/>
  <c r="V651" i="13"/>
  <c r="E651" i="13"/>
  <c r="V650" i="13"/>
  <c r="E650" i="13"/>
  <c r="V649" i="13"/>
  <c r="E649" i="13"/>
  <c r="V648" i="13"/>
  <c r="E648" i="13"/>
  <c r="V647" i="13"/>
  <c r="E647" i="13"/>
  <c r="V646" i="13"/>
  <c r="E646" i="13"/>
  <c r="V645" i="13"/>
  <c r="E645" i="13"/>
  <c r="V644" i="13"/>
  <c r="E644" i="13"/>
  <c r="V643" i="13"/>
  <c r="E643" i="13"/>
  <c r="V642" i="13"/>
  <c r="E642" i="13"/>
  <c r="V641" i="13"/>
  <c r="E641" i="13"/>
  <c r="V640" i="13"/>
  <c r="E640" i="13"/>
  <c r="V639" i="13"/>
  <c r="E639" i="13"/>
  <c r="V638" i="13"/>
  <c r="E638" i="13"/>
  <c r="V637" i="13"/>
  <c r="E637" i="13"/>
  <c r="V636" i="13"/>
  <c r="E636" i="13"/>
  <c r="V635" i="13"/>
  <c r="E635" i="13"/>
  <c r="V634" i="13"/>
  <c r="E634" i="13"/>
  <c r="V633" i="13"/>
  <c r="E633" i="13"/>
  <c r="V632" i="13"/>
  <c r="E632" i="13"/>
  <c r="V631" i="13"/>
  <c r="E631" i="13"/>
  <c r="V630" i="13"/>
  <c r="E630" i="13"/>
  <c r="V629" i="13"/>
  <c r="E629" i="13"/>
  <c r="V628" i="13"/>
  <c r="E628" i="13"/>
  <c r="V627" i="13"/>
  <c r="E627" i="13"/>
  <c r="V626" i="13"/>
  <c r="E626" i="13"/>
  <c r="V625" i="13"/>
  <c r="E625" i="13"/>
  <c r="V624" i="13"/>
  <c r="E624" i="13"/>
  <c r="V623" i="13"/>
  <c r="E623" i="13"/>
  <c r="V622" i="13"/>
  <c r="E622" i="13"/>
  <c r="V621" i="13"/>
  <c r="E621" i="13"/>
  <c r="V620" i="13"/>
  <c r="E620" i="13"/>
  <c r="V619" i="13"/>
  <c r="E619" i="13"/>
  <c r="V618" i="13"/>
  <c r="E618" i="13"/>
  <c r="V617" i="13"/>
  <c r="E617" i="13"/>
  <c r="V616" i="13"/>
  <c r="E616" i="13"/>
  <c r="V615" i="13"/>
  <c r="E615" i="13"/>
  <c r="V614" i="13"/>
  <c r="E614" i="13"/>
  <c r="V613" i="13"/>
  <c r="E613" i="13"/>
  <c r="V612" i="13"/>
  <c r="E612" i="13"/>
  <c r="V611" i="13"/>
  <c r="E611" i="13"/>
  <c r="V610" i="13"/>
  <c r="E610" i="13"/>
  <c r="V609" i="13"/>
  <c r="E609" i="13"/>
  <c r="V608" i="13"/>
  <c r="E608" i="13"/>
  <c r="V607" i="13"/>
  <c r="E607" i="13"/>
  <c r="V606" i="13"/>
  <c r="E606" i="13"/>
  <c r="V605" i="13"/>
  <c r="E605" i="13"/>
  <c r="V604" i="13"/>
  <c r="E604" i="13"/>
  <c r="V603" i="13"/>
  <c r="E603" i="13"/>
  <c r="V602" i="13"/>
  <c r="E602" i="13"/>
  <c r="V601" i="13"/>
  <c r="E601" i="13"/>
  <c r="V600" i="13"/>
  <c r="E600" i="13"/>
  <c r="V599" i="13"/>
  <c r="E599" i="13"/>
  <c r="V598" i="13"/>
  <c r="E598" i="13"/>
  <c r="V597" i="13"/>
  <c r="E597" i="13"/>
  <c r="V596" i="13"/>
  <c r="E596" i="13"/>
  <c r="V595" i="13"/>
  <c r="E595" i="13"/>
  <c r="V594" i="13"/>
  <c r="E594" i="13"/>
  <c r="V593" i="13"/>
  <c r="E593" i="13"/>
  <c r="V592" i="13"/>
  <c r="E592" i="13"/>
  <c r="V591" i="13"/>
  <c r="E591" i="13"/>
  <c r="V590" i="13"/>
  <c r="E590" i="13"/>
  <c r="V589" i="13"/>
  <c r="E589" i="13"/>
  <c r="V588" i="13"/>
  <c r="E588" i="13"/>
  <c r="V587" i="13"/>
  <c r="E587" i="13"/>
  <c r="V586" i="13"/>
  <c r="E586" i="13"/>
  <c r="V585" i="13"/>
  <c r="E585" i="13"/>
  <c r="V584" i="13"/>
  <c r="E584" i="13"/>
  <c r="V583" i="13"/>
  <c r="E583" i="13"/>
  <c r="V582" i="13"/>
  <c r="E582" i="13"/>
  <c r="V581" i="13"/>
  <c r="E581" i="13"/>
  <c r="V580" i="13"/>
  <c r="E580" i="13"/>
  <c r="V579" i="13"/>
  <c r="E579" i="13"/>
  <c r="V578" i="13"/>
  <c r="E578" i="13"/>
  <c r="V577" i="13"/>
  <c r="E577" i="13"/>
  <c r="V576" i="13"/>
  <c r="E576" i="13"/>
  <c r="V575" i="13"/>
  <c r="E575" i="13"/>
  <c r="V574" i="13"/>
  <c r="E574" i="13"/>
  <c r="V573" i="13"/>
  <c r="E573" i="13"/>
  <c r="V572" i="13"/>
  <c r="E572" i="13"/>
  <c r="V571" i="13"/>
  <c r="E571" i="13"/>
  <c r="V570" i="13"/>
  <c r="E570" i="13"/>
  <c r="V569" i="13"/>
  <c r="E569" i="13"/>
  <c r="V568" i="13"/>
  <c r="E568" i="13"/>
  <c r="V567" i="13"/>
  <c r="E567" i="13"/>
  <c r="V566" i="13"/>
  <c r="E566" i="13"/>
  <c r="V565" i="13"/>
  <c r="E565" i="13"/>
  <c r="V564" i="13"/>
  <c r="E564" i="13"/>
  <c r="V563" i="13"/>
  <c r="E563" i="13"/>
  <c r="V562" i="13"/>
  <c r="E562" i="13"/>
  <c r="V561" i="13"/>
  <c r="E561" i="13"/>
  <c r="V560" i="13"/>
  <c r="E560" i="13"/>
  <c r="V559" i="13"/>
  <c r="E559" i="13"/>
  <c r="V558" i="13"/>
  <c r="E558" i="13"/>
  <c r="V557" i="13"/>
  <c r="E557" i="13"/>
  <c r="V556" i="13"/>
  <c r="E556" i="13"/>
  <c r="V555" i="13"/>
  <c r="E555" i="13"/>
  <c r="V554" i="13"/>
  <c r="E554" i="13"/>
  <c r="V553" i="13"/>
  <c r="E553" i="13"/>
  <c r="V552" i="13"/>
  <c r="E552" i="13"/>
  <c r="V551" i="13"/>
  <c r="E551" i="13"/>
  <c r="V550" i="13"/>
  <c r="E550" i="13"/>
  <c r="V549" i="13"/>
  <c r="E549" i="13"/>
  <c r="V548" i="13"/>
  <c r="E548" i="13"/>
  <c r="V547" i="13"/>
  <c r="E547" i="13"/>
  <c r="V546" i="13"/>
  <c r="E546" i="13"/>
  <c r="V545" i="13"/>
  <c r="E545" i="13"/>
  <c r="V544" i="13"/>
  <c r="E544" i="13"/>
  <c r="V543" i="13"/>
  <c r="E543" i="13"/>
  <c r="V542" i="13"/>
  <c r="E542" i="13"/>
  <c r="V541" i="13"/>
  <c r="E541" i="13"/>
  <c r="V540" i="13"/>
  <c r="E540" i="13"/>
  <c r="V539" i="13"/>
  <c r="E539" i="13"/>
  <c r="V538" i="13"/>
  <c r="E538" i="13"/>
  <c r="V537" i="13"/>
  <c r="E537" i="13"/>
  <c r="V536" i="13"/>
  <c r="E536" i="13"/>
  <c r="V535" i="13"/>
  <c r="E535" i="13"/>
  <c r="V534" i="13"/>
  <c r="E534" i="13"/>
  <c r="V533" i="13"/>
  <c r="E533" i="13"/>
  <c r="V532" i="13"/>
  <c r="E532" i="13"/>
  <c r="V531" i="13"/>
  <c r="E531" i="13"/>
  <c r="V530" i="13"/>
  <c r="E530" i="13"/>
  <c r="V529" i="13"/>
  <c r="E529" i="13"/>
  <c r="V528" i="13"/>
  <c r="E528" i="13"/>
  <c r="V527" i="13"/>
  <c r="E527" i="13"/>
  <c r="V526" i="13"/>
  <c r="E526" i="13"/>
  <c r="V525" i="13"/>
  <c r="E525" i="13"/>
  <c r="V524" i="13"/>
  <c r="E524" i="13"/>
  <c r="V523" i="13"/>
  <c r="E523" i="13"/>
  <c r="V522" i="13"/>
  <c r="E522" i="13"/>
  <c r="V521" i="13"/>
  <c r="E521" i="13"/>
  <c r="V520" i="13"/>
  <c r="E520" i="13"/>
  <c r="V519" i="13"/>
  <c r="E519" i="13"/>
  <c r="V518" i="13"/>
  <c r="E518" i="13"/>
  <c r="V517" i="13"/>
  <c r="E517" i="13"/>
  <c r="V516" i="13"/>
  <c r="E516" i="13"/>
  <c r="V515" i="13"/>
  <c r="E515" i="13"/>
  <c r="V514" i="13"/>
  <c r="E514" i="13"/>
  <c r="V513" i="13"/>
  <c r="E513" i="13"/>
  <c r="V512" i="13"/>
  <c r="E512" i="13"/>
  <c r="V511" i="13"/>
  <c r="E511" i="13"/>
  <c r="V510" i="13"/>
  <c r="E510" i="13"/>
  <c r="V509" i="13"/>
  <c r="E509" i="13"/>
  <c r="V508" i="13"/>
  <c r="E508" i="13"/>
  <c r="V507" i="13"/>
  <c r="E507" i="13"/>
  <c r="V506" i="13"/>
  <c r="E506" i="13"/>
  <c r="V505" i="13"/>
  <c r="E505" i="13"/>
  <c r="V504" i="13"/>
  <c r="E504" i="13"/>
  <c r="V503" i="13"/>
  <c r="E503" i="13"/>
  <c r="V502" i="13"/>
  <c r="E502" i="13"/>
  <c r="V501" i="13"/>
  <c r="E501" i="13"/>
  <c r="V500" i="13"/>
  <c r="E500" i="13"/>
  <c r="V499" i="13"/>
  <c r="E499" i="13"/>
  <c r="V498" i="13"/>
  <c r="E498" i="13"/>
  <c r="V497" i="13"/>
  <c r="E497" i="13"/>
  <c r="V496" i="13"/>
  <c r="E496" i="13"/>
  <c r="V495" i="13"/>
  <c r="E495" i="13"/>
  <c r="V494" i="13"/>
  <c r="E494" i="13"/>
  <c r="V493" i="13"/>
  <c r="E493" i="13"/>
  <c r="V492" i="13"/>
  <c r="E492" i="13"/>
  <c r="V491" i="13"/>
  <c r="E491" i="13"/>
  <c r="V490" i="13"/>
  <c r="E490" i="13"/>
  <c r="V489" i="13"/>
  <c r="E489" i="13"/>
  <c r="V488" i="13"/>
  <c r="E488" i="13"/>
  <c r="V487" i="13"/>
  <c r="E487" i="13"/>
  <c r="V486" i="13"/>
  <c r="E486" i="13"/>
  <c r="V485" i="13"/>
  <c r="E485" i="13"/>
  <c r="V484" i="13"/>
  <c r="E484" i="13"/>
  <c r="V483" i="13"/>
  <c r="E483" i="13"/>
  <c r="V482" i="13"/>
  <c r="E482" i="13"/>
  <c r="V481" i="13"/>
  <c r="E481" i="13"/>
  <c r="V480" i="13"/>
  <c r="E480" i="13"/>
  <c r="V479" i="13"/>
  <c r="E479" i="13"/>
  <c r="V478" i="13"/>
  <c r="E478" i="13"/>
  <c r="V477" i="13"/>
  <c r="E477" i="13"/>
  <c r="V476" i="13"/>
  <c r="E476" i="13"/>
  <c r="V475" i="13"/>
  <c r="E475" i="13"/>
  <c r="V474" i="13"/>
  <c r="E474" i="13"/>
  <c r="V473" i="13"/>
  <c r="E473" i="13"/>
  <c r="V472" i="13"/>
  <c r="E472" i="13"/>
  <c r="V471" i="13"/>
  <c r="E471" i="13"/>
  <c r="V470" i="13"/>
  <c r="E470" i="13"/>
  <c r="V469" i="13"/>
  <c r="E469" i="13"/>
  <c r="V468" i="13"/>
  <c r="E468" i="13"/>
  <c r="V467" i="13"/>
  <c r="E467" i="13"/>
  <c r="V466" i="13"/>
  <c r="E466" i="13"/>
  <c r="V465" i="13"/>
  <c r="E465" i="13"/>
  <c r="V464" i="13"/>
  <c r="E464" i="13"/>
  <c r="V463" i="13"/>
  <c r="E463" i="13"/>
  <c r="V462" i="13"/>
  <c r="E462" i="13"/>
  <c r="V461" i="13"/>
  <c r="E461" i="13"/>
  <c r="V460" i="13"/>
  <c r="E460" i="13"/>
  <c r="V459" i="13"/>
  <c r="E459" i="13"/>
  <c r="V458" i="13"/>
  <c r="E458" i="13"/>
  <c r="V457" i="13"/>
  <c r="E457" i="13"/>
  <c r="V456" i="13"/>
  <c r="E456" i="13"/>
  <c r="V455" i="13"/>
  <c r="E455" i="13"/>
  <c r="V454" i="13"/>
  <c r="E454" i="13"/>
  <c r="V453" i="13"/>
  <c r="E453" i="13"/>
  <c r="V452" i="13"/>
  <c r="E452" i="13"/>
  <c r="V451" i="13"/>
  <c r="E451" i="13"/>
  <c r="V450" i="13"/>
  <c r="E450" i="13"/>
  <c r="V449" i="13"/>
  <c r="E449" i="13"/>
  <c r="V448" i="13"/>
  <c r="E448" i="13"/>
  <c r="V447" i="13"/>
  <c r="E447" i="13"/>
  <c r="V446" i="13"/>
  <c r="E446" i="13"/>
  <c r="V445" i="13"/>
  <c r="E445" i="13"/>
  <c r="V444" i="13"/>
  <c r="E444" i="13"/>
  <c r="V443" i="13"/>
  <c r="E443" i="13"/>
  <c r="V442" i="13"/>
  <c r="E442" i="13"/>
  <c r="V441" i="13"/>
  <c r="E441" i="13"/>
  <c r="V440" i="13"/>
  <c r="E440" i="13"/>
  <c r="V439" i="13"/>
  <c r="E439" i="13"/>
  <c r="V438" i="13"/>
  <c r="E438" i="13"/>
  <c r="V437" i="13"/>
  <c r="E437" i="13"/>
  <c r="V436" i="13"/>
  <c r="E436" i="13"/>
  <c r="V435" i="13"/>
  <c r="E435" i="13"/>
  <c r="V434" i="13"/>
  <c r="E434" i="13"/>
  <c r="V433" i="13"/>
  <c r="E433" i="13"/>
  <c r="V432" i="13"/>
  <c r="E432" i="13"/>
  <c r="V431" i="13"/>
  <c r="E431" i="13"/>
  <c r="V430" i="13"/>
  <c r="E430" i="13"/>
  <c r="V429" i="13"/>
  <c r="E429" i="13"/>
  <c r="V428" i="13"/>
  <c r="E428" i="13"/>
  <c r="V427" i="13"/>
  <c r="E427" i="13"/>
  <c r="V426" i="13"/>
  <c r="E426" i="13"/>
  <c r="V425" i="13"/>
  <c r="E425" i="13"/>
  <c r="V424" i="13"/>
  <c r="E424" i="13"/>
  <c r="V423" i="13"/>
  <c r="E423" i="13"/>
  <c r="V422" i="13"/>
  <c r="E422" i="13"/>
  <c r="V421" i="13"/>
  <c r="E421" i="13"/>
  <c r="V420" i="13"/>
  <c r="E420" i="13"/>
  <c r="V419" i="13"/>
  <c r="E419" i="13"/>
  <c r="V418" i="13"/>
  <c r="E418" i="13"/>
  <c r="V417" i="13"/>
  <c r="E417" i="13"/>
  <c r="V416" i="13"/>
  <c r="E416" i="13"/>
  <c r="V415" i="13"/>
  <c r="E415" i="13"/>
  <c r="V414" i="13"/>
  <c r="E414" i="13"/>
  <c r="V413" i="13"/>
  <c r="E413" i="13"/>
  <c r="V412" i="13"/>
  <c r="E412" i="13"/>
  <c r="V411" i="13"/>
  <c r="E411" i="13"/>
  <c r="V410" i="13"/>
  <c r="E410" i="13"/>
  <c r="V409" i="13"/>
  <c r="E409" i="13"/>
  <c r="V408" i="13"/>
  <c r="E408" i="13"/>
  <c r="V407" i="13"/>
  <c r="E407" i="13"/>
  <c r="V406" i="13"/>
  <c r="E406" i="13"/>
  <c r="V405" i="13"/>
  <c r="E405" i="13"/>
  <c r="V404" i="13"/>
  <c r="E404" i="13"/>
  <c r="V403" i="13"/>
  <c r="E403" i="13"/>
  <c r="V402" i="13"/>
  <c r="E402" i="13"/>
  <c r="V401" i="13"/>
  <c r="E401" i="13"/>
  <c r="V400" i="13"/>
  <c r="E400" i="13"/>
  <c r="V399" i="13"/>
  <c r="E399" i="13"/>
  <c r="V398" i="13"/>
  <c r="E398" i="13"/>
  <c r="V397" i="13"/>
  <c r="E397" i="13"/>
  <c r="V396" i="13"/>
  <c r="E396" i="13"/>
  <c r="V395" i="13"/>
  <c r="E395" i="13"/>
  <c r="V394" i="13"/>
  <c r="E394" i="13"/>
  <c r="V393" i="13"/>
  <c r="E393" i="13"/>
  <c r="V392" i="13"/>
  <c r="E392" i="13"/>
  <c r="V391" i="13"/>
  <c r="E391" i="13"/>
  <c r="V390" i="13"/>
  <c r="E390" i="13"/>
  <c r="V389" i="13"/>
  <c r="E389" i="13"/>
  <c r="V388" i="13"/>
  <c r="E388" i="13"/>
  <c r="V387" i="13"/>
  <c r="E387" i="13"/>
  <c r="V386" i="13"/>
  <c r="E386" i="13"/>
  <c r="V385" i="13"/>
  <c r="E385" i="13"/>
  <c r="V384" i="13"/>
  <c r="E384" i="13"/>
  <c r="V383" i="13"/>
  <c r="E383" i="13"/>
  <c r="V382" i="13"/>
  <c r="E382" i="13"/>
  <c r="V381" i="13"/>
  <c r="E381" i="13"/>
  <c r="V380" i="13"/>
  <c r="E380" i="13"/>
  <c r="V379" i="13"/>
  <c r="E379" i="13"/>
  <c r="V378" i="13"/>
  <c r="E378" i="13"/>
  <c r="V377" i="13"/>
  <c r="E377" i="13"/>
  <c r="V376" i="13"/>
  <c r="E376" i="13"/>
  <c r="V375" i="13"/>
  <c r="E375" i="13"/>
  <c r="V374" i="13"/>
  <c r="E374" i="13"/>
  <c r="V373" i="13"/>
  <c r="E373" i="13"/>
  <c r="V372" i="13"/>
  <c r="E372" i="13"/>
  <c r="V371" i="13"/>
  <c r="E371" i="13"/>
  <c r="V370" i="13"/>
  <c r="E370" i="13"/>
  <c r="V369" i="13"/>
  <c r="E369" i="13"/>
  <c r="V368" i="13"/>
  <c r="E368" i="13"/>
  <c r="V367" i="13"/>
  <c r="E367" i="13"/>
  <c r="V366" i="13"/>
  <c r="E366" i="13"/>
  <c r="V365" i="13"/>
  <c r="E365" i="13"/>
  <c r="V364" i="13"/>
  <c r="E364" i="13"/>
  <c r="V363" i="13"/>
  <c r="E363" i="13"/>
  <c r="V362" i="13"/>
  <c r="E362" i="13"/>
  <c r="V361" i="13"/>
  <c r="E361" i="13"/>
  <c r="V360" i="13"/>
  <c r="E360" i="13"/>
  <c r="V359" i="13"/>
  <c r="E359" i="13"/>
  <c r="V358" i="13"/>
  <c r="E358" i="13"/>
  <c r="V357" i="13"/>
  <c r="E357" i="13"/>
  <c r="V356" i="13"/>
  <c r="E356" i="13"/>
  <c r="V355" i="13"/>
  <c r="E355" i="13"/>
  <c r="V354" i="13"/>
  <c r="E354" i="13"/>
  <c r="V353" i="13"/>
  <c r="E353" i="13"/>
  <c r="V352" i="13"/>
  <c r="E352" i="13"/>
  <c r="V351" i="13"/>
  <c r="E351" i="13"/>
  <c r="V350" i="13"/>
  <c r="E350" i="13"/>
  <c r="V349" i="13"/>
  <c r="E349" i="13"/>
  <c r="V348" i="13"/>
  <c r="E348" i="13"/>
  <c r="V347" i="13"/>
  <c r="E347" i="13"/>
  <c r="V346" i="13"/>
  <c r="E346" i="13"/>
  <c r="V345" i="13"/>
  <c r="E345" i="13"/>
  <c r="V344" i="13"/>
  <c r="E344" i="13"/>
  <c r="V343" i="13"/>
  <c r="E343" i="13"/>
  <c r="V342" i="13"/>
  <c r="E342" i="13"/>
  <c r="V341" i="13"/>
  <c r="E341" i="13"/>
  <c r="V340" i="13"/>
  <c r="E340" i="13"/>
  <c r="V339" i="13"/>
  <c r="E339" i="13"/>
  <c r="V338" i="13"/>
  <c r="E338" i="13"/>
  <c r="V337" i="13"/>
  <c r="E337" i="13"/>
  <c r="V336" i="13"/>
  <c r="E336" i="13"/>
  <c r="V335" i="13"/>
  <c r="E335" i="13"/>
  <c r="V334" i="13"/>
  <c r="E334" i="13"/>
  <c r="V333" i="13"/>
  <c r="E333" i="13"/>
  <c r="V332" i="13"/>
  <c r="E332" i="13"/>
  <c r="V331" i="13"/>
  <c r="E331" i="13"/>
  <c r="V330" i="13"/>
  <c r="E330" i="13"/>
  <c r="V329" i="13"/>
  <c r="E329" i="13"/>
  <c r="V328" i="13"/>
  <c r="E328" i="13"/>
  <c r="V327" i="13"/>
  <c r="E327" i="13"/>
  <c r="V326" i="13"/>
  <c r="E326" i="13"/>
  <c r="V325" i="13"/>
  <c r="E325" i="13"/>
  <c r="V324" i="13"/>
  <c r="E324" i="13"/>
  <c r="V323" i="13"/>
  <c r="E323" i="13"/>
  <c r="V322" i="13"/>
  <c r="E322" i="13"/>
  <c r="V321" i="13"/>
  <c r="E321" i="13"/>
  <c r="V320" i="13"/>
  <c r="E320" i="13"/>
  <c r="V319" i="13"/>
  <c r="E319" i="13"/>
  <c r="V318" i="13"/>
  <c r="E318" i="13"/>
  <c r="V317" i="13"/>
  <c r="E317" i="13"/>
  <c r="V316" i="13"/>
  <c r="E316" i="13"/>
  <c r="V315" i="13"/>
  <c r="E315" i="13"/>
  <c r="V314" i="13"/>
  <c r="E314" i="13"/>
  <c r="V313" i="13"/>
  <c r="E313" i="13"/>
  <c r="V312" i="13"/>
  <c r="E312" i="13"/>
  <c r="V311" i="13"/>
  <c r="E311" i="13"/>
  <c r="V310" i="13"/>
  <c r="E310" i="13"/>
  <c r="V309" i="13"/>
  <c r="E309" i="13"/>
  <c r="V308" i="13"/>
  <c r="E308" i="13"/>
  <c r="V307" i="13"/>
  <c r="E307" i="13"/>
  <c r="V306" i="13"/>
  <c r="E306" i="13"/>
  <c r="V305" i="13"/>
  <c r="E305" i="13"/>
  <c r="V304" i="13"/>
  <c r="E304" i="13"/>
  <c r="V303" i="13"/>
  <c r="E303" i="13"/>
  <c r="V302" i="13"/>
  <c r="E302" i="13"/>
  <c r="V301" i="13"/>
  <c r="E301" i="13"/>
  <c r="V300" i="13"/>
  <c r="E300" i="13"/>
  <c r="V299" i="13"/>
  <c r="E299" i="13"/>
  <c r="V298" i="13"/>
  <c r="E298" i="13"/>
  <c r="V297" i="13"/>
  <c r="E297" i="13"/>
  <c r="V296" i="13"/>
  <c r="E296" i="13"/>
  <c r="V295" i="13"/>
  <c r="E295" i="13"/>
  <c r="V294" i="13"/>
  <c r="E294" i="13"/>
  <c r="V293" i="13"/>
  <c r="E293" i="13"/>
  <c r="V292" i="13"/>
  <c r="E292" i="13"/>
  <c r="V291" i="13"/>
  <c r="E291" i="13"/>
  <c r="V290" i="13"/>
  <c r="E290" i="13"/>
  <c r="V289" i="13"/>
  <c r="E289" i="13"/>
  <c r="V288" i="13"/>
  <c r="E288" i="13"/>
  <c r="V287" i="13"/>
  <c r="E287" i="13"/>
  <c r="V286" i="13"/>
  <c r="E286" i="13"/>
  <c r="V285" i="13"/>
  <c r="E285" i="13"/>
  <c r="V284" i="13"/>
  <c r="E284" i="13"/>
  <c r="V283" i="13"/>
  <c r="E283" i="13"/>
  <c r="V282" i="13"/>
  <c r="E282" i="13"/>
  <c r="V281" i="13"/>
  <c r="E281" i="13"/>
  <c r="V280" i="13"/>
  <c r="E280" i="13"/>
  <c r="V279" i="13"/>
  <c r="E279" i="13"/>
  <c r="V278" i="13"/>
  <c r="E278" i="13"/>
  <c r="V277" i="13"/>
  <c r="E277" i="13"/>
  <c r="V276" i="13"/>
  <c r="E276" i="13"/>
  <c r="V275" i="13"/>
  <c r="E275" i="13"/>
  <c r="V274" i="13"/>
  <c r="E274" i="13"/>
  <c r="V273" i="13"/>
  <c r="E273" i="13"/>
  <c r="V272" i="13"/>
  <c r="E272" i="13"/>
  <c r="V271" i="13"/>
  <c r="E271" i="13"/>
  <c r="V270" i="13"/>
  <c r="E270" i="13"/>
  <c r="V269" i="13"/>
  <c r="E269" i="13"/>
  <c r="V268" i="13"/>
  <c r="E268" i="13"/>
  <c r="V267" i="13"/>
  <c r="E267" i="13"/>
  <c r="V266" i="13"/>
  <c r="E266" i="13"/>
  <c r="V265" i="13"/>
  <c r="E265" i="13"/>
  <c r="V264" i="13"/>
  <c r="E264" i="13"/>
  <c r="V263" i="13"/>
  <c r="E263" i="13"/>
  <c r="V262" i="13"/>
  <c r="E262" i="13"/>
  <c r="V261" i="13"/>
  <c r="E261" i="13"/>
  <c r="V260" i="13"/>
  <c r="E260" i="13"/>
  <c r="V259" i="13"/>
  <c r="E259" i="13"/>
  <c r="V258" i="13"/>
  <c r="E258" i="13"/>
  <c r="V257" i="13"/>
  <c r="E257" i="13"/>
  <c r="V256" i="13"/>
  <c r="E256" i="13"/>
  <c r="V255" i="13"/>
  <c r="E255" i="13"/>
  <c r="V254" i="13"/>
  <c r="E254" i="13"/>
  <c r="V253" i="13"/>
  <c r="E253" i="13"/>
  <c r="V252" i="13"/>
  <c r="E252" i="13"/>
  <c r="V251" i="13"/>
  <c r="E251" i="13"/>
  <c r="V250" i="13"/>
  <c r="E250" i="13"/>
  <c r="V249" i="13"/>
  <c r="E249" i="13"/>
  <c r="V248" i="13"/>
  <c r="E248" i="13"/>
  <c r="V247" i="13"/>
  <c r="E247" i="13"/>
  <c r="V246" i="13"/>
  <c r="E246" i="13"/>
  <c r="V245" i="13"/>
  <c r="E245" i="13"/>
  <c r="V244" i="13"/>
  <c r="E244" i="13"/>
  <c r="V243" i="13"/>
  <c r="E243" i="13"/>
  <c r="V242" i="13"/>
  <c r="E242" i="13"/>
  <c r="V241" i="13"/>
  <c r="E241" i="13"/>
  <c r="V240" i="13"/>
  <c r="E240" i="13"/>
  <c r="V239" i="13"/>
  <c r="E239" i="13"/>
  <c r="V238" i="13"/>
  <c r="E238" i="13"/>
  <c r="V237" i="13"/>
  <c r="E237" i="13"/>
  <c r="V236" i="13"/>
  <c r="E236" i="13"/>
  <c r="V235" i="13"/>
  <c r="E235" i="13"/>
  <c r="V234" i="13"/>
  <c r="E234" i="13"/>
  <c r="V233" i="13"/>
  <c r="E233" i="13"/>
  <c r="V232" i="13"/>
  <c r="E232" i="13"/>
  <c r="V231" i="13"/>
  <c r="E231" i="13"/>
  <c r="V230" i="13"/>
  <c r="E230" i="13"/>
  <c r="V229" i="13"/>
  <c r="E229" i="13"/>
  <c r="V228" i="13"/>
  <c r="E228" i="13"/>
  <c r="V227" i="13"/>
  <c r="E227" i="13"/>
  <c r="V226" i="13"/>
  <c r="E226" i="13"/>
  <c r="V225" i="13"/>
  <c r="E225" i="13"/>
  <c r="V224" i="13"/>
  <c r="E224" i="13"/>
  <c r="V223" i="13"/>
  <c r="E223" i="13"/>
  <c r="V222" i="13"/>
  <c r="E222" i="13"/>
  <c r="V221" i="13"/>
  <c r="E221" i="13"/>
  <c r="V220" i="13"/>
  <c r="E220" i="13"/>
  <c r="V219" i="13"/>
  <c r="E219" i="13"/>
  <c r="V218" i="13"/>
  <c r="E218" i="13"/>
  <c r="V217" i="13"/>
  <c r="E217" i="13"/>
  <c r="V216" i="13"/>
  <c r="E216" i="13"/>
  <c r="V215" i="13"/>
  <c r="E215" i="13"/>
  <c r="V214" i="13"/>
  <c r="E214" i="13"/>
  <c r="V213" i="13"/>
  <c r="E213" i="13"/>
  <c r="V212" i="13"/>
  <c r="E212" i="13"/>
  <c r="V211" i="13"/>
  <c r="E211" i="13"/>
  <c r="V210" i="13"/>
  <c r="E210" i="13"/>
  <c r="V209" i="13"/>
  <c r="E209" i="13"/>
  <c r="V208" i="13"/>
  <c r="E208" i="13"/>
  <c r="V207" i="13"/>
  <c r="E207" i="13"/>
  <c r="V206" i="13"/>
  <c r="E206" i="13"/>
  <c r="V205" i="13"/>
  <c r="E205" i="13"/>
  <c r="V204" i="13"/>
  <c r="E204" i="13"/>
  <c r="V203" i="13"/>
  <c r="E203" i="13"/>
  <c r="V202" i="13"/>
  <c r="E202" i="13"/>
  <c r="V201" i="13"/>
  <c r="E201" i="13"/>
  <c r="V200" i="13"/>
  <c r="E200" i="13"/>
  <c r="V199" i="13"/>
  <c r="E199" i="13"/>
  <c r="V198" i="13"/>
  <c r="E198" i="13"/>
  <c r="V197" i="13"/>
  <c r="E197" i="13"/>
  <c r="V196" i="13"/>
  <c r="E196" i="13"/>
  <c r="V195" i="13"/>
  <c r="E195" i="13"/>
  <c r="V194" i="13"/>
  <c r="E194" i="13"/>
  <c r="V193" i="13"/>
  <c r="E193" i="13"/>
  <c r="V192" i="13"/>
  <c r="E192" i="13"/>
  <c r="V191" i="13"/>
  <c r="E191" i="13"/>
  <c r="V190" i="13"/>
  <c r="E190" i="13"/>
  <c r="V189" i="13"/>
  <c r="E189" i="13"/>
  <c r="V188" i="13"/>
  <c r="E188" i="13"/>
  <c r="V187" i="13"/>
  <c r="E187" i="13"/>
  <c r="V186" i="13"/>
  <c r="E186" i="13"/>
  <c r="V185" i="13"/>
  <c r="E185" i="13"/>
  <c r="V184" i="13"/>
  <c r="E184" i="13"/>
  <c r="V183" i="13"/>
  <c r="E183" i="13"/>
  <c r="V182" i="13"/>
  <c r="E182" i="13"/>
  <c r="V181" i="13"/>
  <c r="E181" i="13"/>
  <c r="V180" i="13"/>
  <c r="E180" i="13"/>
  <c r="V179" i="13"/>
  <c r="E179" i="13"/>
  <c r="V178" i="13"/>
  <c r="E178" i="13"/>
  <c r="V177" i="13"/>
  <c r="E177" i="13"/>
  <c r="V176" i="13"/>
  <c r="E176" i="13"/>
  <c r="V175" i="13"/>
  <c r="E175" i="13"/>
  <c r="V174" i="13"/>
  <c r="E174" i="13"/>
  <c r="V173" i="13"/>
  <c r="E173" i="13"/>
  <c r="V172" i="13"/>
  <c r="E172" i="13"/>
  <c r="V171" i="13"/>
  <c r="E171" i="13"/>
  <c r="V170" i="13"/>
  <c r="E170" i="13"/>
  <c r="V169" i="13"/>
  <c r="E169" i="13"/>
  <c r="V168" i="13"/>
  <c r="E168" i="13"/>
  <c r="V167" i="13"/>
  <c r="E167" i="13"/>
  <c r="V166" i="13"/>
  <c r="E166" i="13"/>
  <c r="V165" i="13"/>
  <c r="E165" i="13"/>
  <c r="V164" i="13"/>
  <c r="E164" i="13"/>
  <c r="V163" i="13"/>
  <c r="E163" i="13"/>
  <c r="V162" i="13"/>
  <c r="E162" i="13"/>
  <c r="V161" i="13"/>
  <c r="E161" i="13"/>
  <c r="V160" i="13"/>
  <c r="E160" i="13"/>
  <c r="V159" i="13"/>
  <c r="E159" i="13"/>
  <c r="V158" i="13"/>
  <c r="E158" i="13"/>
  <c r="V157" i="13"/>
  <c r="E157" i="13"/>
  <c r="V156" i="13"/>
  <c r="E156" i="13"/>
  <c r="V155" i="13"/>
  <c r="E155" i="13"/>
  <c r="V154" i="13"/>
  <c r="E154" i="13"/>
  <c r="V153" i="13"/>
  <c r="E153" i="13"/>
  <c r="V152" i="13"/>
  <c r="E152" i="13"/>
  <c r="V151" i="13"/>
  <c r="E151" i="13"/>
  <c r="V150" i="13"/>
  <c r="E150" i="13"/>
  <c r="V149" i="13"/>
  <c r="E149" i="13"/>
  <c r="V148" i="13"/>
  <c r="E148" i="13"/>
  <c r="V147" i="13"/>
  <c r="E147" i="13"/>
  <c r="V146" i="13"/>
  <c r="E146" i="13"/>
  <c r="V145" i="13"/>
  <c r="E145" i="13"/>
  <c r="V144" i="13"/>
  <c r="E144" i="13"/>
  <c r="V143" i="13"/>
  <c r="E143" i="13"/>
  <c r="V142" i="13"/>
  <c r="E142" i="13"/>
  <c r="V141" i="13"/>
  <c r="E141" i="13"/>
  <c r="V140" i="13"/>
  <c r="E140" i="13"/>
  <c r="V139" i="13"/>
  <c r="E139" i="13"/>
  <c r="V138" i="13"/>
  <c r="E138" i="13"/>
  <c r="V137" i="13"/>
  <c r="E137" i="13"/>
  <c r="V136" i="13"/>
  <c r="E136" i="13"/>
  <c r="V135" i="13"/>
  <c r="E135" i="13"/>
  <c r="V134" i="13"/>
  <c r="E134" i="13"/>
  <c r="V133" i="13"/>
  <c r="E133" i="13"/>
  <c r="V132" i="13"/>
  <c r="E132" i="13"/>
  <c r="V131" i="13"/>
  <c r="E131" i="13"/>
  <c r="V130" i="13"/>
  <c r="E130" i="13"/>
  <c r="V129" i="13"/>
  <c r="E129" i="13"/>
  <c r="V128" i="13"/>
  <c r="E128" i="13"/>
  <c r="V127" i="13"/>
  <c r="E127" i="13"/>
  <c r="V126" i="13"/>
  <c r="E126" i="13"/>
  <c r="V125" i="13"/>
  <c r="E125" i="13"/>
  <c r="V124" i="13"/>
  <c r="E124" i="13"/>
  <c r="V123" i="13"/>
  <c r="E123" i="13"/>
  <c r="V122" i="13"/>
  <c r="E122" i="13"/>
  <c r="V121" i="13"/>
  <c r="E121" i="13"/>
  <c r="V120" i="13"/>
  <c r="E120" i="13"/>
  <c r="V119" i="13"/>
  <c r="E119" i="13"/>
  <c r="V118" i="13"/>
  <c r="E118" i="13"/>
  <c r="V117" i="13"/>
  <c r="E117" i="13"/>
  <c r="V116" i="13"/>
  <c r="E116" i="13"/>
  <c r="V115" i="13"/>
  <c r="E115" i="13"/>
  <c r="V114" i="13"/>
  <c r="E114" i="13"/>
  <c r="V113" i="13"/>
  <c r="E113" i="13"/>
  <c r="V112" i="13"/>
  <c r="E112" i="13"/>
  <c r="V111" i="13"/>
  <c r="E111" i="13"/>
  <c r="V110" i="13"/>
  <c r="E110" i="13"/>
  <c r="V109" i="13"/>
  <c r="E109" i="13"/>
  <c r="V108" i="13"/>
  <c r="E108" i="13"/>
  <c r="V107" i="13"/>
  <c r="E107" i="13"/>
  <c r="V106" i="13"/>
  <c r="E106" i="13"/>
  <c r="V105" i="13"/>
  <c r="E105" i="13"/>
  <c r="V104" i="13"/>
  <c r="E104" i="13"/>
  <c r="V103" i="13"/>
  <c r="E103" i="13"/>
  <c r="V102" i="13"/>
  <c r="E102" i="13"/>
  <c r="V101" i="13"/>
  <c r="E101" i="13"/>
  <c r="V100" i="13"/>
  <c r="E100" i="13"/>
  <c r="V99" i="13"/>
  <c r="E99" i="13"/>
  <c r="V98" i="13"/>
  <c r="E98" i="13"/>
  <c r="V97" i="13"/>
  <c r="E97" i="13"/>
  <c r="V96" i="13"/>
  <c r="E96" i="13"/>
  <c r="V95" i="13"/>
  <c r="E95" i="13"/>
  <c r="V94" i="13"/>
  <c r="E94" i="13"/>
  <c r="V93" i="13"/>
  <c r="E93" i="13"/>
  <c r="V92" i="13"/>
  <c r="E92" i="13"/>
  <c r="V91" i="13"/>
  <c r="E91" i="13"/>
  <c r="V90" i="13"/>
  <c r="E90" i="13"/>
  <c r="V89" i="13"/>
  <c r="E89" i="13"/>
  <c r="V88" i="13"/>
  <c r="E88" i="13"/>
  <c r="V87" i="13"/>
  <c r="E87" i="13"/>
  <c r="V86" i="13"/>
  <c r="E86" i="13"/>
  <c r="V85" i="13"/>
  <c r="E85" i="13"/>
  <c r="V84" i="13"/>
  <c r="E84" i="13"/>
  <c r="V83" i="13"/>
  <c r="E83" i="13"/>
  <c r="V82" i="13"/>
  <c r="E82" i="13"/>
  <c r="V81" i="13"/>
  <c r="E81" i="13"/>
  <c r="V80" i="13"/>
  <c r="E80" i="13"/>
  <c r="V79" i="13"/>
  <c r="E79" i="13"/>
  <c r="V78" i="13"/>
  <c r="E78" i="13"/>
  <c r="V77" i="13"/>
  <c r="E77" i="13"/>
  <c r="V76" i="13"/>
  <c r="E76" i="13"/>
  <c r="V75" i="13"/>
  <c r="E75" i="13"/>
  <c r="V74" i="13"/>
  <c r="E74" i="13"/>
  <c r="V73" i="13"/>
  <c r="E73" i="13"/>
  <c r="V72" i="13"/>
  <c r="E72" i="13"/>
  <c r="V71" i="13"/>
  <c r="E71" i="13"/>
  <c r="V70" i="13"/>
  <c r="E70" i="13"/>
  <c r="V69" i="13"/>
  <c r="E69" i="13"/>
  <c r="V68" i="13"/>
  <c r="E68" i="13"/>
  <c r="V67" i="13"/>
  <c r="E67" i="13"/>
  <c r="V66" i="13"/>
  <c r="E66" i="13"/>
  <c r="V65" i="13"/>
  <c r="E65" i="13"/>
  <c r="V64" i="13"/>
  <c r="E64" i="13"/>
  <c r="V63" i="13"/>
  <c r="E63" i="13"/>
  <c r="V62" i="13"/>
  <c r="E62" i="13"/>
  <c r="V61" i="13"/>
  <c r="E61" i="13"/>
  <c r="V60" i="13"/>
  <c r="E60" i="13"/>
  <c r="V59" i="13"/>
  <c r="E59" i="13"/>
  <c r="V58" i="13"/>
  <c r="E58" i="13"/>
  <c r="V57" i="13"/>
  <c r="E57" i="13"/>
  <c r="V56" i="13"/>
  <c r="E56" i="13"/>
  <c r="V55" i="13"/>
  <c r="E55" i="13"/>
  <c r="V54" i="13"/>
  <c r="E54" i="13"/>
  <c r="V53" i="13"/>
  <c r="E53" i="13"/>
  <c r="V52" i="13"/>
  <c r="E52" i="13"/>
  <c r="V51" i="13"/>
  <c r="E51" i="13"/>
  <c r="V50" i="13"/>
  <c r="E50" i="13"/>
  <c r="V49" i="13"/>
  <c r="E49" i="13"/>
  <c r="V48" i="13"/>
  <c r="E48" i="13"/>
  <c r="V47" i="13"/>
  <c r="E47" i="13"/>
  <c r="V46" i="13"/>
  <c r="E46" i="13"/>
  <c r="V45" i="13"/>
  <c r="E45" i="13"/>
  <c r="V44" i="13"/>
  <c r="E44" i="13"/>
  <c r="V43" i="13"/>
  <c r="E43" i="13"/>
  <c r="V42" i="13"/>
  <c r="E42" i="13"/>
  <c r="V41" i="13"/>
  <c r="E41" i="13"/>
  <c r="V40" i="13"/>
  <c r="E40" i="13"/>
  <c r="V39" i="13"/>
  <c r="E39" i="13"/>
  <c r="V38" i="13"/>
  <c r="E38" i="13"/>
  <c r="V37" i="13"/>
  <c r="E37" i="13"/>
  <c r="V36" i="13"/>
  <c r="E36" i="13"/>
  <c r="V35" i="13"/>
  <c r="E35" i="13"/>
  <c r="V34" i="13"/>
  <c r="E34" i="13"/>
  <c r="V33" i="13"/>
  <c r="E33" i="13"/>
  <c r="V32" i="13"/>
  <c r="E32" i="13"/>
  <c r="V31" i="13"/>
  <c r="E31" i="13"/>
  <c r="V30" i="13"/>
  <c r="E30" i="13"/>
  <c r="V29" i="13"/>
  <c r="E29" i="13"/>
  <c r="V28" i="13"/>
  <c r="E28" i="13"/>
  <c r="V27" i="13"/>
  <c r="E27" i="13"/>
  <c r="V26" i="13"/>
  <c r="E26" i="13"/>
  <c r="V25" i="13"/>
  <c r="E25" i="13"/>
  <c r="V24" i="13"/>
  <c r="E24" i="13"/>
  <c r="V23" i="13"/>
  <c r="E23" i="13"/>
  <c r="V22" i="13"/>
  <c r="E22" i="13"/>
  <c r="V21" i="13"/>
  <c r="E21" i="13"/>
  <c r="V20" i="13"/>
  <c r="E20" i="13"/>
  <c r="V19" i="13"/>
  <c r="E19" i="13"/>
  <c r="V18" i="13"/>
  <c r="E18" i="13"/>
  <c r="V17" i="13"/>
  <c r="E17" i="13"/>
  <c r="V16" i="13"/>
  <c r="E16" i="13"/>
  <c r="V15" i="13"/>
  <c r="E15" i="13"/>
  <c r="V14" i="13"/>
  <c r="E14" i="13"/>
  <c r="V13" i="13"/>
  <c r="E13" i="13"/>
  <c r="V12" i="13"/>
  <c r="E12" i="13"/>
  <c r="V11" i="13"/>
  <c r="E11" i="13"/>
  <c r="V10" i="13"/>
  <c r="E10" i="13"/>
  <c r="V9" i="13"/>
  <c r="E9" i="13"/>
  <c r="V8" i="13"/>
  <c r="E8" i="13"/>
  <c r="V7" i="13"/>
  <c r="E7" i="13"/>
  <c r="V6" i="13"/>
  <c r="E6" i="13"/>
  <c r="V5" i="13"/>
  <c r="E5" i="13"/>
  <c r="V4" i="13"/>
  <c r="E4" i="13"/>
  <c r="E3" i="13"/>
  <c r="E2" i="13"/>
  <c r="U1" i="13"/>
  <c r="G35" i="7"/>
  <c r="G18" i="7"/>
  <c r="A1" i="7"/>
  <c r="C52" i="6" a="1"/>
  <c r="C52" i="6" s="1"/>
  <c r="B52" i="6" a="1"/>
  <c r="B52" i="6" s="1"/>
  <c r="C51" i="6" a="1"/>
  <c r="C51" i="6" s="1"/>
  <c r="B51" i="6" a="1"/>
  <c r="B51" i="6" s="1"/>
  <c r="C48" i="6" a="1"/>
  <c r="C48" i="6" s="1"/>
  <c r="B48" i="6" a="1"/>
  <c r="B48" i="6" s="1"/>
  <c r="C47" i="6"/>
  <c r="B47" i="6"/>
  <c r="C45" i="6" a="1"/>
  <c r="C45" i="6" s="1"/>
  <c r="B45" i="6" a="1"/>
  <c r="B45" i="6" s="1"/>
  <c r="C44" i="6" a="1"/>
  <c r="C44" i="6" s="1"/>
  <c r="B44" i="6" a="1"/>
  <c r="B44" i="6" s="1"/>
  <c r="B38" i="6" a="1"/>
  <c r="B38" i="6" s="1"/>
  <c r="A38" i="6"/>
  <c r="B37" i="6" a="1"/>
  <c r="B37" i="6" s="1"/>
  <c r="A37" i="6"/>
  <c r="A36" i="6"/>
  <c r="C32" i="6"/>
  <c r="E32" i="6" s="1"/>
  <c r="B32" i="6"/>
  <c r="A32" i="6"/>
  <c r="B30" i="6"/>
  <c r="B29" i="6"/>
  <c r="B28" i="6" a="1"/>
  <c r="B28" i="6" s="1"/>
  <c r="B27" i="6" a="1"/>
  <c r="B27" i="6" s="1"/>
  <c r="B25" i="6"/>
  <c r="F20" i="6"/>
  <c r="B17" i="6"/>
  <c r="B16" i="6" s="1"/>
  <c r="B14" i="6"/>
  <c r="B13" i="6" s="1"/>
  <c r="E12" i="6"/>
  <c r="B11" i="6"/>
  <c r="B10" i="6"/>
  <c r="B9" i="6" a="1"/>
  <c r="B9" i="6" s="1"/>
  <c r="B8" i="6" a="1"/>
  <c r="B8" i="6" s="1"/>
  <c r="A8" i="6"/>
  <c r="B7" i="6"/>
  <c r="E4" i="6"/>
  <c r="C4" i="6"/>
  <c r="B4" i="6"/>
  <c r="G2" i="6" a="1"/>
  <c r="G2" i="6" s="1"/>
  <c r="A2" i="6"/>
  <c r="G1" i="6"/>
  <c r="E1" i="6"/>
  <c r="F1" i="6" s="1"/>
  <c r="A1" i="6"/>
  <c r="O1" i="5"/>
  <c r="J5" i="6" l="1"/>
  <c r="J8" i="6"/>
  <c r="I5" i="6"/>
  <c r="I11" i="6"/>
  <c r="J11" i="6"/>
  <c r="B50" i="6"/>
  <c r="I8" i="6"/>
  <c r="I14" i="6"/>
  <c r="J14" i="6"/>
  <c r="K14" i="6"/>
  <c r="L14" i="6"/>
  <c r="I17" i="6"/>
  <c r="J17" i="6"/>
  <c r="I23" i="6"/>
  <c r="J23" i="6"/>
  <c r="L23" i="6"/>
  <c r="K23" i="6"/>
  <c r="O16" i="6" a="1"/>
  <c r="O16" i="6" s="1"/>
  <c r="P16" i="6" s="1" a="1"/>
  <c r="P16" i="6" s="1"/>
  <c r="P17" i="6" s="1"/>
  <c r="M23" i="6"/>
  <c r="I20" i="6"/>
  <c r="J20" i="6"/>
  <c r="K20" i="6"/>
  <c r="M7" i="6" a="1"/>
  <c r="M7" i="6" s="1"/>
  <c r="I2" i="6"/>
  <c r="J2" i="6"/>
  <c r="K2" i="6"/>
  <c r="L2" i="6"/>
  <c r="M1" i="6" a="1"/>
  <c r="M1" i="6" s="1"/>
  <c r="L5" i="6"/>
  <c r="M4" i="6" a="1"/>
  <c r="M4" i="6" s="1"/>
  <c r="O22" i="6" a="1"/>
  <c r="O22" i="6" s="1"/>
  <c r="M10" i="6" a="1"/>
  <c r="M10" i="6" s="1"/>
  <c r="N14" i="6"/>
  <c r="L11" i="6"/>
  <c r="N23" i="6"/>
  <c r="L20" i="6"/>
  <c r="M19" i="6" a="1"/>
  <c r="M19" i="6" s="1"/>
  <c r="N19" i="6" s="1" a="1"/>
  <c r="N19" i="6" s="1"/>
  <c r="N20" i="6" s="1"/>
  <c r="O13" i="6" a="1"/>
  <c r="O13" i="6" s="1"/>
  <c r="E25" i="6"/>
  <c r="F25" i="6" s="1"/>
  <c r="E24" i="6"/>
  <c r="F24" i="6" s="1"/>
  <c r="C19" i="6"/>
  <c r="C18" i="6"/>
  <c r="B36" i="6"/>
  <c r="E8" i="6"/>
  <c r="C9" i="6"/>
  <c r="C8" i="6"/>
  <c r="C50" i="6"/>
  <c r="G53" i="7"/>
  <c r="J53" i="7" s="1"/>
  <c r="G54" i="7"/>
  <c r="H54" i="7" s="1"/>
  <c r="C7" i="6"/>
  <c r="B6" i="6"/>
  <c r="B22" i="6" s="1"/>
  <c r="C29" i="6"/>
  <c r="C28" i="6"/>
  <c r="C27" i="6"/>
  <c r="C14" i="6"/>
  <c r="C13" i="6" s="1"/>
  <c r="C25" i="6"/>
  <c r="G36" i="7"/>
  <c r="L36" i="7" s="1"/>
  <c r="C11" i="6"/>
  <c r="C38" i="6"/>
  <c r="G20" i="7"/>
  <c r="L20" i="7" s="1"/>
  <c r="C37" i="6"/>
  <c r="C10" i="6"/>
  <c r="C17" i="6"/>
  <c r="C30" i="6"/>
  <c r="G2" i="7"/>
  <c r="J2" i="7" s="1"/>
  <c r="G37" i="7"/>
  <c r="I37" i="7" s="1"/>
  <c r="G19" i="7"/>
  <c r="H19" i="7" s="1"/>
  <c r="O17" i="6" l="1"/>
  <c r="Q16" i="6" a="1"/>
  <c r="Q16" i="6" s="1"/>
  <c r="Q17" i="6" s="1"/>
  <c r="N7" i="6" a="1"/>
  <c r="N7" i="6" s="1"/>
  <c r="M8" i="6"/>
  <c r="C16" i="6"/>
  <c r="M2" i="6"/>
  <c r="M20" i="6"/>
  <c r="O19" i="6" a="1"/>
  <c r="O19" i="6" s="1"/>
  <c r="O20" i="6" s="1"/>
  <c r="N4" i="6" a="1"/>
  <c r="N4" i="6" s="1"/>
  <c r="N5" i="6" s="1"/>
  <c r="M5" i="6"/>
  <c r="O23" i="6"/>
  <c r="O14" i="6"/>
  <c r="P22" i="6" a="1"/>
  <c r="P22" i="6" s="1"/>
  <c r="Q22" i="6" s="1" a="1"/>
  <c r="Q22" i="6" s="1"/>
  <c r="Q23" i="6" s="1"/>
  <c r="P13" i="6" a="1"/>
  <c r="P13" i="6" s="1"/>
  <c r="M11" i="6"/>
  <c r="N10" i="6" a="1"/>
  <c r="N10" i="6" s="1"/>
  <c r="N1" i="6" a="1"/>
  <c r="N1" i="6" s="1"/>
  <c r="N2" i="6" s="1"/>
  <c r="J37" i="7"/>
  <c r="H53" i="7"/>
  <c r="H37" i="7"/>
  <c r="L53" i="7"/>
  <c r="L37" i="7"/>
  <c r="I53" i="7"/>
  <c r="E30" i="6"/>
  <c r="H20" i="7"/>
  <c r="D5" i="7"/>
  <c r="C36" i="6"/>
  <c r="J19" i="7"/>
  <c r="K19" i="7" s="1"/>
  <c r="L2" i="7"/>
  <c r="I19" i="7"/>
  <c r="I2" i="7"/>
  <c r="C4" i="7"/>
  <c r="D4" i="7"/>
  <c r="L54" i="7"/>
  <c r="I36" i="7"/>
  <c r="C5" i="7"/>
  <c r="I20" i="7"/>
  <c r="G39" i="7"/>
  <c r="G55" i="7"/>
  <c r="G22" i="7"/>
  <c r="G3" i="7"/>
  <c r="J54" i="7"/>
  <c r="I54" i="7"/>
  <c r="H2" i="7"/>
  <c r="H36" i="7"/>
  <c r="G21" i="7"/>
  <c r="H21" i="7" s="1"/>
  <c r="J20" i="7"/>
  <c r="L19" i="7"/>
  <c r="A22" i="6"/>
  <c r="J36" i="7"/>
  <c r="G38" i="7"/>
  <c r="C6" i="6"/>
  <c r="N36" i="7" l="1"/>
  <c r="N19" i="7"/>
  <c r="N54" i="7"/>
  <c r="N20" i="7"/>
  <c r="N2" i="7"/>
  <c r="N37" i="7"/>
  <c r="N53" i="7"/>
  <c r="R16" i="6" a="1"/>
  <c r="R16" i="6" s="1"/>
  <c r="S16" i="6" s="1" a="1"/>
  <c r="S16" i="6" s="1"/>
  <c r="O7" i="6" a="1"/>
  <c r="O7" i="6" s="1"/>
  <c r="P7" i="6" s="1" a="1"/>
  <c r="P7" i="6" s="1"/>
  <c r="N8" i="6"/>
  <c r="P19" i="6" a="1"/>
  <c r="P19" i="6" s="1"/>
  <c r="P20" i="6" s="1"/>
  <c r="N11" i="6"/>
  <c r="O10" i="6" a="1"/>
  <c r="O10" i="6" s="1"/>
  <c r="P10" i="6" s="1" a="1"/>
  <c r="P10" i="6" s="1"/>
  <c r="P11" i="6" s="1"/>
  <c r="P14" i="6"/>
  <c r="P23" i="6"/>
  <c r="O1" i="6" a="1"/>
  <c r="O1" i="6" s="1"/>
  <c r="Q13" i="6" a="1"/>
  <c r="Q13" i="6" s="1"/>
  <c r="O4" i="6" a="1"/>
  <c r="O4" i="6" s="1"/>
  <c r="R22" i="6" a="1"/>
  <c r="R22" i="6" s="1"/>
  <c r="R23" i="6" s="1"/>
  <c r="K2" i="7"/>
  <c r="M36" i="7"/>
  <c r="K37" i="7"/>
  <c r="M37" i="7"/>
  <c r="K53" i="7"/>
  <c r="M53" i="7"/>
  <c r="M2" i="7"/>
  <c r="K20" i="7"/>
  <c r="K54" i="7"/>
  <c r="K36" i="7"/>
  <c r="M19" i="7"/>
  <c r="I21" i="7"/>
  <c r="M54" i="7"/>
  <c r="G4" i="7"/>
  <c r="G56" i="7"/>
  <c r="M20" i="7"/>
  <c r="J21" i="7"/>
  <c r="K21" i="7" s="1"/>
  <c r="G24" i="7"/>
  <c r="L21" i="7"/>
  <c r="G23" i="7"/>
  <c r="L22" i="7"/>
  <c r="I22" i="7"/>
  <c r="J22" i="7"/>
  <c r="H22" i="7"/>
  <c r="C22" i="6"/>
  <c r="E20" i="6"/>
  <c r="I38" i="7"/>
  <c r="L38" i="7"/>
  <c r="H38" i="7"/>
  <c r="J38" i="7"/>
  <c r="L3" i="7"/>
  <c r="I3" i="7"/>
  <c r="J3" i="7"/>
  <c r="H3" i="7"/>
  <c r="I39" i="7"/>
  <c r="L39" i="7"/>
  <c r="H39" i="7"/>
  <c r="J39" i="7"/>
  <c r="J55" i="7"/>
  <c r="I55" i="7"/>
  <c r="L55" i="7"/>
  <c r="H55" i="7"/>
  <c r="G41" i="7"/>
  <c r="G40" i="7"/>
  <c r="N21" i="7" l="1"/>
  <c r="R17" i="6"/>
  <c r="N55" i="7"/>
  <c r="N3" i="7"/>
  <c r="N39" i="7"/>
  <c r="N38" i="7"/>
  <c r="N22" i="7"/>
  <c r="P8" i="6"/>
  <c r="O8" i="6"/>
  <c r="Q7" i="6" a="1"/>
  <c r="Q7" i="6" s="1"/>
  <c r="Q8" i="6" s="1"/>
  <c r="Q19" i="6" a="1"/>
  <c r="Q19" i="6" s="1"/>
  <c r="Q20" i="6" s="1"/>
  <c r="O5" i="6"/>
  <c r="P4" i="6" a="1"/>
  <c r="P4" i="6" s="1"/>
  <c r="S22" i="6" a="1"/>
  <c r="S22" i="6" s="1"/>
  <c r="O2" i="6"/>
  <c r="P1" i="6" a="1"/>
  <c r="P1" i="6" s="1"/>
  <c r="S17" i="6"/>
  <c r="T16" i="6" a="1"/>
  <c r="T16" i="6" s="1"/>
  <c r="Q10" i="6" a="1"/>
  <c r="Q10" i="6" s="1"/>
  <c r="Q14" i="6"/>
  <c r="R13" i="6" a="1"/>
  <c r="R13" i="6" s="1"/>
  <c r="S13" i="6" s="1" a="1"/>
  <c r="S13" i="6" s="1"/>
  <c r="O11" i="6"/>
  <c r="M21" i="7"/>
  <c r="G5" i="7"/>
  <c r="K22" i="7"/>
  <c r="M22" i="7"/>
  <c r="H41" i="7"/>
  <c r="J41" i="7"/>
  <c r="I41" i="7"/>
  <c r="L41" i="7"/>
  <c r="J56" i="7"/>
  <c r="I56" i="7"/>
  <c r="L56" i="7"/>
  <c r="H56" i="7"/>
  <c r="M39" i="7"/>
  <c r="K39" i="7"/>
  <c r="G42" i="7"/>
  <c r="G26" i="7"/>
  <c r="M3" i="7"/>
  <c r="K3" i="7"/>
  <c r="I24" i="7"/>
  <c r="L24" i="7"/>
  <c r="H24" i="7"/>
  <c r="J24" i="7"/>
  <c r="M55" i="7"/>
  <c r="K55" i="7"/>
  <c r="G25" i="7"/>
  <c r="K38" i="7"/>
  <c r="M38" i="7"/>
  <c r="L40" i="7"/>
  <c r="J40" i="7"/>
  <c r="H40" i="7"/>
  <c r="I40" i="7"/>
  <c r="J23" i="7"/>
  <c r="H23" i="7"/>
  <c r="I23" i="7"/>
  <c r="L23" i="7"/>
  <c r="J4" i="7"/>
  <c r="I4" i="7"/>
  <c r="L4" i="7"/>
  <c r="H4" i="7"/>
  <c r="G57" i="7"/>
  <c r="N4" i="7" l="1"/>
  <c r="N40" i="7"/>
  <c r="N56" i="7"/>
  <c r="N23" i="7"/>
  <c r="N24" i="7"/>
  <c r="N41" i="7"/>
  <c r="R19" i="6" a="1"/>
  <c r="R19" i="6" s="1"/>
  <c r="R20" i="6" s="1"/>
  <c r="R7" i="6" a="1"/>
  <c r="R7" i="6" s="1"/>
  <c r="P2" i="6"/>
  <c r="Q1" i="6" a="1"/>
  <c r="Q1" i="6" s="1"/>
  <c r="Q11" i="6"/>
  <c r="R10" i="6" a="1"/>
  <c r="R10" i="6" s="1"/>
  <c r="R14" i="6"/>
  <c r="T17" i="6"/>
  <c r="U16" i="6" a="1"/>
  <c r="U16" i="6" s="1"/>
  <c r="S23" i="6"/>
  <c r="T22" i="6" a="1"/>
  <c r="T22" i="6" s="1"/>
  <c r="P5" i="6"/>
  <c r="Q4" i="6" a="1"/>
  <c r="Q4" i="6" s="1"/>
  <c r="S14" i="6"/>
  <c r="T13" i="6" a="1"/>
  <c r="T13" i="6" s="1"/>
  <c r="G58" i="7"/>
  <c r="K40" i="7"/>
  <c r="M40" i="7"/>
  <c r="L25" i="7"/>
  <c r="H25" i="7"/>
  <c r="I25" i="7"/>
  <c r="J25" i="7"/>
  <c r="I26" i="7"/>
  <c r="L26" i="7"/>
  <c r="J26" i="7"/>
  <c r="H26" i="7"/>
  <c r="G44" i="7"/>
  <c r="G43" i="7"/>
  <c r="G6" i="7"/>
  <c r="G27" i="7"/>
  <c r="L5" i="7"/>
  <c r="I5" i="7"/>
  <c r="J5" i="7"/>
  <c r="H5" i="7"/>
  <c r="M24" i="7"/>
  <c r="K24" i="7"/>
  <c r="J57" i="7"/>
  <c r="I57" i="7"/>
  <c r="L57" i="7"/>
  <c r="H57" i="7"/>
  <c r="K56" i="7"/>
  <c r="M56" i="7"/>
  <c r="M41" i="7"/>
  <c r="K41" i="7"/>
  <c r="K4" i="7"/>
  <c r="M4" i="7"/>
  <c r="K23" i="7"/>
  <c r="M23" i="7"/>
  <c r="I42" i="7"/>
  <c r="L42" i="7"/>
  <c r="H42" i="7"/>
  <c r="J42" i="7"/>
  <c r="S19" i="6" l="1" a="1"/>
  <c r="S19" i="6" s="1"/>
  <c r="S20" i="6" s="1"/>
  <c r="N26" i="7"/>
  <c r="N5" i="7"/>
  <c r="N57" i="7"/>
  <c r="N25" i="7"/>
  <c r="N42" i="7"/>
  <c r="S7" i="6" a="1"/>
  <c r="S7" i="6" s="1"/>
  <c r="G46" i="7" s="1"/>
  <c r="R8" i="6"/>
  <c r="Q2" i="6"/>
  <c r="R1" i="6" a="1"/>
  <c r="R1" i="6" s="1"/>
  <c r="T23" i="6"/>
  <c r="U22" i="6" a="1"/>
  <c r="U22" i="6" s="1"/>
  <c r="Q5" i="6"/>
  <c r="R4" i="6" a="1"/>
  <c r="R4" i="6" s="1"/>
  <c r="T14" i="6"/>
  <c r="U13" i="6" a="1"/>
  <c r="U13" i="6" s="1"/>
  <c r="R11" i="6"/>
  <c r="S10" i="6" a="1"/>
  <c r="S10" i="6" s="1"/>
  <c r="U17" i="6"/>
  <c r="V16" i="6" a="1"/>
  <c r="V16" i="6" s="1"/>
  <c r="G45" i="7"/>
  <c r="I45" i="7" s="1"/>
  <c r="G7" i="7"/>
  <c r="K42" i="7"/>
  <c r="M42" i="7"/>
  <c r="L6" i="7"/>
  <c r="H6" i="7"/>
  <c r="I6" i="7"/>
  <c r="J6" i="7"/>
  <c r="J44" i="7"/>
  <c r="I44" i="7"/>
  <c r="L44" i="7"/>
  <c r="H44" i="7"/>
  <c r="I27" i="7"/>
  <c r="H27" i="7"/>
  <c r="J27" i="7"/>
  <c r="L27" i="7"/>
  <c r="J43" i="7"/>
  <c r="I43" i="7"/>
  <c r="L43" i="7"/>
  <c r="H43" i="7"/>
  <c r="J58" i="7"/>
  <c r="I58" i="7"/>
  <c r="L58" i="7"/>
  <c r="H58" i="7"/>
  <c r="G59" i="7"/>
  <c r="G28" i="7"/>
  <c r="M57" i="7"/>
  <c r="K57" i="7"/>
  <c r="K5" i="7"/>
  <c r="M5" i="7"/>
  <c r="K26" i="7"/>
  <c r="M26" i="7"/>
  <c r="M25" i="7"/>
  <c r="K25" i="7"/>
  <c r="T19" i="6" l="1" a="1"/>
  <c r="T19" i="6" s="1"/>
  <c r="T20" i="6" s="1"/>
  <c r="N58" i="7"/>
  <c r="N43" i="7"/>
  <c r="N44" i="7"/>
  <c r="N27" i="7"/>
  <c r="N6" i="7"/>
  <c r="S8" i="6"/>
  <c r="T7" i="6" a="1"/>
  <c r="T7" i="6" s="1"/>
  <c r="G47" i="7" s="1"/>
  <c r="R5" i="6"/>
  <c r="S4" i="6" a="1"/>
  <c r="S4" i="6" s="1"/>
  <c r="S11" i="6"/>
  <c r="T10" i="6" a="1"/>
  <c r="T10" i="6" s="1"/>
  <c r="H45" i="7"/>
  <c r="U14" i="6"/>
  <c r="V13" i="6" a="1"/>
  <c r="V13" i="6" s="1"/>
  <c r="R2" i="6"/>
  <c r="S1" i="6" a="1"/>
  <c r="S1" i="6" s="1"/>
  <c r="V17" i="6"/>
  <c r="W16" i="6" a="1"/>
  <c r="W16" i="6" s="1"/>
  <c r="U23" i="6"/>
  <c r="V22" i="6" a="1"/>
  <c r="V22" i="6" s="1"/>
  <c r="L45" i="7"/>
  <c r="J45" i="7"/>
  <c r="G60" i="7"/>
  <c r="M44" i="7"/>
  <c r="K44" i="7"/>
  <c r="M6" i="7"/>
  <c r="K6" i="7"/>
  <c r="G29" i="7"/>
  <c r="J59" i="7"/>
  <c r="I59" i="7"/>
  <c r="H59" i="7"/>
  <c r="L59" i="7"/>
  <c r="K43" i="7"/>
  <c r="M43" i="7"/>
  <c r="J46" i="7"/>
  <c r="I46" i="7"/>
  <c r="H46" i="7"/>
  <c r="L46" i="7"/>
  <c r="G8" i="7"/>
  <c r="I28" i="7"/>
  <c r="L28" i="7"/>
  <c r="H28" i="7"/>
  <c r="J28" i="7"/>
  <c r="M58" i="7"/>
  <c r="K58" i="7"/>
  <c r="K27" i="7"/>
  <c r="M27" i="7"/>
  <c r="J7" i="7"/>
  <c r="I7" i="7"/>
  <c r="L7" i="7"/>
  <c r="H7" i="7"/>
  <c r="U19" i="6" l="1" a="1"/>
  <c r="U19" i="6" s="1"/>
  <c r="U20" i="6" s="1"/>
  <c r="N46" i="7"/>
  <c r="N7" i="7"/>
  <c r="N59" i="7"/>
  <c r="N28" i="7"/>
  <c r="N45" i="7"/>
  <c r="T8" i="6"/>
  <c r="U7" i="6" a="1"/>
  <c r="U7" i="6" s="1"/>
  <c r="K45" i="7"/>
  <c r="M45" i="7"/>
  <c r="T11" i="6"/>
  <c r="U10" i="6" a="1"/>
  <c r="U10" i="6" s="1"/>
  <c r="S2" i="6"/>
  <c r="T1" i="6" a="1"/>
  <c r="T1" i="6" s="1"/>
  <c r="V14" i="6"/>
  <c r="W13" i="6" a="1"/>
  <c r="W13" i="6" s="1"/>
  <c r="S5" i="6"/>
  <c r="T4" i="6" a="1"/>
  <c r="T4" i="6" s="1"/>
  <c r="V23" i="6"/>
  <c r="W22" i="6" a="1"/>
  <c r="W22" i="6" s="1"/>
  <c r="W17" i="6"/>
  <c r="X16" i="6" a="1"/>
  <c r="X16" i="6" s="1"/>
  <c r="G30" i="7"/>
  <c r="L30" i="7" s="1"/>
  <c r="G61" i="7"/>
  <c r="G9" i="7"/>
  <c r="L29" i="7"/>
  <c r="H29" i="7"/>
  <c r="I29" i="7"/>
  <c r="J29" i="7"/>
  <c r="J47" i="7"/>
  <c r="I47" i="7"/>
  <c r="L47" i="7"/>
  <c r="H47" i="7"/>
  <c r="M28" i="7"/>
  <c r="K28" i="7"/>
  <c r="G31" i="7"/>
  <c r="M46" i="7"/>
  <c r="K46" i="7"/>
  <c r="J60" i="7"/>
  <c r="I60" i="7"/>
  <c r="L60" i="7"/>
  <c r="H60" i="7"/>
  <c r="M7" i="7"/>
  <c r="K7" i="7"/>
  <c r="J8" i="7"/>
  <c r="H8" i="7"/>
  <c r="L8" i="7"/>
  <c r="I8" i="7"/>
  <c r="K59" i="7"/>
  <c r="M59" i="7"/>
  <c r="V19" i="6" l="1" a="1"/>
  <c r="V19" i="6" s="1"/>
  <c r="V20" i="6" s="1"/>
  <c r="N29" i="7"/>
  <c r="N8" i="7"/>
  <c r="N60" i="7"/>
  <c r="N47" i="7"/>
  <c r="J30" i="7"/>
  <c r="U8" i="6"/>
  <c r="V7" i="6" a="1"/>
  <c r="V7" i="6" s="1"/>
  <c r="V8" i="6" s="1"/>
  <c r="H30" i="7"/>
  <c r="I30" i="7"/>
  <c r="T2" i="6"/>
  <c r="U1" i="6" a="1"/>
  <c r="U1" i="6" s="1"/>
  <c r="X17" i="6"/>
  <c r="Y16" i="6" a="1"/>
  <c r="Y16" i="6" s="1"/>
  <c r="W14" i="6"/>
  <c r="X13" i="6" a="1"/>
  <c r="X13" i="6" s="1"/>
  <c r="T5" i="6"/>
  <c r="U4" i="6" a="1"/>
  <c r="U4" i="6" s="1"/>
  <c r="W23" i="6"/>
  <c r="X22" i="6" a="1"/>
  <c r="X22" i="6" s="1"/>
  <c r="U11" i="6"/>
  <c r="V10" i="6" a="1"/>
  <c r="V10" i="6" s="1"/>
  <c r="G48" i="7"/>
  <c r="I48" i="7" s="1"/>
  <c r="G10" i="7"/>
  <c r="M8" i="7"/>
  <c r="K8" i="7"/>
  <c r="I31" i="7"/>
  <c r="J31" i="7"/>
  <c r="L31" i="7"/>
  <c r="H31" i="7"/>
  <c r="K47" i="7"/>
  <c r="M47" i="7"/>
  <c r="J61" i="7"/>
  <c r="I61" i="7"/>
  <c r="L61" i="7"/>
  <c r="H61" i="7"/>
  <c r="K60" i="7"/>
  <c r="M60" i="7"/>
  <c r="K29" i="7"/>
  <c r="M29" i="7"/>
  <c r="L9" i="7"/>
  <c r="I9" i="7"/>
  <c r="J9" i="7"/>
  <c r="H9" i="7"/>
  <c r="G62" i="7"/>
  <c r="W19" i="6" l="1" a="1"/>
  <c r="W19" i="6" s="1"/>
  <c r="N31" i="7"/>
  <c r="N9" i="7"/>
  <c r="N61" i="7"/>
  <c r="N30" i="7"/>
  <c r="M30" i="7"/>
  <c r="K30" i="7"/>
  <c r="J48" i="7"/>
  <c r="G49" i="7"/>
  <c r="L49" i="7" s="1"/>
  <c r="W7" i="6" a="1"/>
  <c r="W7" i="6" s="1"/>
  <c r="U5" i="6"/>
  <c r="V4" i="6" a="1"/>
  <c r="V4" i="6" s="1"/>
  <c r="Y17" i="6"/>
  <c r="Z16" i="6" a="1"/>
  <c r="Z16" i="6" s="1"/>
  <c r="X23" i="6"/>
  <c r="Y22" i="6" a="1"/>
  <c r="Y22" i="6" s="1"/>
  <c r="U2" i="6"/>
  <c r="V1" i="6" a="1"/>
  <c r="V1" i="6" s="1"/>
  <c r="V11" i="6"/>
  <c r="W10" i="6" a="1"/>
  <c r="W10" i="6" s="1"/>
  <c r="W20" i="6"/>
  <c r="X19" i="6" a="1"/>
  <c r="X19" i="6" s="1"/>
  <c r="X14" i="6"/>
  <c r="Y13" i="6" a="1"/>
  <c r="Y13" i="6" s="1"/>
  <c r="L48" i="7"/>
  <c r="H48" i="7"/>
  <c r="G32" i="7"/>
  <c r="G33" i="7"/>
  <c r="H33" i="7" s="1"/>
  <c r="G11" i="7"/>
  <c r="G63" i="7"/>
  <c r="K9" i="7"/>
  <c r="M9" i="7"/>
  <c r="M61" i="7"/>
  <c r="K61" i="7"/>
  <c r="J62" i="7"/>
  <c r="I62" i="7"/>
  <c r="L62" i="7"/>
  <c r="H62" i="7"/>
  <c r="J10" i="7"/>
  <c r="I10" i="7"/>
  <c r="H10" i="7"/>
  <c r="L10" i="7"/>
  <c r="K31" i="7"/>
  <c r="M31" i="7"/>
  <c r="J49" i="7" l="1"/>
  <c r="N48" i="7"/>
  <c r="N10" i="7"/>
  <c r="N62" i="7"/>
  <c r="I49" i="7"/>
  <c r="K48" i="7"/>
  <c r="H49" i="7"/>
  <c r="W8" i="6"/>
  <c r="X7" i="6" a="1"/>
  <c r="X7" i="6" s="1"/>
  <c r="X8" i="6" s="1"/>
  <c r="G50" i="7"/>
  <c r="J50" i="7" s="1"/>
  <c r="X20" i="6"/>
  <c r="Y19" i="6" a="1"/>
  <c r="Y19" i="6" s="1"/>
  <c r="Y14" i="6"/>
  <c r="Z13" i="6" a="1"/>
  <c r="Z13" i="6" s="1"/>
  <c r="W11" i="6"/>
  <c r="X10" i="6" a="1"/>
  <c r="X10" i="6" s="1"/>
  <c r="Y23" i="6"/>
  <c r="Z22" i="6" a="1"/>
  <c r="Z22" i="6" s="1"/>
  <c r="Z17" i="6"/>
  <c r="AA16" i="6" a="1"/>
  <c r="AA16" i="6" s="1"/>
  <c r="M48" i="7"/>
  <c r="V2" i="6"/>
  <c r="W1" i="6" a="1"/>
  <c r="W1" i="6" s="1"/>
  <c r="V5" i="6"/>
  <c r="W4" i="6" a="1"/>
  <c r="W4" i="6" s="1"/>
  <c r="I33" i="7"/>
  <c r="L33" i="7"/>
  <c r="J33" i="7"/>
  <c r="L32" i="7"/>
  <c r="H32" i="7"/>
  <c r="J32" i="7"/>
  <c r="I32" i="7"/>
  <c r="M10" i="7"/>
  <c r="K10" i="7"/>
  <c r="J63" i="7"/>
  <c r="I63" i="7"/>
  <c r="H63" i="7"/>
  <c r="L63" i="7"/>
  <c r="G12" i="7"/>
  <c r="G64" i="7"/>
  <c r="M62" i="7"/>
  <c r="K62" i="7"/>
  <c r="L11" i="7"/>
  <c r="I11" i="7"/>
  <c r="J11" i="7"/>
  <c r="H11" i="7"/>
  <c r="M49" i="7" l="1"/>
  <c r="K49" i="7"/>
  <c r="N63" i="7"/>
  <c r="N33" i="7"/>
  <c r="N49" i="7"/>
  <c r="N11" i="7"/>
  <c r="N32" i="7"/>
  <c r="H50" i="7"/>
  <c r="I50" i="7"/>
  <c r="L50" i="7"/>
  <c r="Y7" i="6" a="1"/>
  <c r="Y7" i="6" s="1"/>
  <c r="W5" i="6"/>
  <c r="X4" i="6" a="1"/>
  <c r="X4" i="6" s="1"/>
  <c r="Z23" i="6"/>
  <c r="AA22" i="6" a="1"/>
  <c r="AA22" i="6" s="1"/>
  <c r="Z14" i="6"/>
  <c r="AA13" i="6" a="1"/>
  <c r="AA13" i="6" s="1"/>
  <c r="AA17" i="6"/>
  <c r="AB16" i="6" a="1"/>
  <c r="AB16" i="6" s="1"/>
  <c r="X11" i="6"/>
  <c r="Y10" i="6" a="1"/>
  <c r="Y10" i="6" s="1"/>
  <c r="Y20" i="6"/>
  <c r="Z19" i="6" a="1"/>
  <c r="Z19" i="6" s="1"/>
  <c r="W2" i="6"/>
  <c r="X1" i="6" a="1"/>
  <c r="X1" i="6" s="1"/>
  <c r="M33" i="7"/>
  <c r="K33" i="7"/>
  <c r="G34" i="7"/>
  <c r="K32" i="7"/>
  <c r="M32" i="7"/>
  <c r="G51" i="7"/>
  <c r="H51" i="7" s="1"/>
  <c r="G65" i="7"/>
  <c r="L12" i="7"/>
  <c r="H12" i="7"/>
  <c r="I12" i="7"/>
  <c r="J12" i="7"/>
  <c r="M11" i="7"/>
  <c r="K11" i="7"/>
  <c r="J64" i="7"/>
  <c r="I64" i="7"/>
  <c r="L64" i="7"/>
  <c r="H64" i="7"/>
  <c r="G13" i="7"/>
  <c r="M63" i="7"/>
  <c r="K63" i="7"/>
  <c r="N50" i="7" l="1"/>
  <c r="N64" i="7"/>
  <c r="N12" i="7"/>
  <c r="K50" i="7"/>
  <c r="M50" i="7"/>
  <c r="Y8" i="6"/>
  <c r="Z7" i="6" a="1"/>
  <c r="Z7" i="6" s="1"/>
  <c r="Z8" i="6" s="1"/>
  <c r="X2" i="6"/>
  <c r="Y1" i="6" a="1"/>
  <c r="Y1" i="6" s="1"/>
  <c r="Y11" i="6"/>
  <c r="Z10" i="6" a="1"/>
  <c r="Z10" i="6" s="1"/>
  <c r="AA23" i="6"/>
  <c r="AB22" i="6" a="1"/>
  <c r="AB22" i="6" s="1"/>
  <c r="Z20" i="6"/>
  <c r="AA19" i="6" a="1"/>
  <c r="AA19" i="6" s="1"/>
  <c r="AB17" i="6"/>
  <c r="AC16" i="6" a="1"/>
  <c r="AC16" i="6" s="1"/>
  <c r="X5" i="6"/>
  <c r="Y4" i="6" a="1"/>
  <c r="Y4" i="6" s="1"/>
  <c r="AA14" i="6"/>
  <c r="AB13" i="6" a="1"/>
  <c r="AB13" i="6" s="1"/>
  <c r="J51" i="7"/>
  <c r="L51" i="7"/>
  <c r="I51" i="7"/>
  <c r="L34" i="7"/>
  <c r="J34" i="7"/>
  <c r="H34" i="7"/>
  <c r="I34" i="7"/>
  <c r="G66" i="7"/>
  <c r="K64" i="7"/>
  <c r="M64" i="7"/>
  <c r="K12" i="7"/>
  <c r="M12" i="7"/>
  <c r="J13" i="7"/>
  <c r="H13" i="7"/>
  <c r="L13" i="7"/>
  <c r="I13" i="7"/>
  <c r="G14" i="7"/>
  <c r="J65" i="7"/>
  <c r="I65" i="7"/>
  <c r="L65" i="7"/>
  <c r="H65" i="7"/>
  <c r="N51" i="7" l="1"/>
  <c r="N13" i="7"/>
  <c r="N34" i="7"/>
  <c r="N65" i="7"/>
  <c r="AA7" i="6" a="1"/>
  <c r="AA7" i="6" s="1"/>
  <c r="K51" i="7"/>
  <c r="AB14" i="6"/>
  <c r="AC13" i="6" a="1"/>
  <c r="AC13" i="6" s="1"/>
  <c r="AA20" i="6"/>
  <c r="AB19" i="6" a="1"/>
  <c r="AB19" i="6" s="1"/>
  <c r="Z11" i="6"/>
  <c r="AA10" i="6" a="1"/>
  <c r="AA10" i="6" s="1"/>
  <c r="Y5" i="6"/>
  <c r="Z4" i="6" a="1"/>
  <c r="Z4" i="6" s="1"/>
  <c r="AC17" i="6"/>
  <c r="AD16" i="6" a="1"/>
  <c r="AD16" i="6" s="1"/>
  <c r="AB23" i="6"/>
  <c r="AC22" i="6" a="1"/>
  <c r="AC22" i="6" s="1"/>
  <c r="Y2" i="6"/>
  <c r="Z1" i="6" a="1"/>
  <c r="Z1" i="6" s="1"/>
  <c r="M51" i="7"/>
  <c r="K34" i="7"/>
  <c r="M34" i="7"/>
  <c r="G15" i="7"/>
  <c r="L14" i="7"/>
  <c r="I14" i="7"/>
  <c r="J14" i="7"/>
  <c r="H14" i="7"/>
  <c r="M13" i="7"/>
  <c r="K13" i="7"/>
  <c r="K65" i="7"/>
  <c r="M65" i="7"/>
  <c r="G67" i="7"/>
  <c r="J66" i="7"/>
  <c r="I66" i="7"/>
  <c r="L66" i="7"/>
  <c r="H66" i="7"/>
  <c r="N66" i="7" l="1"/>
  <c r="N14" i="7"/>
  <c r="AA8" i="6"/>
  <c r="AB7" i="6" a="1"/>
  <c r="AB7" i="6" s="1"/>
  <c r="AB8" i="6" s="1"/>
  <c r="Z2" i="6"/>
  <c r="AA1" i="6" a="1"/>
  <c r="AA1" i="6" s="1"/>
  <c r="AD17" i="6"/>
  <c r="AE16" i="6" a="1"/>
  <c r="AE16" i="6" s="1"/>
  <c r="AA11" i="6"/>
  <c r="AB10" i="6" a="1"/>
  <c r="AB10" i="6" s="1"/>
  <c r="AC23" i="6"/>
  <c r="AD22" i="6" a="1"/>
  <c r="AD22" i="6" s="1"/>
  <c r="Z5" i="6"/>
  <c r="AA4" i="6" a="1"/>
  <c r="AA4" i="6" s="1"/>
  <c r="AC14" i="6"/>
  <c r="AD13" i="6" a="1"/>
  <c r="AD13" i="6" s="1"/>
  <c r="AB20" i="6"/>
  <c r="AC19" i="6" a="1"/>
  <c r="AC19" i="6" s="1"/>
  <c r="G68" i="7"/>
  <c r="M66" i="7"/>
  <c r="K66" i="7"/>
  <c r="M14" i="7"/>
  <c r="K14" i="7"/>
  <c r="J67" i="7"/>
  <c r="I67" i="7"/>
  <c r="H67" i="7"/>
  <c r="L67" i="7"/>
  <c r="G16" i="7"/>
  <c r="L15" i="7"/>
  <c r="I15" i="7"/>
  <c r="J15" i="7"/>
  <c r="H15" i="7"/>
  <c r="N67" i="7" l="1"/>
  <c r="N15" i="7"/>
  <c r="AC7" i="6" a="1"/>
  <c r="AC7" i="6" s="1"/>
  <c r="AC8" i="6" s="1"/>
  <c r="AA5" i="6"/>
  <c r="AB4" i="6" a="1"/>
  <c r="AB4" i="6" s="1"/>
  <c r="AE17" i="6"/>
  <c r="AF16" i="6" a="1"/>
  <c r="AF16" i="6" s="1"/>
  <c r="AC20" i="6"/>
  <c r="AD19" i="6" a="1"/>
  <c r="AD19" i="6" s="1"/>
  <c r="AD14" i="6"/>
  <c r="AE13" i="6" a="1"/>
  <c r="AE13" i="6" s="1"/>
  <c r="AD23" i="6"/>
  <c r="AE22" i="6" a="1"/>
  <c r="AE22" i="6" s="1"/>
  <c r="AB11" i="6"/>
  <c r="AC10" i="6" a="1"/>
  <c r="AC10" i="6" s="1"/>
  <c r="AA2" i="6"/>
  <c r="AB1" i="6" a="1"/>
  <c r="AB1" i="6" s="1"/>
  <c r="M15" i="7"/>
  <c r="K15" i="7"/>
  <c r="L16" i="7"/>
  <c r="H16" i="7"/>
  <c r="I16" i="7"/>
  <c r="J16" i="7"/>
  <c r="G17" i="7"/>
  <c r="K67" i="7"/>
  <c r="M67" i="7"/>
  <c r="J68" i="7"/>
  <c r="I68" i="7"/>
  <c r="L68" i="7"/>
  <c r="H68" i="7"/>
  <c r="N16" i="7" l="1"/>
  <c r="N68" i="7"/>
  <c r="AD7" i="6" a="1"/>
  <c r="AD7" i="6" s="1"/>
  <c r="AD8" i="6" s="1"/>
  <c r="AB2" i="6"/>
  <c r="AC1" i="6" a="1"/>
  <c r="AC1" i="6" s="1"/>
  <c r="AE23" i="6"/>
  <c r="AF22" i="6" a="1"/>
  <c r="AF22" i="6" s="1"/>
  <c r="AD20" i="6"/>
  <c r="AE19" i="6" a="1"/>
  <c r="AE19" i="6" s="1"/>
  <c r="AE14" i="6"/>
  <c r="AF13" i="6" a="1"/>
  <c r="AF13" i="6" s="1"/>
  <c r="AB5" i="6"/>
  <c r="AC4" i="6" a="1"/>
  <c r="AC4" i="6" s="1"/>
  <c r="AC11" i="6"/>
  <c r="AD10" i="6" a="1"/>
  <c r="AD10" i="6" s="1"/>
  <c r="AF17" i="6"/>
  <c r="AG16" i="6" a="1"/>
  <c r="AG16" i="6" s="1"/>
  <c r="K68" i="7"/>
  <c r="M68" i="7"/>
  <c r="J17" i="7"/>
  <c r="H17" i="7"/>
  <c r="L17" i="7"/>
  <c r="I17" i="7"/>
  <c r="K16" i="7"/>
  <c r="M16" i="7"/>
  <c r="N17" i="7" l="1"/>
  <c r="AE7" i="6" a="1"/>
  <c r="AE7" i="6" s="1"/>
  <c r="AC5" i="6"/>
  <c r="AD4" i="6" a="1"/>
  <c r="AD4" i="6" s="1"/>
  <c r="AF23" i="6"/>
  <c r="AG22" i="6" a="1"/>
  <c r="AG22" i="6" s="1"/>
  <c r="AG17" i="6"/>
  <c r="AH16" i="6" a="1"/>
  <c r="AH16" i="6" s="1"/>
  <c r="AD11" i="6"/>
  <c r="AE10" i="6" a="1"/>
  <c r="AE10" i="6" s="1"/>
  <c r="AF14" i="6"/>
  <c r="AG13" i="6" a="1"/>
  <c r="AG13" i="6" s="1"/>
  <c r="AE20" i="6"/>
  <c r="AF19" i="6" a="1"/>
  <c r="AF19" i="6" s="1"/>
  <c r="AC2" i="6"/>
  <c r="AD1" i="6" a="1"/>
  <c r="AD1" i="6" s="1"/>
  <c r="M17" i="7"/>
  <c r="K17" i="7"/>
  <c r="AE8" i="6" l="1"/>
  <c r="AF7" i="6" a="1"/>
  <c r="AF7" i="6" s="1"/>
  <c r="AF8" i="6" s="1"/>
  <c r="AD2" i="6"/>
  <c r="AE1" i="6" a="1"/>
  <c r="AE1" i="6" s="1"/>
  <c r="AG14" i="6"/>
  <c r="AH13" i="6" a="1"/>
  <c r="AH13" i="6" s="1"/>
  <c r="AH17" i="6"/>
  <c r="AI16" i="6" a="1"/>
  <c r="AI16" i="6" s="1"/>
  <c r="AF20" i="6"/>
  <c r="AG19" i="6" a="1"/>
  <c r="AG19" i="6" s="1"/>
  <c r="AD5" i="6"/>
  <c r="AE4" i="6" a="1"/>
  <c r="AE4" i="6" s="1"/>
  <c r="AE11" i="6"/>
  <c r="AF10" i="6" a="1"/>
  <c r="AF10" i="6" s="1"/>
  <c r="AG23" i="6"/>
  <c r="AH22" i="6" a="1"/>
  <c r="AH22" i="6" s="1"/>
  <c r="AG7" i="6" l="1" a="1"/>
  <c r="AG7" i="6" s="1"/>
  <c r="AG8" i="6" s="1"/>
  <c r="AE5" i="6"/>
  <c r="AF4" i="6" a="1"/>
  <c r="AF4" i="6" s="1"/>
  <c r="AH14" i="6"/>
  <c r="AI13" i="6" a="1"/>
  <c r="AI13" i="6" s="1"/>
  <c r="AH23" i="6"/>
  <c r="AI22" i="6" a="1"/>
  <c r="AI22" i="6" s="1"/>
  <c r="AF11" i="6"/>
  <c r="AG10" i="6" a="1"/>
  <c r="AG10" i="6" s="1"/>
  <c r="AG20" i="6"/>
  <c r="AH19" i="6" a="1"/>
  <c r="AH19" i="6" s="1"/>
  <c r="AI17" i="6"/>
  <c r="AJ16" i="6" a="1"/>
  <c r="AJ16" i="6" s="1"/>
  <c r="AE2" i="6"/>
  <c r="AF1" i="6" a="1"/>
  <c r="AF1" i="6" s="1"/>
  <c r="AH7" i="6" l="1" a="1"/>
  <c r="AH7" i="6" s="1"/>
  <c r="AH8" i="6" s="1"/>
  <c r="AF2" i="6"/>
  <c r="AG1" i="6" a="1"/>
  <c r="AG1" i="6" s="1"/>
  <c r="AH20" i="6"/>
  <c r="AI19" i="6" a="1"/>
  <c r="AI19" i="6" s="1"/>
  <c r="AI23" i="6"/>
  <c r="AJ22" i="6" a="1"/>
  <c r="AJ22" i="6" s="1"/>
  <c r="AG11" i="6"/>
  <c r="AH10" i="6" a="1"/>
  <c r="AH10" i="6" s="1"/>
  <c r="AJ17" i="6"/>
  <c r="AK16" i="6" a="1"/>
  <c r="AK16" i="6" s="1"/>
  <c r="AI14" i="6"/>
  <c r="AJ13" i="6" a="1"/>
  <c r="AJ13" i="6" s="1"/>
  <c r="AF5" i="6"/>
  <c r="AG4" i="6" a="1"/>
  <c r="AG4" i="6" s="1"/>
  <c r="AI7" i="6" l="1" a="1"/>
  <c r="AI7" i="6" s="1"/>
  <c r="AG5" i="6"/>
  <c r="AH4" i="6" a="1"/>
  <c r="AH4" i="6" s="1"/>
  <c r="AK17" i="6"/>
  <c r="AL16" i="6" a="1"/>
  <c r="AL16" i="6" s="1"/>
  <c r="AI20" i="6"/>
  <c r="AJ19" i="6" a="1"/>
  <c r="AJ19" i="6" s="1"/>
  <c r="AG2" i="6"/>
  <c r="AH1" i="6" a="1"/>
  <c r="AH1" i="6" s="1"/>
  <c r="AJ14" i="6"/>
  <c r="AK13" i="6" a="1"/>
  <c r="AK13" i="6" s="1"/>
  <c r="AH11" i="6"/>
  <c r="AI10" i="6" a="1"/>
  <c r="AI10" i="6" s="1"/>
  <c r="AJ23" i="6"/>
  <c r="AK22" i="6" a="1"/>
  <c r="AK22" i="6" s="1"/>
  <c r="AI8" i="6" l="1"/>
  <c r="AJ7" i="6" a="1"/>
  <c r="AJ7" i="6" s="1"/>
  <c r="AJ8" i="6" s="1"/>
  <c r="AH2" i="6"/>
  <c r="AI1" i="6" a="1"/>
  <c r="AI1" i="6" s="1"/>
  <c r="AK23" i="6"/>
  <c r="AL22" i="6" a="1"/>
  <c r="AL22" i="6" s="1"/>
  <c r="AJ20" i="6"/>
  <c r="AK19" i="6" a="1"/>
  <c r="AK19" i="6" s="1"/>
  <c r="AL17" i="6"/>
  <c r="AM16" i="6" a="1"/>
  <c r="AM16" i="6" s="1"/>
  <c r="AI11" i="6"/>
  <c r="AJ10" i="6" a="1"/>
  <c r="AJ10" i="6" s="1"/>
  <c r="AK14" i="6"/>
  <c r="AL13" i="6" a="1"/>
  <c r="AL13" i="6" s="1"/>
  <c r="AH5" i="6"/>
  <c r="AI4" i="6" a="1"/>
  <c r="AI4" i="6" s="1"/>
  <c r="AK7" i="6" l="1" a="1"/>
  <c r="AK7" i="6" s="1"/>
  <c r="AI5" i="6"/>
  <c r="AJ4" i="6" a="1"/>
  <c r="AJ4" i="6" s="1"/>
  <c r="AL14" i="6"/>
  <c r="AM13" i="6" a="1"/>
  <c r="AM13" i="6" s="1"/>
  <c r="AM17" i="6"/>
  <c r="AN16" i="6" a="1"/>
  <c r="AN16" i="6" s="1"/>
  <c r="AL23" i="6"/>
  <c r="AM22" i="6" a="1"/>
  <c r="AM22" i="6" s="1"/>
  <c r="AJ11" i="6"/>
  <c r="AK10" i="6" a="1"/>
  <c r="AK10" i="6" s="1"/>
  <c r="AK20" i="6"/>
  <c r="AL19" i="6" a="1"/>
  <c r="AL19" i="6" s="1"/>
  <c r="AI2" i="6"/>
  <c r="AJ1" i="6" a="1"/>
  <c r="AJ1" i="6" s="1"/>
  <c r="AK8" i="6" l="1"/>
  <c r="AL7" i="6" a="1"/>
  <c r="AL7" i="6" s="1"/>
  <c r="AL20" i="6"/>
  <c r="AM19" i="6" a="1"/>
  <c r="AM19" i="6" s="1"/>
  <c r="AM23" i="6"/>
  <c r="AN22" i="6" a="1"/>
  <c r="AN22" i="6" s="1"/>
  <c r="AM14" i="6"/>
  <c r="AN13" i="6" a="1"/>
  <c r="AN13" i="6" s="1"/>
  <c r="AJ2" i="6"/>
  <c r="AK1" i="6" a="1"/>
  <c r="AK1" i="6" s="1"/>
  <c r="AK11" i="6"/>
  <c r="AL10" i="6" a="1"/>
  <c r="AL10" i="6" s="1"/>
  <c r="AN17" i="6"/>
  <c r="AO16" i="6" a="1"/>
  <c r="AO16" i="6" s="1"/>
  <c r="AJ5" i="6"/>
  <c r="AK4" i="6" a="1"/>
  <c r="AK4" i="6" s="1"/>
  <c r="AM7" i="6" l="1" a="1"/>
  <c r="AM7" i="6" s="1"/>
  <c r="AM8" i="6" s="1"/>
  <c r="AL8" i="6"/>
  <c r="AK5" i="6"/>
  <c r="AL4" i="6" a="1"/>
  <c r="AL4" i="6" s="1"/>
  <c r="AL11" i="6"/>
  <c r="AM10" i="6" a="1"/>
  <c r="AM10" i="6" s="1"/>
  <c r="AN14" i="6"/>
  <c r="AO13" i="6" a="1"/>
  <c r="AO13" i="6" s="1"/>
  <c r="AK2" i="6"/>
  <c r="AL1" i="6" a="1"/>
  <c r="AL1" i="6" s="1"/>
  <c r="AO17" i="6"/>
  <c r="AP16" i="6" a="1"/>
  <c r="AP16" i="6" s="1"/>
  <c r="AN23" i="6"/>
  <c r="AO22" i="6" a="1"/>
  <c r="AO22" i="6" s="1"/>
  <c r="AM20" i="6"/>
  <c r="AN19" i="6" a="1"/>
  <c r="AN19" i="6" s="1"/>
  <c r="AN7" i="6" l="1" a="1"/>
  <c r="AN7" i="6" s="1"/>
  <c r="AN8" i="6" s="1"/>
  <c r="AL2" i="6"/>
  <c r="AM1" i="6" a="1"/>
  <c r="AM1" i="6" s="1"/>
  <c r="AN20" i="6"/>
  <c r="AO19" i="6" a="1"/>
  <c r="AO19" i="6" s="1"/>
  <c r="AP17" i="6"/>
  <c r="AQ16" i="6" a="1"/>
  <c r="AQ16" i="6" s="1"/>
  <c r="AM11" i="6"/>
  <c r="AN10" i="6" a="1"/>
  <c r="AN10" i="6" s="1"/>
  <c r="AO23" i="6"/>
  <c r="AP22" i="6" a="1"/>
  <c r="AP22" i="6" s="1"/>
  <c r="AO14" i="6"/>
  <c r="AP13" i="6" a="1"/>
  <c r="AP13" i="6" s="1"/>
  <c r="AL5" i="6"/>
  <c r="AM4" i="6" a="1"/>
  <c r="AM4" i="6" s="1"/>
  <c r="AO7" i="6" l="1" a="1"/>
  <c r="AO7" i="6" s="1"/>
  <c r="AM2" i="6"/>
  <c r="AN1" i="6" a="1"/>
  <c r="AN1" i="6" s="1"/>
  <c r="AP23" i="6"/>
  <c r="AQ22" i="6" a="1"/>
  <c r="AQ22" i="6" s="1"/>
  <c r="AO20" i="6"/>
  <c r="AP19" i="6" a="1"/>
  <c r="AP19" i="6" s="1"/>
  <c r="AM5" i="6"/>
  <c r="AN4" i="6" a="1"/>
  <c r="AN4" i="6" s="1"/>
  <c r="AN11" i="6"/>
  <c r="AO10" i="6" a="1"/>
  <c r="AO10" i="6" s="1"/>
  <c r="AP14" i="6"/>
  <c r="AQ13" i="6" a="1"/>
  <c r="AQ13" i="6" s="1"/>
  <c r="AQ17" i="6"/>
  <c r="AR16" i="6" a="1"/>
  <c r="AR16" i="6" s="1"/>
  <c r="AO8" i="6" l="1"/>
  <c r="AP7" i="6" a="1"/>
  <c r="AP7" i="6" s="1"/>
  <c r="AN5" i="6"/>
  <c r="AO4" i="6" a="1"/>
  <c r="AO4" i="6" s="1"/>
  <c r="AQ23" i="6"/>
  <c r="AR22" i="6" a="1"/>
  <c r="AR22" i="6" s="1"/>
  <c r="AR17" i="6"/>
  <c r="AS16" i="6" a="1"/>
  <c r="AS16" i="6" s="1"/>
  <c r="AO11" i="6"/>
  <c r="AP10" i="6" a="1"/>
  <c r="AP10" i="6" s="1"/>
  <c r="AQ14" i="6"/>
  <c r="AR13" i="6" a="1"/>
  <c r="AR13" i="6" s="1"/>
  <c r="AP20" i="6"/>
  <c r="AQ19" i="6" a="1"/>
  <c r="AQ19" i="6" s="1"/>
  <c r="AN2" i="6"/>
  <c r="AO1" i="6" a="1"/>
  <c r="AO1" i="6" s="1"/>
  <c r="AP8" i="6" l="1"/>
  <c r="AQ7" i="6" a="1"/>
  <c r="AQ7" i="6" s="1"/>
  <c r="AO2" i="6"/>
  <c r="AP1" i="6" a="1"/>
  <c r="AP1" i="6" s="1"/>
  <c r="AP11" i="6"/>
  <c r="AQ10" i="6" a="1"/>
  <c r="AQ10" i="6" s="1"/>
  <c r="AR23" i="6"/>
  <c r="AS22" i="6" a="1"/>
  <c r="AS22" i="6" s="1"/>
  <c r="AR14" i="6"/>
  <c r="AS13" i="6" a="1"/>
  <c r="AS13" i="6" s="1"/>
  <c r="AQ20" i="6"/>
  <c r="AR19" i="6" a="1"/>
  <c r="AR19" i="6" s="1"/>
  <c r="AS17" i="6"/>
  <c r="AT16" i="6" a="1"/>
  <c r="AT16" i="6" s="1"/>
  <c r="AO5" i="6"/>
  <c r="AP4" i="6" a="1"/>
  <c r="AP4" i="6" s="1"/>
  <c r="AQ8" i="6" l="1"/>
  <c r="AR7" i="6" a="1"/>
  <c r="AR7" i="6" s="1"/>
  <c r="AR8" i="6" s="1"/>
  <c r="AP5" i="6"/>
  <c r="AQ4" i="6" a="1"/>
  <c r="AQ4" i="6" s="1"/>
  <c r="AS23" i="6"/>
  <c r="AT22" i="6" a="1"/>
  <c r="AT22" i="6" s="1"/>
  <c r="AS14" i="6"/>
  <c r="AT13" i="6" a="1"/>
  <c r="AT13" i="6" s="1"/>
  <c r="AR20" i="6"/>
  <c r="AS19" i="6" a="1"/>
  <c r="AS19" i="6" s="1"/>
  <c r="AT17" i="6"/>
  <c r="AU16" i="6" a="1"/>
  <c r="AU16" i="6" s="1"/>
  <c r="AQ11" i="6"/>
  <c r="AR10" i="6" a="1"/>
  <c r="AR10" i="6" s="1"/>
  <c r="AP2" i="6"/>
  <c r="AQ1" i="6" a="1"/>
  <c r="AQ1" i="6" s="1"/>
  <c r="AS7" i="6" l="1" a="1"/>
  <c r="AS7" i="6" s="1"/>
  <c r="AQ2" i="6"/>
  <c r="AR1" i="6" a="1"/>
  <c r="AR1" i="6" s="1"/>
  <c r="AU17" i="6"/>
  <c r="AV16" i="6" a="1"/>
  <c r="AV16" i="6" s="1"/>
  <c r="AT23" i="6"/>
  <c r="AU22" i="6" a="1"/>
  <c r="AU22" i="6" s="1"/>
  <c r="AQ5" i="6"/>
  <c r="AR4" i="6" a="1"/>
  <c r="AR4" i="6" s="1"/>
  <c r="AT14" i="6"/>
  <c r="AU13" i="6" a="1"/>
  <c r="AU13" i="6" s="1"/>
  <c r="AS20" i="6"/>
  <c r="AT19" i="6" a="1"/>
  <c r="AT19" i="6" s="1"/>
  <c r="AR11" i="6"/>
  <c r="AS10" i="6" a="1"/>
  <c r="AS10" i="6" s="1"/>
  <c r="AS8" i="6" l="1"/>
  <c r="AT7" i="6" a="1"/>
  <c r="AT7" i="6" s="1"/>
  <c r="AS11" i="6"/>
  <c r="AT10" i="6" a="1"/>
  <c r="AT10" i="6" s="1"/>
  <c r="AU14" i="6"/>
  <c r="AV13" i="6" a="1"/>
  <c r="AV13" i="6" s="1"/>
  <c r="AT20" i="6"/>
  <c r="AU19" i="6" a="1"/>
  <c r="AU19" i="6" s="1"/>
  <c r="AV17" i="6"/>
  <c r="AW16" i="6" a="1"/>
  <c r="AW16" i="6" s="1"/>
  <c r="AR5" i="6"/>
  <c r="AS4" i="6" a="1"/>
  <c r="AS4" i="6" s="1"/>
  <c r="AU23" i="6"/>
  <c r="AV22" i="6" a="1"/>
  <c r="AV22" i="6" s="1"/>
  <c r="AR2" i="6"/>
  <c r="AS1" i="6" a="1"/>
  <c r="AS1" i="6" s="1"/>
  <c r="AT8" i="6" l="1"/>
  <c r="AU7" i="6" a="1"/>
  <c r="AU7" i="6" s="1"/>
  <c r="AU8" i="6" s="1"/>
  <c r="AS5" i="6"/>
  <c r="AT4" i="6" a="1"/>
  <c r="AT4" i="6" s="1"/>
  <c r="AU20" i="6"/>
  <c r="AV19" i="6" a="1"/>
  <c r="AV19" i="6" s="1"/>
  <c r="AV14" i="6"/>
  <c r="AW13" i="6" a="1"/>
  <c r="AW13" i="6" s="1"/>
  <c r="AS2" i="6"/>
  <c r="AT1" i="6" a="1"/>
  <c r="AT1" i="6" s="1"/>
  <c r="AV23" i="6"/>
  <c r="AW22" i="6" a="1"/>
  <c r="AW22" i="6" s="1"/>
  <c r="AW17" i="6"/>
  <c r="AX16" i="6" a="1"/>
  <c r="AX16" i="6" s="1"/>
  <c r="AT11" i="6"/>
  <c r="AU10" i="6" a="1"/>
  <c r="AU10" i="6" s="1"/>
  <c r="AV7" i="6" l="1" a="1"/>
  <c r="AV7" i="6" s="1"/>
  <c r="AT2" i="6"/>
  <c r="AU1" i="6" a="1"/>
  <c r="AU1" i="6" s="1"/>
  <c r="AV20" i="6"/>
  <c r="AW19" i="6" a="1"/>
  <c r="AW19" i="6" s="1"/>
  <c r="AW23" i="6"/>
  <c r="AX22" i="6" a="1"/>
  <c r="AX22" i="6" s="1"/>
  <c r="AX17" i="6"/>
  <c r="AY16" i="6" a="1"/>
  <c r="AY16" i="6" s="1"/>
  <c r="AT5" i="6"/>
  <c r="AU4" i="6" a="1"/>
  <c r="AU4" i="6" s="1"/>
  <c r="AU11" i="6"/>
  <c r="AV10" i="6" a="1"/>
  <c r="AV10" i="6" s="1"/>
  <c r="AW14" i="6"/>
  <c r="AX13" i="6" a="1"/>
  <c r="AX13" i="6" s="1"/>
  <c r="AV8" i="6" l="1"/>
  <c r="AW7" i="6" a="1"/>
  <c r="AW7" i="6" s="1"/>
  <c r="AW8" i="6" s="1"/>
  <c r="AU5" i="6"/>
  <c r="AV4" i="6" a="1"/>
  <c r="AV4" i="6" s="1"/>
  <c r="AW20" i="6"/>
  <c r="AX19" i="6" a="1"/>
  <c r="AX19" i="6" s="1"/>
  <c r="AX14" i="6"/>
  <c r="AY13" i="6" a="1"/>
  <c r="AY13" i="6" s="1"/>
  <c r="AV11" i="6"/>
  <c r="AW10" i="6" a="1"/>
  <c r="AW10" i="6" s="1"/>
  <c r="AY17" i="6"/>
  <c r="AZ16" i="6" a="1"/>
  <c r="AZ16" i="6" s="1"/>
  <c r="AX23" i="6"/>
  <c r="AY22" i="6" a="1"/>
  <c r="AY22" i="6" s="1"/>
  <c r="AU2" i="6"/>
  <c r="AV1" i="6" a="1"/>
  <c r="AV1" i="6" s="1"/>
  <c r="AX7" i="6" l="1" a="1"/>
  <c r="AX7" i="6" s="1"/>
  <c r="AX8" i="6" s="1"/>
  <c r="AV2" i="6"/>
  <c r="AW1" i="6" a="1"/>
  <c r="AW1" i="6" s="1"/>
  <c r="AZ17" i="6"/>
  <c r="BA16" i="6" a="1"/>
  <c r="BA16" i="6" s="1"/>
  <c r="AY14" i="6"/>
  <c r="AZ13" i="6" a="1"/>
  <c r="AZ13" i="6" s="1"/>
  <c r="AW11" i="6"/>
  <c r="AX10" i="6" a="1"/>
  <c r="AX10" i="6" s="1"/>
  <c r="AV5" i="6"/>
  <c r="AW4" i="6" a="1"/>
  <c r="AW4" i="6" s="1"/>
  <c r="AY23" i="6"/>
  <c r="AZ22" i="6" a="1"/>
  <c r="AZ22" i="6" s="1"/>
  <c r="AX20" i="6"/>
  <c r="AY19" i="6" a="1"/>
  <c r="AY19" i="6" s="1"/>
  <c r="AY7" i="6" l="1" a="1"/>
  <c r="AY7" i="6" s="1"/>
  <c r="AY8" i="6" s="1"/>
  <c r="AW5" i="6"/>
  <c r="AX4" i="6" a="1"/>
  <c r="AX4" i="6" s="1"/>
  <c r="BA17" i="6"/>
  <c r="BB16" i="6" a="1"/>
  <c r="BB16" i="6" s="1"/>
  <c r="AY20" i="6"/>
  <c r="AZ19" i="6" a="1"/>
  <c r="AZ19" i="6" s="1"/>
  <c r="AZ23" i="6"/>
  <c r="BA22" i="6" a="1"/>
  <c r="BA22" i="6" s="1"/>
  <c r="AX11" i="6"/>
  <c r="AY10" i="6" a="1"/>
  <c r="AY10" i="6" s="1"/>
  <c r="AZ14" i="6"/>
  <c r="BA13" i="6" a="1"/>
  <c r="BA13" i="6" s="1"/>
  <c r="AW2" i="6"/>
  <c r="AX1" i="6" a="1"/>
  <c r="AX1" i="6" s="1"/>
  <c r="AZ7" i="6" l="1" a="1"/>
  <c r="AZ7" i="6" s="1"/>
  <c r="AZ8" i="6" s="1"/>
  <c r="AX2" i="6"/>
  <c r="AY1" i="6" a="1"/>
  <c r="AY1" i="6" s="1"/>
  <c r="AY11" i="6"/>
  <c r="AZ10" i="6" a="1"/>
  <c r="AZ10" i="6" s="1"/>
  <c r="AZ20" i="6"/>
  <c r="BA19" i="6" a="1"/>
  <c r="BA19" i="6" s="1"/>
  <c r="BA23" i="6"/>
  <c r="BB22" i="6" a="1"/>
  <c r="BB22" i="6" s="1"/>
  <c r="BA14" i="6"/>
  <c r="BB13" i="6" a="1"/>
  <c r="BB13" i="6" s="1"/>
  <c r="BB17" i="6"/>
  <c r="BC16" i="6" a="1"/>
  <c r="BC16" i="6" s="1"/>
  <c r="AX5" i="6"/>
  <c r="AY4" i="6" a="1"/>
  <c r="AY4" i="6" s="1"/>
  <c r="BA7" i="6" l="1" a="1"/>
  <c r="BA7" i="6" s="1"/>
  <c r="BA8" i="6" s="1"/>
  <c r="AY2" i="6"/>
  <c r="AZ1" i="6" a="1"/>
  <c r="AZ1" i="6" s="1"/>
  <c r="BB14" i="6"/>
  <c r="BC13" i="6" a="1"/>
  <c r="BC13" i="6" s="1"/>
  <c r="AZ11" i="6"/>
  <c r="BA10" i="6" a="1"/>
  <c r="BA10" i="6" s="1"/>
  <c r="AY5" i="6"/>
  <c r="AZ4" i="6" a="1"/>
  <c r="AZ4" i="6" s="1"/>
  <c r="BB23" i="6"/>
  <c r="BC22" i="6" a="1"/>
  <c r="BC22" i="6" s="1"/>
  <c r="BC17" i="6"/>
  <c r="BD16" i="6" a="1"/>
  <c r="BD16" i="6" s="1"/>
  <c r="BA20" i="6"/>
  <c r="BB19" i="6" a="1"/>
  <c r="BB19" i="6" s="1"/>
  <c r="BB7" i="6" l="1" a="1"/>
  <c r="BB7" i="6" s="1"/>
  <c r="BB8" i="6" s="1"/>
  <c r="AZ5" i="6"/>
  <c r="BA4" i="6" a="1"/>
  <c r="BA4" i="6" s="1"/>
  <c r="BC14" i="6"/>
  <c r="BD13" i="6" a="1"/>
  <c r="BD13" i="6" s="1"/>
  <c r="BB20" i="6"/>
  <c r="BC19" i="6" a="1"/>
  <c r="BC19" i="6" s="1"/>
  <c r="BC23" i="6"/>
  <c r="BD22" i="6" a="1"/>
  <c r="BD22" i="6" s="1"/>
  <c r="BD17" i="6"/>
  <c r="BE16" i="6" a="1"/>
  <c r="BE16" i="6" s="1"/>
  <c r="BA11" i="6"/>
  <c r="BB10" i="6" a="1"/>
  <c r="BB10" i="6" s="1"/>
  <c r="AZ2" i="6"/>
  <c r="BA1" i="6" a="1"/>
  <c r="BA1" i="6" s="1"/>
  <c r="BC7" i="6" l="1" a="1"/>
  <c r="BC7" i="6" s="1"/>
  <c r="BA2" i="6"/>
  <c r="BB1" i="6" a="1"/>
  <c r="BB1" i="6" s="1"/>
  <c r="BD23" i="6"/>
  <c r="BE22" i="6" a="1"/>
  <c r="BE22" i="6" s="1"/>
  <c r="BD14" i="6"/>
  <c r="BE13" i="6" a="1"/>
  <c r="BE13" i="6" s="1"/>
  <c r="BE17" i="6"/>
  <c r="BF16" i="6" a="1"/>
  <c r="BF16" i="6" s="1"/>
  <c r="BB11" i="6"/>
  <c r="BC10" i="6" a="1"/>
  <c r="BC10" i="6" s="1"/>
  <c r="BC20" i="6"/>
  <c r="BD19" i="6" a="1"/>
  <c r="BD19" i="6" s="1"/>
  <c r="BA5" i="6"/>
  <c r="BB4" i="6" a="1"/>
  <c r="BB4" i="6" s="1"/>
  <c r="BC8" i="6" l="1"/>
  <c r="BD7" i="6" a="1"/>
  <c r="BD7" i="6" s="1"/>
  <c r="BD8" i="6" s="1"/>
  <c r="BB5" i="6"/>
  <c r="BC4" i="6" a="1"/>
  <c r="BC4" i="6" s="1"/>
  <c r="BC11" i="6"/>
  <c r="BD10" i="6" a="1"/>
  <c r="BD10" i="6" s="1"/>
  <c r="BE14" i="6"/>
  <c r="BF13" i="6" a="1"/>
  <c r="BF13" i="6" s="1"/>
  <c r="BF17" i="6"/>
  <c r="BG16" i="6" a="1"/>
  <c r="BG16" i="6" s="1"/>
  <c r="BB2" i="6"/>
  <c r="BC1" i="6" a="1"/>
  <c r="BC1" i="6" s="1"/>
  <c r="BD20" i="6"/>
  <c r="BE19" i="6" a="1"/>
  <c r="BE19" i="6" s="1"/>
  <c r="BE23" i="6"/>
  <c r="BF22" i="6" a="1"/>
  <c r="BF22" i="6" s="1"/>
  <c r="BE7" i="6" l="1" a="1"/>
  <c r="BE7" i="6" s="1"/>
  <c r="BC2" i="6"/>
  <c r="BD1" i="6" a="1"/>
  <c r="BD1" i="6" s="1"/>
  <c r="BD11" i="6"/>
  <c r="BE10" i="6" a="1"/>
  <c r="BE10" i="6" s="1"/>
  <c r="BF23" i="6"/>
  <c r="BG22" i="6" a="1"/>
  <c r="BG22" i="6" s="1"/>
  <c r="BE20" i="6"/>
  <c r="BF19" i="6" a="1"/>
  <c r="BF19" i="6" s="1"/>
  <c r="BG17" i="6"/>
  <c r="BH16" i="6" a="1"/>
  <c r="BH16" i="6" s="1"/>
  <c r="BH17" i="6" s="1"/>
  <c r="BF14" i="6"/>
  <c r="BG13" i="6" a="1"/>
  <c r="BG13" i="6" s="1"/>
  <c r="BC5" i="6"/>
  <c r="BD4" i="6" a="1"/>
  <c r="BD4" i="6" s="1"/>
  <c r="BE8" i="6" l="1"/>
  <c r="BF7" i="6" a="1"/>
  <c r="BF7" i="6" s="1"/>
  <c r="BD5" i="6"/>
  <c r="BE4" i="6" a="1"/>
  <c r="BE4" i="6" s="1"/>
  <c r="BG23" i="6"/>
  <c r="BH22" i="6" a="1"/>
  <c r="BH22" i="6" s="1"/>
  <c r="BH23" i="6" s="1"/>
  <c r="BD2" i="6"/>
  <c r="BE1" i="6" a="1"/>
  <c r="BE1" i="6" s="1"/>
  <c r="BG14" i="6"/>
  <c r="BH13" i="6" a="1"/>
  <c r="BH13" i="6" s="1"/>
  <c r="BH14" i="6" s="1"/>
  <c r="BF20" i="6"/>
  <c r="BG19" i="6" a="1"/>
  <c r="BG19" i="6" s="1"/>
  <c r="BE11" i="6"/>
  <c r="BF10" i="6" a="1"/>
  <c r="BF10" i="6" s="1"/>
  <c r="H17" i="6"/>
  <c r="H14" i="6" l="1"/>
  <c r="BG7" i="6" a="1"/>
  <c r="BG7" i="6" s="1"/>
  <c r="BG8" i="6" s="1"/>
  <c r="BF8" i="6"/>
  <c r="BE2" i="6"/>
  <c r="BF1" i="6" a="1"/>
  <c r="BF1" i="6" s="1"/>
  <c r="BG20" i="6"/>
  <c r="BH19" i="6" a="1"/>
  <c r="BH19" i="6" s="1"/>
  <c r="BH20" i="6" s="1"/>
  <c r="BF11" i="6"/>
  <c r="BG10" i="6" a="1"/>
  <c r="BG10" i="6" s="1"/>
  <c r="BE5" i="6"/>
  <c r="BF4" i="6" a="1"/>
  <c r="BF4" i="6" s="1"/>
  <c r="H23" i="6"/>
  <c r="BH7" i="6" l="1" a="1"/>
  <c r="BH7" i="6" s="1"/>
  <c r="BH8" i="6" s="1"/>
  <c r="H8" i="6" s="1"/>
  <c r="H20" i="6"/>
  <c r="BG11" i="6"/>
  <c r="BH10" i="6" a="1"/>
  <c r="BH10" i="6" s="1"/>
  <c r="BH11" i="6" s="1"/>
  <c r="BF2" i="6"/>
  <c r="BG1" i="6" a="1"/>
  <c r="BG1" i="6" s="1"/>
  <c r="BF5" i="6"/>
  <c r="BG4" i="6" a="1"/>
  <c r="BG4" i="6" s="1"/>
  <c r="H11" i="6" l="1"/>
  <c r="E21" i="6" s="1"/>
  <c r="BG5" i="6"/>
  <c r="BH4" i="6" a="1"/>
  <c r="BH4" i="6" s="1"/>
  <c r="BH5" i="6" s="1"/>
  <c r="BG2" i="6"/>
  <c r="BH1" i="6" a="1"/>
  <c r="BH1" i="6" s="1"/>
  <c r="BH2" i="6" s="1"/>
  <c r="E28" i="6"/>
  <c r="F28" i="6" s="1"/>
  <c r="E5" i="6"/>
  <c r="E6" i="6" s="1"/>
  <c r="F6" i="6" s="1"/>
  <c r="H2" i="6" l="1"/>
  <c r="H5" i="6"/>
  <c r="E9" i="6" s="1"/>
  <c r="E10" i="6" s="1"/>
  <c r="F10" i="6" s="1"/>
  <c r="F21" i="6"/>
  <c r="E22" i="6"/>
  <c r="F22" i="6" s="1"/>
  <c r="E23" i="6"/>
  <c r="CJ16" i="6" a="1"/>
  <c r="CJ16" i="6" s="1"/>
  <c r="DM16" i="6" a="1"/>
  <c r="DM16" i="6" s="1"/>
  <c r="DO16" i="6" a="1"/>
  <c r="DO16" i="6" s="1"/>
  <c r="BJ16" i="6" a="1"/>
  <c r="BJ16" i="6" s="1"/>
  <c r="BU19" i="6" a="1"/>
  <c r="BU19" i="6" s="1"/>
  <c r="BO16" i="6" a="1"/>
  <c r="BO16" i="6" s="1"/>
  <c r="BM16" i="6" a="1"/>
  <c r="BM16" i="6" s="1"/>
  <c r="BR19" i="6" a="1"/>
  <c r="BR19" i="6" s="1"/>
  <c r="CV16" i="6" a="1"/>
  <c r="CV16" i="6" s="1"/>
  <c r="BW19" i="6" a="1"/>
  <c r="BW19" i="6" s="1"/>
  <c r="CR16" i="6" a="1"/>
  <c r="CR16" i="6" s="1"/>
  <c r="CT16" i="6" a="1"/>
  <c r="CT16" i="6" s="1"/>
  <c r="CP16" i="6" a="1"/>
  <c r="CP16" i="6" s="1"/>
  <c r="CM16" i="6" a="1"/>
  <c r="CM16" i="6" s="1"/>
  <c r="DK16" i="6" a="1"/>
  <c r="DK16" i="6" s="1"/>
  <c r="DC16" i="6" a="1"/>
  <c r="DC16" i="6" s="1"/>
  <c r="CW16" i="6" a="1"/>
  <c r="CW16" i="6" s="1"/>
  <c r="BU16" i="6" a="1"/>
  <c r="BU16" i="6" s="1"/>
  <c r="DA16" i="6" a="1"/>
  <c r="DA16" i="6" s="1"/>
  <c r="CI16" i="6" a="1"/>
  <c r="CI16" i="6" s="1"/>
  <c r="BS19" i="6" a="1"/>
  <c r="BS19" i="6" s="1"/>
  <c r="DN16" i="6" a="1"/>
  <c r="DN16" i="6" s="1"/>
  <c r="BI19" i="6" a="1"/>
  <c r="BI19" i="6" s="1"/>
  <c r="BQ16" i="6" a="1"/>
  <c r="BQ16" i="6" s="1"/>
  <c r="DH16" i="6" a="1"/>
  <c r="DH16" i="6" s="1"/>
  <c r="CX16" i="6" a="1"/>
  <c r="CX16" i="6" s="1"/>
  <c r="DL16" i="6" a="1"/>
  <c r="DL16" i="6" s="1"/>
  <c r="BV19" i="6" a="1"/>
  <c r="BV19" i="6" s="1"/>
  <c r="CZ16" i="6" a="1"/>
  <c r="CZ16" i="6" s="1"/>
  <c r="BI16" i="6" a="1"/>
  <c r="BI16" i="6" s="1"/>
  <c r="BT16" i="6" a="1"/>
  <c r="BT16" i="6" s="1"/>
  <c r="DE16" i="6" a="1"/>
  <c r="DE16" i="6" s="1"/>
  <c r="BY16" i="6" a="1"/>
  <c r="BY16" i="6" s="1"/>
  <c r="BX16" i="6" a="1"/>
  <c r="BX16" i="6" s="1"/>
  <c r="CF16" i="6" a="1"/>
  <c r="CF16" i="6" s="1"/>
  <c r="CK16" i="6" a="1"/>
  <c r="CK16" i="6" s="1"/>
  <c r="DI16" i="6" a="1"/>
  <c r="DI16" i="6" s="1"/>
  <c r="DG16" i="6" a="1"/>
  <c r="DG16" i="6" s="1"/>
  <c r="BP19" i="6" a="1"/>
  <c r="BP19" i="6" s="1"/>
  <c r="BM19" i="6" a="1"/>
  <c r="BM19" i="6" s="1"/>
  <c r="BL16" i="6" a="1"/>
  <c r="BL16" i="6" s="1"/>
  <c r="BW16" i="6" a="1"/>
  <c r="BW16" i="6" s="1"/>
  <c r="BV16" i="6" a="1"/>
  <c r="BV16" i="6" s="1"/>
  <c r="BO19" i="6" a="1"/>
  <c r="BO19" i="6" s="1"/>
  <c r="CY16" i="6" a="1"/>
  <c r="CY16" i="6" s="1"/>
  <c r="BN16" i="6" a="1"/>
  <c r="BN16" i="6" s="1"/>
  <c r="CQ16" i="6" a="1"/>
  <c r="CQ16" i="6" s="1"/>
  <c r="BK16" i="6" a="1"/>
  <c r="BK16" i="6" s="1"/>
  <c r="BN19" i="6" a="1"/>
  <c r="BN19" i="6" s="1"/>
  <c r="CH16" i="6" a="1"/>
  <c r="CH16" i="6" s="1"/>
  <c r="DB16" i="6" a="1"/>
  <c r="DB16" i="6" s="1"/>
  <c r="CB16" i="6" a="1"/>
  <c r="CB16" i="6" s="1"/>
  <c r="BP16" i="6" a="1"/>
  <c r="BP16" i="6" s="1"/>
  <c r="DD16" i="6" a="1"/>
  <c r="DD16" i="6" s="1"/>
  <c r="BL19" i="6" a="1"/>
  <c r="BL19" i="6" s="1"/>
  <c r="BT19" i="6" a="1"/>
  <c r="BT19" i="6" s="1"/>
  <c r="CE16" i="6" a="1"/>
  <c r="CE16" i="6" s="1"/>
  <c r="CS16" i="6" a="1"/>
  <c r="CS16" i="6" s="1"/>
  <c r="CN16" i="6" a="1"/>
  <c r="CN16" i="6" s="1"/>
  <c r="CD16" i="6" a="1"/>
  <c r="CD16" i="6" s="1"/>
  <c r="BR16" i="6" a="1"/>
  <c r="BR16" i="6" s="1"/>
  <c r="DF16" i="6" a="1"/>
  <c r="DF16" i="6" s="1"/>
  <c r="BZ16" i="6" a="1"/>
  <c r="BZ16" i="6" s="1"/>
  <c r="BK19" i="6" a="1"/>
  <c r="BK19" i="6" s="1"/>
  <c r="BQ19" i="6" a="1"/>
  <c r="BQ19" i="6" s="1"/>
  <c r="BS16" i="6" a="1"/>
  <c r="BS16" i="6" s="1"/>
  <c r="CA16" i="6" a="1"/>
  <c r="CA16" i="6" s="1"/>
  <c r="CL16" i="6" a="1"/>
  <c r="CL16" i="6" s="1"/>
  <c r="CC16" i="6" a="1"/>
  <c r="CC16" i="6" s="1"/>
  <c r="CU16" i="6" a="1"/>
  <c r="CU16" i="6" s="1"/>
  <c r="BJ19" i="6" a="1"/>
  <c r="BJ19" i="6" s="1"/>
  <c r="CG16" i="6" a="1"/>
  <c r="CG16" i="6" s="1"/>
  <c r="CO16" i="6" a="1"/>
  <c r="CO16" i="6" s="1"/>
  <c r="DJ16" i="6" a="1"/>
  <c r="DJ16" i="6" s="1"/>
  <c r="B26" i="6" l="1"/>
  <c r="B43" i="6" s="1" a="1"/>
  <c r="B43" i="6" s="1"/>
  <c r="B42" i="6" s="1"/>
  <c r="B40" i="6" s="1"/>
  <c r="E13" i="6"/>
  <c r="E14" i="6" s="1"/>
  <c r="F14" i="6" s="1"/>
  <c r="F23" i="6"/>
  <c r="E26" i="6"/>
  <c r="C2" i="7" l="1" a="1"/>
  <c r="C2" i="7" s="1"/>
  <c r="C7" i="7" s="1"/>
  <c r="B24" i="6"/>
  <c r="B34" i="6" s="1"/>
  <c r="A34" i="6" s="1"/>
  <c r="C26" i="6"/>
  <c r="D3" i="7" s="1" a="1"/>
  <c r="D3" i="7" s="1"/>
  <c r="C3" i="7" a="1"/>
  <c r="C3" i="7" s="1"/>
  <c r="C8" i="7" s="1"/>
  <c r="F26" i="6"/>
  <c r="D2" i="7" l="1" a="1"/>
  <c r="D2" i="7" s="1"/>
  <c r="D7" i="7" s="1"/>
  <c r="C24" i="6"/>
  <c r="C34" i="6" s="1"/>
  <c r="C43" i="6" a="1"/>
  <c r="C43" i="6" s="1"/>
  <c r="C42" i="6" s="1"/>
  <c r="C40" i="6" s="1"/>
  <c r="C10" i="7"/>
  <c r="E27" i="6"/>
  <c r="F27" i="6" s="1"/>
  <c r="C11" i="7"/>
  <c r="E16" i="6"/>
  <c r="D11" i="7"/>
  <c r="D8" i="7"/>
  <c r="D10" i="7" l="1"/>
  <c r="E34" i="6"/>
  <c r="F3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Hilton Netta</author>
  </authors>
  <commentList>
    <comment ref="A6" authorId="0" shapeId="0" xr:uid="{C2C3740E-B907-440D-A893-DADA62120D83}">
      <text>
        <r>
          <rPr>
            <sz val="9"/>
            <color indexed="81"/>
            <rFont val="Tahoma"/>
            <family val="2"/>
          </rPr>
          <t>Assets in liquid form are broadly defined to include fixed interest securitiies excluding CLNs and maturities &gt; 13 [BN90 8(2)]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Hilton Netta</author>
  </authors>
  <commentList>
    <comment ref="A2" authorId="0" shapeId="0" xr:uid="{689EB3FB-9349-43A3-A123-EE09108D38AE}">
      <text>
        <r>
          <rPr>
            <sz val="9"/>
            <color indexed="81"/>
            <rFont val="Tahoma"/>
            <family val="2"/>
          </rPr>
          <t>Global exposure &gt; 100% implies leverage, i.e. borrowing to amplify returns.
Global exposure &lt; 100% means a portion of the fund is invested in cash.
Source: https://www.investopedia.com/terms/g/gross-exposure.asp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<sst xmlns="http://schemas.openxmlformats.org/spreadsheetml/2006/main" count="28881" uniqueCount="11349">
  <si>
    <t>Entity Name</t>
  </si>
  <si>
    <t>Valuation First Level</t>
  </si>
  <si>
    <t>Valuation Second Level</t>
  </si>
  <si>
    <t>i Issue Name</t>
  </si>
  <si>
    <t>PrimaryAssetID</t>
  </si>
  <si>
    <t>Issue Description</t>
  </si>
  <si>
    <t>Original Nominal</t>
  </si>
  <si>
    <t>Clean Book Value</t>
  </si>
  <si>
    <t>Clean Market Value</t>
  </si>
  <si>
    <t>Accrued Income</t>
  </si>
  <si>
    <t>Dividend Receivable</t>
  </si>
  <si>
    <t>Sum of Market Value Income</t>
  </si>
  <si>
    <t>Market Price /Yield</t>
  </si>
  <si>
    <t>% of Total Market Value</t>
  </si>
  <si>
    <t>Next Coupon Date</t>
  </si>
  <si>
    <t>Maturity Date</t>
  </si>
  <si>
    <t>Coupon</t>
  </si>
  <si>
    <t>Duration</t>
  </si>
  <si>
    <t>Modified Duration</t>
  </si>
  <si>
    <t>Investment Type</t>
  </si>
  <si>
    <t>Security Type</t>
  </si>
  <si>
    <t>Sub Security Type</t>
  </si>
  <si>
    <t>CCY</t>
  </si>
  <si>
    <t>Sector</t>
  </si>
  <si>
    <t>Supersector</t>
  </si>
  <si>
    <t>Industry</t>
  </si>
  <si>
    <t>Issuer Rating</t>
  </si>
  <si>
    <t>Security Rating</t>
  </si>
  <si>
    <t>NACA Yield</t>
  </si>
  <si>
    <t>NACM Yield</t>
  </si>
  <si>
    <t>Weighted Avg NACA Yield</t>
  </si>
  <si>
    <t>Weighted Avg NACM Yield</t>
  </si>
  <si>
    <t>Market Value %</t>
  </si>
  <si>
    <t>Current Exposure</t>
  </si>
  <si>
    <t>Current Exposure %</t>
  </si>
  <si>
    <t>i Position Effective Date</t>
  </si>
  <si>
    <t>Entity ID</t>
  </si>
  <si>
    <t>Weighted Average NACS Yield</t>
  </si>
  <si>
    <t>Weighted Average Coupon</t>
  </si>
  <si>
    <t>Weighted Modified Duration</t>
  </si>
  <si>
    <t>Issuer</t>
  </si>
  <si>
    <t>ISIN Code</t>
  </si>
  <si>
    <t>Ticker</t>
  </si>
  <si>
    <t>ZAR</t>
  </si>
  <si>
    <t>CASH</t>
  </si>
  <si>
    <t>CSH</t>
  </si>
  <si>
    <t>Traded Cash</t>
  </si>
  <si>
    <t>Interest on Cash ZAR</t>
  </si>
  <si>
    <t>INTRZAR</t>
  </si>
  <si>
    <t>Interest on Cash</t>
  </si>
  <si>
    <t>South African Rand</t>
  </si>
  <si>
    <t>CASHZAR</t>
  </si>
  <si>
    <t>CRNY</t>
  </si>
  <si>
    <t>Primary Asset ID</t>
  </si>
  <si>
    <t>Equity Derivatives</t>
  </si>
  <si>
    <t>Delta</t>
  </si>
  <si>
    <t>Market Value</t>
  </si>
  <si>
    <t>Effective Exposure</t>
  </si>
  <si>
    <t>Bond Derivatives</t>
  </si>
  <si>
    <t>Currency Derivatives</t>
  </si>
  <si>
    <t>R</t>
  </si>
  <si>
    <t>%</t>
  </si>
  <si>
    <t>CASH COVER CHECK</t>
  </si>
  <si>
    <t>Fund NAV</t>
  </si>
  <si>
    <t>Assets in liquid form</t>
  </si>
  <si>
    <t>ASSET COVER CHECK</t>
  </si>
  <si>
    <t>Forwards</t>
  </si>
  <si>
    <t>Total direct SA bonds available to cover short exposures</t>
  </si>
  <si>
    <t>Swaps</t>
  </si>
  <si>
    <t>Total same or similar bonds available to cover short exposures</t>
  </si>
  <si>
    <t>Net short derivative exposure</t>
  </si>
  <si>
    <t>Total direct MSCI ACWI assets available to cover short exposures</t>
  </si>
  <si>
    <t>Total direct ALSI assets available to cover short exposures</t>
  </si>
  <si>
    <t>% NAV</t>
  </si>
  <si>
    <t>Contracts Held</t>
  </si>
  <si>
    <t>Multiplier</t>
  </si>
  <si>
    <t>Market Price</t>
  </si>
  <si>
    <t>Nominal Exposure</t>
  </si>
  <si>
    <t xml:space="preserve">Gross Effective Exposure (%) </t>
  </si>
  <si>
    <t>Global exposure (sum of the absolute effective exposures)</t>
  </si>
  <si>
    <t>a</t>
  </si>
  <si>
    <t>Net effective exposure (sum of the net effective exposures)</t>
  </si>
  <si>
    <t>b</t>
  </si>
  <si>
    <t>Liquid assets</t>
  </si>
  <si>
    <t>c</t>
  </si>
  <si>
    <t>Liquid assets and collective investment schemes</t>
  </si>
  <si>
    <t>d</t>
  </si>
  <si>
    <t>Liquid asset cover over global exposure (must be &gt; 100%)</t>
  </si>
  <si>
    <t>c ÷ a</t>
  </si>
  <si>
    <t>c - a</t>
  </si>
  <si>
    <t>Liquid asset cover over net effective exposure (must be &gt; 100%)</t>
  </si>
  <si>
    <t>c ÷ b</t>
  </si>
  <si>
    <t>c - b</t>
  </si>
  <si>
    <t>Liquid asset cover, incl CISes, over net effective exposure (must be &gt; 100%)</t>
  </si>
  <si>
    <t>d ÷ a</t>
  </si>
  <si>
    <t>d - a</t>
  </si>
  <si>
    <t>d ÷ b</t>
  </si>
  <si>
    <t>d - b</t>
  </si>
  <si>
    <t>Equity futures and options</t>
  </si>
  <si>
    <t>Equity TRSs</t>
  </si>
  <si>
    <t>Equity unit trusts</t>
  </si>
  <si>
    <t>Global Exposure</t>
  </si>
  <si>
    <t>Net Effective Exposure</t>
  </si>
  <si>
    <t>Cash Cover 2</t>
  </si>
  <si>
    <t>Cash Cover</t>
  </si>
  <si>
    <t>MSCI Cover</t>
  </si>
  <si>
    <t>SA Bond Cover</t>
  </si>
  <si>
    <t>Money Market</t>
  </si>
  <si>
    <t>FI</t>
  </si>
  <si>
    <t>ST</t>
  </si>
  <si>
    <t>USD</t>
  </si>
  <si>
    <t>CLN</t>
  </si>
  <si>
    <t>SUN</t>
  </si>
  <si>
    <t>BenchMark</t>
  </si>
  <si>
    <t>Type</t>
  </si>
  <si>
    <t>Constituent</t>
  </si>
  <si>
    <t>Weighting</t>
  </si>
  <si>
    <t>Fondsposition per</t>
  </si>
  <si>
    <t>10.Jan.2020</t>
  </si>
  <si>
    <t>ALBI</t>
  </si>
  <si>
    <t>Instrument</t>
  </si>
  <si>
    <t> </t>
  </si>
  <si>
    <t>Emittententicker</t>
  </si>
  <si>
    <t>Name</t>
  </si>
  <si>
    <t>Anlageklasse</t>
  </si>
  <si>
    <t>Gewichtung (%)</t>
  </si>
  <si>
    <t>Kurs</t>
  </si>
  <si>
    <t>Nominale</t>
  </si>
  <si>
    <t>Marktwert</t>
  </si>
  <si>
    <t>Nominalwert</t>
  </si>
  <si>
    <t>Sektor</t>
  </si>
  <si>
    <t>ISIN</t>
  </si>
  <si>
    <t>Börse</t>
  </si>
  <si>
    <t>Standort</t>
  </si>
  <si>
    <t>Marktwährung</t>
  </si>
  <si>
    <t>AAPL</t>
  </si>
  <si>
    <t>APPLE INC</t>
  </si>
  <si>
    <t>Aktien</t>
  </si>
  <si>
    <t>3,09</t>
  </si>
  <si>
    <t>310,33</t>
  </si>
  <si>
    <t>2.424.947</t>
  </si>
  <si>
    <t>752.533.803</t>
  </si>
  <si>
    <t>752.533.802,51</t>
  </si>
  <si>
    <t>IT</t>
  </si>
  <si>
    <t>US0378331005</t>
  </si>
  <si>
    <t>NASDAQ</t>
  </si>
  <si>
    <t>Vereinigte Staaten</t>
  </si>
  <si>
    <t>MSFT</t>
  </si>
  <si>
    <t>MICROSOFT CORP</t>
  </si>
  <si>
    <t>2,59</t>
  </si>
  <si>
    <t>161,34</t>
  </si>
  <si>
    <t>3.902.293</t>
  </si>
  <si>
    <t>629.595.953</t>
  </si>
  <si>
    <t>629.595.952,62</t>
  </si>
  <si>
    <t>US5949181045</t>
  </si>
  <si>
    <t>DV22</t>
  </si>
  <si>
    <t>AMZN</t>
  </si>
  <si>
    <t>AMAZON COM INC</t>
  </si>
  <si>
    <t>1,74</t>
  </si>
  <si>
    <t>1.883,16</t>
  </si>
  <si>
    <t>424.355.041</t>
  </si>
  <si>
    <t>424.355.040,72</t>
  </si>
  <si>
    <t>Zyklische Konsumgüter </t>
  </si>
  <si>
    <t>US0231351067</t>
  </si>
  <si>
    <t>DV23</t>
  </si>
  <si>
    <t>FB</t>
  </si>
  <si>
    <t>FACEBOOK CLASS A INC</t>
  </si>
  <si>
    <t>1,15</t>
  </si>
  <si>
    <t>218,06</t>
  </si>
  <si>
    <t>1.288.590</t>
  </si>
  <si>
    <t>280.989.935</t>
  </si>
  <si>
    <t>280.989.935,40</t>
  </si>
  <si>
    <t>Kommunikation</t>
  </si>
  <si>
    <t>US30303M1027</t>
  </si>
  <si>
    <t>ES33</t>
  </si>
  <si>
    <t>GOOG</t>
  </si>
  <si>
    <t>ALPHABET INC CLASS C</t>
  </si>
  <si>
    <t>0,99</t>
  </si>
  <si>
    <t>1.429,73</t>
  </si>
  <si>
    <t>240.740.797</t>
  </si>
  <si>
    <t>240.740.796,86</t>
  </si>
  <si>
    <t>US02079K1079</t>
  </si>
  <si>
    <t>ES26</t>
  </si>
  <si>
    <t>JPM</t>
  </si>
  <si>
    <t>JPMORGAN CHASE &amp; CO</t>
  </si>
  <si>
    <t>0,96</t>
  </si>
  <si>
    <t>136,07</t>
  </si>
  <si>
    <t>1.722.589</t>
  </si>
  <si>
    <t>234.392.685</t>
  </si>
  <si>
    <t>234.392.685,23</t>
  </si>
  <si>
    <t>Financials</t>
  </si>
  <si>
    <t>US46625H1005</t>
  </si>
  <si>
    <t>New York Stock Exchange Inc.</t>
  </si>
  <si>
    <t>ES23</t>
  </si>
  <si>
    <t>GOOGL</t>
  </si>
  <si>
    <t>ALPHABET INC CLASS A</t>
  </si>
  <si>
    <t>0,94</t>
  </si>
  <si>
    <t>1.428,96</t>
  </si>
  <si>
    <t>229.046.569</t>
  </si>
  <si>
    <t>229.046.569,44</t>
  </si>
  <si>
    <t>US02079K3059</t>
  </si>
  <si>
    <t>JNJ</t>
  </si>
  <si>
    <t>JOHNSON &amp; JOHNSON</t>
  </si>
  <si>
    <t>0,85</t>
  </si>
  <si>
    <t>145,06</t>
  </si>
  <si>
    <t>1.424.692</t>
  </si>
  <si>
    <t>206.665.822</t>
  </si>
  <si>
    <t>206.665.821,52</t>
  </si>
  <si>
    <t>Gesundheitsversorgung</t>
  </si>
  <si>
    <t>US4781601046</t>
  </si>
  <si>
    <t>V</t>
  </si>
  <si>
    <t>VISA INC CLASS A</t>
  </si>
  <si>
    <t>0,74</t>
  </si>
  <si>
    <t>193,77</t>
  </si>
  <si>
    <t>181.197.621</t>
  </si>
  <si>
    <t>181.197.621,09</t>
  </si>
  <si>
    <t>US92826C8394</t>
  </si>
  <si>
    <t>NESN</t>
  </si>
  <si>
    <t>NESTLE SA</t>
  </si>
  <si>
    <t>0,71</t>
  </si>
  <si>
    <t>105,77</t>
  </si>
  <si>
    <t>1.637.775</t>
  </si>
  <si>
    <t>173.226.364</t>
  </si>
  <si>
    <t>173.226.363,73</t>
  </si>
  <si>
    <t>Nichtzyklische Konsumgüter</t>
  </si>
  <si>
    <t>CH0038863350</t>
  </si>
  <si>
    <t>Six Swiss Exchange Ag</t>
  </si>
  <si>
    <t>Schweiz</t>
  </si>
  <si>
    <t>CHF</t>
  </si>
  <si>
    <t>PG</t>
  </si>
  <si>
    <t>PROCTER &amp; GAMBLE</t>
  </si>
  <si>
    <t>0,69</t>
  </si>
  <si>
    <t>123,97</t>
  </si>
  <si>
    <t>1.358.285</t>
  </si>
  <si>
    <t>168.386.591</t>
  </si>
  <si>
    <t>168.386.591,45</t>
  </si>
  <si>
    <t>US7427181091</t>
  </si>
  <si>
    <t>BAC</t>
  </si>
  <si>
    <t>BANK OF AMERICA CORP</t>
  </si>
  <si>
    <t>0,68</t>
  </si>
  <si>
    <t>34,74</t>
  </si>
  <si>
    <t>4.788.406</t>
  </si>
  <si>
    <t>166.349.224</t>
  </si>
  <si>
    <t>166.349.224,44</t>
  </si>
  <si>
    <t>US0605051046</t>
  </si>
  <si>
    <t>BRKB</t>
  </si>
  <si>
    <t>BERKSHIRE HATHAWAY INC CLASS B</t>
  </si>
  <si>
    <t>0,65</t>
  </si>
  <si>
    <t>226,62</t>
  </si>
  <si>
    <t>158.359.110</t>
  </si>
  <si>
    <t>158.359.109,94</t>
  </si>
  <si>
    <t>US0846707026</t>
  </si>
  <si>
    <t>ES42</t>
  </si>
  <si>
    <t>XOM</t>
  </si>
  <si>
    <t>EXXON MOBIL CORP</t>
  </si>
  <si>
    <t>0,64</t>
  </si>
  <si>
    <t>69,14</t>
  </si>
  <si>
    <t>2.251.134</t>
  </si>
  <si>
    <t>155.643.405</t>
  </si>
  <si>
    <t>155.643.404,76</t>
  </si>
  <si>
    <t>Energie</t>
  </si>
  <si>
    <t>US30231G1022</t>
  </si>
  <si>
    <t>MA</t>
  </si>
  <si>
    <t>MASTERCARD INC CLASS A</t>
  </si>
  <si>
    <t>0,63</t>
  </si>
  <si>
    <t>311,17</t>
  </si>
  <si>
    <t>152.799.406</t>
  </si>
  <si>
    <t>152.799.406,16</t>
  </si>
  <si>
    <t>US57636Q1040</t>
  </si>
  <si>
    <t>UNH</t>
  </si>
  <si>
    <t>UNITEDHEALTH GROUP INC</t>
  </si>
  <si>
    <t>0,62</t>
  </si>
  <si>
    <t>295,13</t>
  </si>
  <si>
    <t>150.872.227</t>
  </si>
  <si>
    <t>150.872.226,78</t>
  </si>
  <si>
    <t>US91324P1021</t>
  </si>
  <si>
    <t>T</t>
  </si>
  <si>
    <t>AT&amp;T INC</t>
  </si>
  <si>
    <t>0,61</t>
  </si>
  <si>
    <t>38,57</t>
  </si>
  <si>
    <t>3.879.451</t>
  </si>
  <si>
    <t>149.630.425</t>
  </si>
  <si>
    <t>149.630.425,07</t>
  </si>
  <si>
    <t>US00206R1023</t>
  </si>
  <si>
    <t>INTC</t>
  </si>
  <si>
    <t>INTEL CORPORATION CORP</t>
  </si>
  <si>
    <t>0,58</t>
  </si>
  <si>
    <t>58,94</t>
  </si>
  <si>
    <t>2.398.081</t>
  </si>
  <si>
    <t>141.342.894</t>
  </si>
  <si>
    <t>141.342.894,14</t>
  </si>
  <si>
    <t>US4581401001</t>
  </si>
  <si>
    <t>AICASH</t>
  </si>
  <si>
    <t>DIS</t>
  </si>
  <si>
    <t>WALT DISNEY</t>
  </si>
  <si>
    <t>144,62</t>
  </si>
  <si>
    <t>140.179.009</t>
  </si>
  <si>
    <t>140.179.009,04</t>
  </si>
  <si>
    <t>US2546871060</t>
  </si>
  <si>
    <t>ALBI01</t>
  </si>
  <si>
    <t>HD</t>
  </si>
  <si>
    <t>HOME DEPOT INC</t>
  </si>
  <si>
    <t>0,54</t>
  </si>
  <si>
    <t>224,22</t>
  </si>
  <si>
    <t>132.581.062</t>
  </si>
  <si>
    <t>132.581.061,78</t>
  </si>
  <si>
    <t>US4370761029</t>
  </si>
  <si>
    <t>VZ</t>
  </si>
  <si>
    <t>VERIZON COMMUNICATIONS INC</t>
  </si>
  <si>
    <t>0,53</t>
  </si>
  <si>
    <t>58,99</t>
  </si>
  <si>
    <t>2.201.916</t>
  </si>
  <si>
    <t>129.891.025</t>
  </si>
  <si>
    <t>129.891.024,84</t>
  </si>
  <si>
    <t>US92343V1044</t>
  </si>
  <si>
    <t>ROG</t>
  </si>
  <si>
    <t>ROCHE HOLDING PAR AG</t>
  </si>
  <si>
    <t>0,51</t>
  </si>
  <si>
    <t>329,21</t>
  </si>
  <si>
    <t>123.673.577</t>
  </si>
  <si>
    <t>123.673.576,98</t>
  </si>
  <si>
    <t>CH0012032048</t>
  </si>
  <si>
    <t>BBG006Q42QL6</t>
  </si>
  <si>
    <t>EGS60121C018</t>
  </si>
  <si>
    <t>MRK</t>
  </si>
  <si>
    <t>MERCK &amp; CO INC</t>
  </si>
  <si>
    <t>89,53</t>
  </si>
  <si>
    <t>1.375.827</t>
  </si>
  <si>
    <t>123.177.791</t>
  </si>
  <si>
    <t>123.177.791,31</t>
  </si>
  <si>
    <t>US58933Y1055</t>
  </si>
  <si>
    <t>EGS691S1C011</t>
  </si>
  <si>
    <t>KO</t>
  </si>
  <si>
    <t>COCA-COLA</t>
  </si>
  <si>
    <t>0,50</t>
  </si>
  <si>
    <t>55,53</t>
  </si>
  <si>
    <t>2.184.327</t>
  </si>
  <si>
    <t>121.295.678</t>
  </si>
  <si>
    <t>121.295.678,31</t>
  </si>
  <si>
    <t>US1912161007</t>
  </si>
  <si>
    <t>EGS74081C018</t>
  </si>
  <si>
    <t>WFC</t>
  </si>
  <si>
    <t>WELLS FARGO</t>
  </si>
  <si>
    <t>0,49</t>
  </si>
  <si>
    <t>52,50</t>
  </si>
  <si>
    <t>2.268.303</t>
  </si>
  <si>
    <t>119.085.908</t>
  </si>
  <si>
    <t>119.085.907,50</t>
  </si>
  <si>
    <t>US9497461015</t>
  </si>
  <si>
    <t>KE0000000315</t>
  </si>
  <si>
    <t>CVX</t>
  </si>
  <si>
    <t>CHEVRON CORP</t>
  </si>
  <si>
    <t>116,44</t>
  </si>
  <si>
    <t>1.020.318</t>
  </si>
  <si>
    <t>118.805.828</t>
  </si>
  <si>
    <t>118.805.827,92</t>
  </si>
  <si>
    <t>US1667641005</t>
  </si>
  <si>
    <t>KE1000001402</t>
  </si>
  <si>
    <t>PFE</t>
  </si>
  <si>
    <t>PFIZER INC</t>
  </si>
  <si>
    <t>0,48</t>
  </si>
  <si>
    <t>39,49</t>
  </si>
  <si>
    <t>2.964.851</t>
  </si>
  <si>
    <t>117.081.966</t>
  </si>
  <si>
    <t>117.081.965,99</t>
  </si>
  <si>
    <t>US7170811035</t>
  </si>
  <si>
    <t>KE1000001568</t>
  </si>
  <si>
    <t>NOVN</t>
  </si>
  <si>
    <t>NOVARTIS AG</t>
  </si>
  <si>
    <t>0,45</t>
  </si>
  <si>
    <t>94,16</t>
  </si>
  <si>
    <t>1.164.896</t>
  </si>
  <si>
    <t>109.685.147</t>
  </si>
  <si>
    <t>109.685.147,13</t>
  </si>
  <si>
    <t>CH0012005267</t>
  </si>
  <si>
    <t>NGACCESS0005</t>
  </si>
  <si>
    <t>CMCSA</t>
  </si>
  <si>
    <t>COMCAST CORP CLASS A</t>
  </si>
  <si>
    <t>44,98</t>
  </si>
  <si>
    <t>2.427.203</t>
  </si>
  <si>
    <t>109.175.591</t>
  </si>
  <si>
    <t>109.175.590,94</t>
  </si>
  <si>
    <t>US20030N1019</t>
  </si>
  <si>
    <t>NGDANGCEM008</t>
  </si>
  <si>
    <t>CSCO</t>
  </si>
  <si>
    <t>CISCO SYSTEMS INC</t>
  </si>
  <si>
    <t>0,44</t>
  </si>
  <si>
    <t>47,13</t>
  </si>
  <si>
    <t>2.291.677</t>
  </si>
  <si>
    <t>108.006.737</t>
  </si>
  <si>
    <t>108.006.737,01</t>
  </si>
  <si>
    <t>US17275R1023</t>
  </si>
  <si>
    <t>NGGUARANTY06</t>
  </si>
  <si>
    <t>PEP</t>
  </si>
  <si>
    <t>PEPSICO INC</t>
  </si>
  <si>
    <t>0,42</t>
  </si>
  <si>
    <t>134,53</t>
  </si>
  <si>
    <t>101.400.373</t>
  </si>
  <si>
    <t>101.400.373,14</t>
  </si>
  <si>
    <t>US7134481081</t>
  </si>
  <si>
    <t>NGZENITHBNK9</t>
  </si>
  <si>
    <t>C</t>
  </si>
  <si>
    <t>CITIGROUP INC</t>
  </si>
  <si>
    <t>0,40</t>
  </si>
  <si>
    <t>79,25</t>
  </si>
  <si>
    <t>1.217.677</t>
  </si>
  <si>
    <t>96.500.902</t>
  </si>
  <si>
    <t>96.500.902,25</t>
  </si>
  <si>
    <t>US1729674242</t>
  </si>
  <si>
    <t>NGNESTLE0006</t>
  </si>
  <si>
    <t>BA</t>
  </si>
  <si>
    <t>BOEING</t>
  </si>
  <si>
    <t>0,39</t>
  </si>
  <si>
    <t>329,92</t>
  </si>
  <si>
    <t>94.587.074</t>
  </si>
  <si>
    <t>94.587.074,24</t>
  </si>
  <si>
    <t>Industrie</t>
  </si>
  <si>
    <t>US0970231058</t>
  </si>
  <si>
    <t>NGWAPCO00002</t>
  </si>
  <si>
    <t>WMT</t>
  </si>
  <si>
    <t>WALMART INC</t>
  </si>
  <si>
    <t>0,37</t>
  </si>
  <si>
    <t>116,38</t>
  </si>
  <si>
    <t>90.517.804</t>
  </si>
  <si>
    <t>90.517.803,64</t>
  </si>
  <si>
    <t>US9311421039</t>
  </si>
  <si>
    <t>NGFBNH000009</t>
  </si>
  <si>
    <t>ADBE</t>
  </si>
  <si>
    <t>ADOBE INC</t>
  </si>
  <si>
    <t>339,81</t>
  </si>
  <si>
    <t>88.931.335</t>
  </si>
  <si>
    <t>88.931.335,29</t>
  </si>
  <si>
    <t>US00724F1012</t>
  </si>
  <si>
    <t>EGS37091C013</t>
  </si>
  <si>
    <t>TOYOTA MOTOR CORP</t>
  </si>
  <si>
    <t>0,35</t>
  </si>
  <si>
    <t>69,93</t>
  </si>
  <si>
    <t>1.231.200</t>
  </si>
  <si>
    <t>86.091.851</t>
  </si>
  <si>
    <t>86.091.851,04</t>
  </si>
  <si>
    <t>JP3633400001</t>
  </si>
  <si>
    <t>Tokyo Stock Exchange</t>
  </si>
  <si>
    <t>Japan</t>
  </si>
  <si>
    <t>JPY</t>
  </si>
  <si>
    <t>KE0000000075</t>
  </si>
  <si>
    <t>MCD</t>
  </si>
  <si>
    <t>MCDONALDS CORP</t>
  </si>
  <si>
    <t>207,27</t>
  </si>
  <si>
    <t>84.183.125</t>
  </si>
  <si>
    <t>84.183.125,04</t>
  </si>
  <si>
    <t>US5801351017</t>
  </si>
  <si>
    <t>NGMOBIL00007</t>
  </si>
  <si>
    <t>MDT</t>
  </si>
  <si>
    <t>MEDTRONIC PLC</t>
  </si>
  <si>
    <t>0,34</t>
  </si>
  <si>
    <t>118,64</t>
  </si>
  <si>
    <t>83.734.451</t>
  </si>
  <si>
    <t>83.734.451,04</t>
  </si>
  <si>
    <t>IE00BTN1Y115</t>
  </si>
  <si>
    <t>SN0000000019</t>
  </si>
  <si>
    <t>BMY</t>
  </si>
  <si>
    <t>BRISTOL MYERS SQUIBB</t>
  </si>
  <si>
    <t>65,23</t>
  </si>
  <si>
    <t>1.254.743</t>
  </si>
  <si>
    <t>81.846.886</t>
  </si>
  <si>
    <t>81.846.885,89</t>
  </si>
  <si>
    <t>US1101221083</t>
  </si>
  <si>
    <t>ZW0009011199</t>
  </si>
  <si>
    <t>HSBA</t>
  </si>
  <si>
    <t>HSBC HOLDINGS PLC</t>
  </si>
  <si>
    <t>0,33</t>
  </si>
  <si>
    <t>7,64</t>
  </si>
  <si>
    <t>10.646.315</t>
  </si>
  <si>
    <t>81.286.407</t>
  </si>
  <si>
    <t>81.286.406,80</t>
  </si>
  <si>
    <t>GB0005405286</t>
  </si>
  <si>
    <t>London Stock Exchange</t>
  </si>
  <si>
    <t>Vereinigtes Königreich</t>
  </si>
  <si>
    <t>GBP</t>
  </si>
  <si>
    <t>EGS60041C018</t>
  </si>
  <si>
    <t>CRM</t>
  </si>
  <si>
    <t>SALESFORCE.COM INC</t>
  </si>
  <si>
    <t>180,20</t>
  </si>
  <si>
    <t>80.927.640</t>
  </si>
  <si>
    <t>80.927.639,80</t>
  </si>
  <si>
    <t>US79466L3024</t>
  </si>
  <si>
    <t>NGFCMB000005</t>
  </si>
  <si>
    <t>ABT</t>
  </si>
  <si>
    <t>ABBOTT LABORATORIES</t>
  </si>
  <si>
    <t>85,36</t>
  </si>
  <si>
    <t>80.041.389</t>
  </si>
  <si>
    <t>80.041.389,12</t>
  </si>
  <si>
    <t>US0028241000</t>
  </si>
  <si>
    <t>NGSEPLAT0008</t>
  </si>
  <si>
    <t>NFLX</t>
  </si>
  <si>
    <t>NETFLIX INC</t>
  </si>
  <si>
    <t>0,32</t>
  </si>
  <si>
    <t>329,05</t>
  </si>
  <si>
    <t>77.996.696</t>
  </si>
  <si>
    <t>77.996.695,80</t>
  </si>
  <si>
    <t>US64110L1061</t>
  </si>
  <si>
    <t>TG0000000132</t>
  </si>
  <si>
    <t>AMGN</t>
  </si>
  <si>
    <t>AMGEN INC</t>
  </si>
  <si>
    <t>238,26</t>
  </si>
  <si>
    <t>77.992.028</t>
  </si>
  <si>
    <t>77.992.028,40</t>
  </si>
  <si>
    <t>US0311621009</t>
  </si>
  <si>
    <t>ZW0009012122</t>
  </si>
  <si>
    <t>NVDA</t>
  </si>
  <si>
    <t>NVIDIA CORP</t>
  </si>
  <si>
    <t>0,31</t>
  </si>
  <si>
    <t>244,32</t>
  </si>
  <si>
    <t>75.923.906</t>
  </si>
  <si>
    <t>75.923.905,92</t>
  </si>
  <si>
    <t>US67066G1040</t>
  </si>
  <si>
    <t>KE0000000323</t>
  </si>
  <si>
    <t>SAP</t>
  </si>
  <si>
    <t>0,30</t>
  </si>
  <si>
    <t>137,54</t>
  </si>
  <si>
    <t>73.405.734</t>
  </si>
  <si>
    <t>73.405.733,86</t>
  </si>
  <si>
    <t>DE0007164600</t>
  </si>
  <si>
    <t>Xetra</t>
  </si>
  <si>
    <t>Deutschland</t>
  </si>
  <si>
    <t>EUR</t>
  </si>
  <si>
    <t>EGS305I1C011</t>
  </si>
  <si>
    <t>PM</t>
  </si>
  <si>
    <t>PHILIP MORRIS INTERNATIONAL INC</t>
  </si>
  <si>
    <t>87,46</t>
  </si>
  <si>
    <t>72.344.288</t>
  </si>
  <si>
    <t>72.344.288,20</t>
  </si>
  <si>
    <t>US7181721090</t>
  </si>
  <si>
    <t>NGTOTAL00001</t>
  </si>
  <si>
    <t>RDSA</t>
  </si>
  <si>
    <t>ROYAL DUTCH SHELL PLC</t>
  </si>
  <si>
    <t>0,29</t>
  </si>
  <si>
    <t>29,56</t>
  </si>
  <si>
    <t>2.422.918</t>
  </si>
  <si>
    <t>71.627.372</t>
  </si>
  <si>
    <t>71.627.372,24</t>
  </si>
  <si>
    <t>GB00B03MLX29</t>
  </si>
  <si>
    <t>CI0000000030</t>
  </si>
  <si>
    <t>AIA GROUP LTD</t>
  </si>
  <si>
    <t>11,07</t>
  </si>
  <si>
    <t>6.442.074</t>
  </si>
  <si>
    <t>71.333.908</t>
  </si>
  <si>
    <t>71.333.908,11</t>
  </si>
  <si>
    <t>HK0000069689</t>
  </si>
  <si>
    <t>Hong Kong Exchanges And Clearing Ltd</t>
  </si>
  <si>
    <t>Hongkong</t>
  </si>
  <si>
    <t>HKD</t>
  </si>
  <si>
    <t>EGS30031C016</t>
  </si>
  <si>
    <t>FP</t>
  </si>
  <si>
    <t>TOTAL SA</t>
  </si>
  <si>
    <t>55,33</t>
  </si>
  <si>
    <t>1.287.367</t>
  </si>
  <si>
    <t>71.228.162</t>
  </si>
  <si>
    <t>71.228.161,98</t>
  </si>
  <si>
    <t>FR0000120271</t>
  </si>
  <si>
    <t>Nyse Euronext - Euronext Paris</t>
  </si>
  <si>
    <t>Frankreich</t>
  </si>
  <si>
    <t>EGS30901C010</t>
  </si>
  <si>
    <t>AZN</t>
  </si>
  <si>
    <t>ASTRAZENECA PLC</t>
  </si>
  <si>
    <t>99,85</t>
  </si>
  <si>
    <t>70.726.993</t>
  </si>
  <si>
    <t>70.726.992,56</t>
  </si>
  <si>
    <t>GB0009895292</t>
  </si>
  <si>
    <t>EGS32221C011</t>
  </si>
  <si>
    <t>TMO</t>
  </si>
  <si>
    <t>THERMO FISHER SCIENTIFIC INC</t>
  </si>
  <si>
    <t>328,73</t>
  </si>
  <si>
    <t>70.489.903</t>
  </si>
  <si>
    <t>70.489.902,63</t>
  </si>
  <si>
    <t>US8835561023</t>
  </si>
  <si>
    <t>EGS33041C012</t>
  </si>
  <si>
    <t>ABBV</t>
  </si>
  <si>
    <t>ABBVIE INC</t>
  </si>
  <si>
    <t>89,06</t>
  </si>
  <si>
    <t>70.114.801</t>
  </si>
  <si>
    <t>70.114.800,56</t>
  </si>
  <si>
    <t>US00287Y1091</t>
  </si>
  <si>
    <t>EGS38081C013</t>
  </si>
  <si>
    <t>NKE</t>
  </si>
  <si>
    <t>NIKE INC CLASS B</t>
  </si>
  <si>
    <t>100,90</t>
  </si>
  <si>
    <t>69.738.448</t>
  </si>
  <si>
    <t>69.738.447,60</t>
  </si>
  <si>
    <t>US6541061031</t>
  </si>
  <si>
    <t>EGS380P1C010</t>
  </si>
  <si>
    <t>ACN</t>
  </si>
  <si>
    <t>ACCENTURE PLC CLASS A</t>
  </si>
  <si>
    <t>207,66</t>
  </si>
  <si>
    <t>69.723.714</t>
  </si>
  <si>
    <t>69.723.713,94</t>
  </si>
  <si>
    <t>IE00B4BNMY34</t>
  </si>
  <si>
    <t>EGS380S1C017</t>
  </si>
  <si>
    <t>HON</t>
  </si>
  <si>
    <t>HONEYWELL INTERNATIONAL INC</t>
  </si>
  <si>
    <t>178,68</t>
  </si>
  <si>
    <t>69.609.976</t>
  </si>
  <si>
    <t>69.609.975,72</t>
  </si>
  <si>
    <t>US4385161066</t>
  </si>
  <si>
    <t>EGS38201C017</t>
  </si>
  <si>
    <t>COST</t>
  </si>
  <si>
    <t>COSTCO WHOLESALE CORP</t>
  </si>
  <si>
    <t>297,24</t>
  </si>
  <si>
    <t>69.506.007</t>
  </si>
  <si>
    <t>69.506.007,12</t>
  </si>
  <si>
    <t>US22160K1051</t>
  </si>
  <si>
    <t>EGS38381C017</t>
  </si>
  <si>
    <t>MC</t>
  </si>
  <si>
    <t>LVMH</t>
  </si>
  <si>
    <t>470,82</t>
  </si>
  <si>
    <t>69.459.639</t>
  </si>
  <si>
    <t>69.459.638,61</t>
  </si>
  <si>
    <t>FR0000121014</t>
  </si>
  <si>
    <t>EGS3C0O1C016</t>
  </si>
  <si>
    <t>BP.</t>
  </si>
  <si>
    <t>BP PLC</t>
  </si>
  <si>
    <t>0,28</t>
  </si>
  <si>
    <t>6,47</t>
  </si>
  <si>
    <t>10.648.225</t>
  </si>
  <si>
    <t>68.874.983</t>
  </si>
  <si>
    <t>68.874.983,38</t>
  </si>
  <si>
    <t>GB0007980591</t>
  </si>
  <si>
    <t>EGS3C251C013</t>
  </si>
  <si>
    <t>ORCL</t>
  </si>
  <si>
    <t>ORACLE CORP</t>
  </si>
  <si>
    <t>54,45</t>
  </si>
  <si>
    <t>1.256.548</t>
  </si>
  <si>
    <t>68.419.039</t>
  </si>
  <si>
    <t>68.419.038,60</t>
  </si>
  <si>
    <t>US68389X1054</t>
  </si>
  <si>
    <t>EGS3D061C015</t>
  </si>
  <si>
    <t>ASML</t>
  </si>
  <si>
    <t>ASML HOLDING NV</t>
  </si>
  <si>
    <t>298,51</t>
  </si>
  <si>
    <t>67.636.379</t>
  </si>
  <si>
    <t>67.636.379,36</t>
  </si>
  <si>
    <t>NL0010273215</t>
  </si>
  <si>
    <t>Euronext Amsterdam</t>
  </si>
  <si>
    <t>Niederlande</t>
  </si>
  <si>
    <t>EGS3G0Z1C014</t>
  </si>
  <si>
    <t>UNP</t>
  </si>
  <si>
    <t>UNION PACIFIC CORP</t>
  </si>
  <si>
    <t>177,94</t>
  </si>
  <si>
    <t>67.399.757</t>
  </si>
  <si>
    <t>67.399.757,32</t>
  </si>
  <si>
    <t>US9078181081</t>
  </si>
  <si>
    <t>EGS42111C012</t>
  </si>
  <si>
    <t>PYPL</t>
  </si>
  <si>
    <t>PAYPAL HOLDINGS INC</t>
  </si>
  <si>
    <t>0,27</t>
  </si>
  <si>
    <t>112,93</t>
  </si>
  <si>
    <t>66.427.233</t>
  </si>
  <si>
    <t>66.427.232,88</t>
  </si>
  <si>
    <t>US70450Y1038</t>
  </si>
  <si>
    <t>EGS48031C016</t>
  </si>
  <si>
    <t>UTX</t>
  </si>
  <si>
    <t>UNITED TECHNOLOGIES CORP</t>
  </si>
  <si>
    <t>151,86</t>
  </si>
  <si>
    <t>66.281.271</t>
  </si>
  <si>
    <t>66.281.271,18</t>
  </si>
  <si>
    <t>US9130171096</t>
  </si>
  <si>
    <t>EGS60111C019</t>
  </si>
  <si>
    <t>TXN</t>
  </si>
  <si>
    <t>TEXAS INSTRUMENT INC</t>
  </si>
  <si>
    <t>130,00</t>
  </si>
  <si>
    <t>65.876.200</t>
  </si>
  <si>
    <t>65.876.200,00</t>
  </si>
  <si>
    <t>US8825081040</t>
  </si>
  <si>
    <t>EGS60301C016</t>
  </si>
  <si>
    <t>LLY</t>
  </si>
  <si>
    <t>ELI LILLY</t>
  </si>
  <si>
    <t>138,00</t>
  </si>
  <si>
    <t>65.610.444</t>
  </si>
  <si>
    <t>65.610.444,00</t>
  </si>
  <si>
    <t>US5324571083</t>
  </si>
  <si>
    <t>EGS65571C019</t>
  </si>
  <si>
    <t>IBM</t>
  </si>
  <si>
    <t>INTERNATIONAL BUSINESS MACHINES CO</t>
  </si>
  <si>
    <t>136,69</t>
  </si>
  <si>
    <t>65.233.389</t>
  </si>
  <si>
    <t>65.233.388,84</t>
  </si>
  <si>
    <t>US4592001014</t>
  </si>
  <si>
    <t>EGS65591C017</t>
  </si>
  <si>
    <t>NEE</t>
  </si>
  <si>
    <t>NEXTERA ENERGY INC</t>
  </si>
  <si>
    <t>0,26</t>
  </si>
  <si>
    <t>243,55</t>
  </si>
  <si>
    <t>64.140.841</t>
  </si>
  <si>
    <t>64.140.840,90</t>
  </si>
  <si>
    <t>Versorger</t>
  </si>
  <si>
    <t>US65339F1012</t>
  </si>
  <si>
    <t>EGS655L1C012</t>
  </si>
  <si>
    <t>AVGO</t>
  </si>
  <si>
    <t>BROADCOM INC</t>
  </si>
  <si>
    <t>299,22</t>
  </si>
  <si>
    <t>63.922.967</t>
  </si>
  <si>
    <t>63.922.967,04</t>
  </si>
  <si>
    <t>US11135F1012</t>
  </si>
  <si>
    <t>EGS65851C015</t>
  </si>
  <si>
    <t>GSK</t>
  </si>
  <si>
    <t>GLAXOSMITHKLINE PLC</t>
  </si>
  <si>
    <t>23,47</t>
  </si>
  <si>
    <t>2.681.654</t>
  </si>
  <si>
    <t>62.951.674</t>
  </si>
  <si>
    <t>62.951.673,99</t>
  </si>
  <si>
    <t>GB0009252882</t>
  </si>
  <si>
    <t>EGS673T1C012</t>
  </si>
  <si>
    <t>SAN</t>
  </si>
  <si>
    <t>SANOFI SA</t>
  </si>
  <si>
    <t>103,04</t>
  </si>
  <si>
    <t>62.830.172</t>
  </si>
  <si>
    <t>62.830.172,34</t>
  </si>
  <si>
    <t>FR0000120578</t>
  </si>
  <si>
    <t>EGS673Y1C015</t>
  </si>
  <si>
    <t>RY</t>
  </si>
  <si>
    <t>ROYAL BANK OF CANADA</t>
  </si>
  <si>
    <t>79,91</t>
  </si>
  <si>
    <t>62.470.038</t>
  </si>
  <si>
    <t>62.470.038,08</t>
  </si>
  <si>
    <t>CA7800871021</t>
  </si>
  <si>
    <t>Toronto Stock Exchange</t>
  </si>
  <si>
    <t>Kanada</t>
  </si>
  <si>
    <t>CAD</t>
  </si>
  <si>
    <t>EGS675S1C011</t>
  </si>
  <si>
    <t>LIN</t>
  </si>
  <si>
    <t>LINDE PLC</t>
  </si>
  <si>
    <t>209,08</t>
  </si>
  <si>
    <t>62.438.815</t>
  </si>
  <si>
    <t>62.438.814,88</t>
  </si>
  <si>
    <t>Materialien</t>
  </si>
  <si>
    <t>IE00BZ12WP82</t>
  </si>
  <si>
    <t>EGS69082C013</t>
  </si>
  <si>
    <t>RDSB</t>
  </si>
  <si>
    <t>ROYAL DUTCH SHELL PLC CLASS B</t>
  </si>
  <si>
    <t>0,25</t>
  </si>
  <si>
    <t>29,65</t>
  </si>
  <si>
    <t>2.022.543</t>
  </si>
  <si>
    <t>59.963.010</t>
  </si>
  <si>
    <t>59.963.009,87</t>
  </si>
  <si>
    <t>GB00B03MM408</t>
  </si>
  <si>
    <t>EGS69101C011</t>
  </si>
  <si>
    <t>SBUX</t>
  </si>
  <si>
    <t>STARBUCKS CORP</t>
  </si>
  <si>
    <t>0,24</t>
  </si>
  <si>
    <t>90,16</t>
  </si>
  <si>
    <t>59.561.680</t>
  </si>
  <si>
    <t>59.561.679,52</t>
  </si>
  <si>
    <t>US8552441094</t>
  </si>
  <si>
    <t>EGS691L1C018</t>
  </si>
  <si>
    <t>USD CASH</t>
  </si>
  <si>
    <t>Geldmarkt</t>
  </si>
  <si>
    <t>100,00</t>
  </si>
  <si>
    <t>58.837.407</t>
  </si>
  <si>
    <t>58.837.407,35</t>
  </si>
  <si>
    <t>Cash und/oder Derivate</t>
  </si>
  <si>
    <t>-</t>
  </si>
  <si>
    <t>EGS693V1C014</t>
  </si>
  <si>
    <t>NOVO B</t>
  </si>
  <si>
    <t>NOVO NORDISK CLASS B</t>
  </si>
  <si>
    <t>59,08</t>
  </si>
  <si>
    <t>58.599.113</t>
  </si>
  <si>
    <t>58.599.113,39</t>
  </si>
  <si>
    <t>DK0060534915</t>
  </si>
  <si>
    <t>Omx Nordic Exchange Copenhagen A/S</t>
  </si>
  <si>
    <t>Dänemark</t>
  </si>
  <si>
    <t>DKK</t>
  </si>
  <si>
    <t>EGS694A1C018</t>
  </si>
  <si>
    <t>QCOM</t>
  </si>
  <si>
    <t>QUALCOMM INC</t>
  </si>
  <si>
    <t>90,26</t>
  </si>
  <si>
    <t>58.288.915</t>
  </si>
  <si>
    <t>58.288.915,14</t>
  </si>
  <si>
    <t>US7475251036</t>
  </si>
  <si>
    <t>EGS70431C019</t>
  </si>
  <si>
    <t>LMT</t>
  </si>
  <si>
    <t>LOCKHEED MARTIN CORP</t>
  </si>
  <si>
    <t>0,23</t>
  </si>
  <si>
    <t>413,83</t>
  </si>
  <si>
    <t>56.625.600</t>
  </si>
  <si>
    <t>56.625.600,39</t>
  </si>
  <si>
    <t>US5398301094</t>
  </si>
  <si>
    <t>EGS73541C012</t>
  </si>
  <si>
    <t>ALV</t>
  </si>
  <si>
    <t>ALLIANZ</t>
  </si>
  <si>
    <t>244,77</t>
  </si>
  <si>
    <t>55.662.043</t>
  </si>
  <si>
    <t>55.662.042,82</t>
  </si>
  <si>
    <t>DE0008404005</t>
  </si>
  <si>
    <t>EGS95001C011</t>
  </si>
  <si>
    <t>MMM</t>
  </si>
  <si>
    <t>3M</t>
  </si>
  <si>
    <t>180,47</t>
  </si>
  <si>
    <t>55.277.420</t>
  </si>
  <si>
    <t>55.277.419,59</t>
  </si>
  <si>
    <t>US88579Y1010</t>
  </si>
  <si>
    <t>KE0000000216</t>
  </si>
  <si>
    <t>AMT</t>
  </si>
  <si>
    <t>AMERICAN TOWER REIT CORP</t>
  </si>
  <si>
    <t>230,80</t>
  </si>
  <si>
    <t>55.121.733</t>
  </si>
  <si>
    <t>55.121.733,20</t>
  </si>
  <si>
    <t>Immobilien</t>
  </si>
  <si>
    <t>US03027X1000</t>
  </si>
  <si>
    <t>KE0000000265</t>
  </si>
  <si>
    <t>BATS</t>
  </si>
  <si>
    <t>BRITISH AMERICAN TOBACCO PLC</t>
  </si>
  <si>
    <t>0,22</t>
  </si>
  <si>
    <t>45,48</t>
  </si>
  <si>
    <t>1.202.656</t>
  </si>
  <si>
    <t>54.692.779</t>
  </si>
  <si>
    <t>54.692.779,21</t>
  </si>
  <si>
    <t>GB0002875804</t>
  </si>
  <si>
    <t>KE0000000554</t>
  </si>
  <si>
    <t>DGE</t>
  </si>
  <si>
    <t>DIAGEO PLC</t>
  </si>
  <si>
    <t>42,38</t>
  </si>
  <si>
    <t>1.288.328</t>
  </si>
  <si>
    <t>54.601.044</t>
  </si>
  <si>
    <t>54.601.044,45</t>
  </si>
  <si>
    <t>GB0002374006</t>
  </si>
  <si>
    <t>KE2000002192</t>
  </si>
  <si>
    <t>GE</t>
  </si>
  <si>
    <t>GENERAL ELECTRIC</t>
  </si>
  <si>
    <t>11,67</t>
  </si>
  <si>
    <t>4.634.853</t>
  </si>
  <si>
    <t>54.088.735</t>
  </si>
  <si>
    <t>54.088.734,51</t>
  </si>
  <si>
    <t>US3696041033</t>
  </si>
  <si>
    <t>MA0000010019</t>
  </si>
  <si>
    <t>TD</t>
  </si>
  <si>
    <t>TORONTO DOMINION</t>
  </si>
  <si>
    <t>55,93</t>
  </si>
  <si>
    <t>53.968.486</t>
  </si>
  <si>
    <t>53.968.486,38</t>
  </si>
  <si>
    <t>CA8911605092</t>
  </si>
  <si>
    <t>MA0000010365</t>
  </si>
  <si>
    <t>CBA</t>
  </si>
  <si>
    <t>COMMONWEALTH BANK OF AUSTRALIA</t>
  </si>
  <si>
    <t>56,97</t>
  </si>
  <si>
    <t>53.776.787</t>
  </si>
  <si>
    <t>53.776.786,69</t>
  </si>
  <si>
    <t>AU000000CBA7</t>
  </si>
  <si>
    <t>Asx - All Markets</t>
  </si>
  <si>
    <t>Australien</t>
  </si>
  <si>
    <t>AUD</t>
  </si>
  <si>
    <t>MA0000010506</t>
  </si>
  <si>
    <t>CSL</t>
  </si>
  <si>
    <t>CSL LTD</t>
  </si>
  <si>
    <t>206,68</t>
  </si>
  <si>
    <t>53.766.775</t>
  </si>
  <si>
    <t>53.766.775,37</t>
  </si>
  <si>
    <t>AU000000CSL8</t>
  </si>
  <si>
    <t>MA0000010928</t>
  </si>
  <si>
    <t>DHR</t>
  </si>
  <si>
    <t>DANAHER CORP</t>
  </si>
  <si>
    <t>158,12</t>
  </si>
  <si>
    <t>53.683.954</t>
  </si>
  <si>
    <t>53.683.953,68</t>
  </si>
  <si>
    <t>US2358511028</t>
  </si>
  <si>
    <t>MA0000011058</t>
  </si>
  <si>
    <t>SIE</t>
  </si>
  <si>
    <t>SIEMENS N AG</t>
  </si>
  <si>
    <t>128,92</t>
  </si>
  <si>
    <t>53.009.088</t>
  </si>
  <si>
    <t>53.009.087,84</t>
  </si>
  <si>
    <t>DE0007236101</t>
  </si>
  <si>
    <t>MA0000011454</t>
  </si>
  <si>
    <t>LOW</t>
  </si>
  <si>
    <t>LOWES COMPANIES INC</t>
  </si>
  <si>
    <t>0,21</t>
  </si>
  <si>
    <t>121,00</t>
  </si>
  <si>
    <t>51.394.871</t>
  </si>
  <si>
    <t>51.394.871,00</t>
  </si>
  <si>
    <t>US5486611073</t>
  </si>
  <si>
    <t>MA0000011488</t>
  </si>
  <si>
    <t>SONY CORP</t>
  </si>
  <si>
    <t>71,59</t>
  </si>
  <si>
    <t>50.568.451</t>
  </si>
  <si>
    <t>50.568.451,20</t>
  </si>
  <si>
    <t>JP3435000009</t>
  </si>
  <si>
    <t>MA0000011512</t>
  </si>
  <si>
    <t>CVS</t>
  </si>
  <si>
    <t>CVS HEALTH CORP</t>
  </si>
  <si>
    <t>72,11</t>
  </si>
  <si>
    <t>50.501.878</t>
  </si>
  <si>
    <t>50.501.877,95</t>
  </si>
  <si>
    <t>US1266501006</t>
  </si>
  <si>
    <t>MA0000011793</t>
  </si>
  <si>
    <t>MO</t>
  </si>
  <si>
    <t>ALTRIA GROUP INC</t>
  </si>
  <si>
    <t>0,20</t>
  </si>
  <si>
    <t>50,22</t>
  </si>
  <si>
    <t>49.773.896</t>
  </si>
  <si>
    <t>49.773.895,74</t>
  </si>
  <si>
    <t>US02209S1033</t>
  </si>
  <si>
    <t>MA0000011801</t>
  </si>
  <si>
    <t>AXP</t>
  </si>
  <si>
    <t>AMERICAN EXPRESS</t>
  </si>
  <si>
    <t>127,28</t>
  </si>
  <si>
    <t>49.653.455</t>
  </si>
  <si>
    <t>49.653.455,36</t>
  </si>
  <si>
    <t>US0258161092</t>
  </si>
  <si>
    <t>MA0000011819</t>
  </si>
  <si>
    <t>BKNG</t>
  </si>
  <si>
    <t>BOOKING HOLDINGS INC</t>
  </si>
  <si>
    <t>2.086,90</t>
  </si>
  <si>
    <t>48.196.956</t>
  </si>
  <si>
    <t>48.196.955,50</t>
  </si>
  <si>
    <t>US09857L1089</t>
  </si>
  <si>
    <t>MA0000011835</t>
  </si>
  <si>
    <t>AIR</t>
  </si>
  <si>
    <t>AIRBUS GROUP</t>
  </si>
  <si>
    <t>0,19</t>
  </si>
  <si>
    <t>149,39</t>
  </si>
  <si>
    <t>46.937.754</t>
  </si>
  <si>
    <t>46.937.754,36</t>
  </si>
  <si>
    <t>NL0000235190</t>
  </si>
  <si>
    <t>MA0000011884</t>
  </si>
  <si>
    <t>USB</t>
  </si>
  <si>
    <t>US BANCORP</t>
  </si>
  <si>
    <t>56,67</t>
  </si>
  <si>
    <t>46.284.316</t>
  </si>
  <si>
    <t>46.284.315,78</t>
  </si>
  <si>
    <t>US9029733048</t>
  </si>
  <si>
    <t>MA0000011926</t>
  </si>
  <si>
    <t>FIS</t>
  </si>
  <si>
    <t>FIDELITY NATIONAL INFORMATION SERV</t>
  </si>
  <si>
    <t>141,94</t>
  </si>
  <si>
    <t>45.986.289</t>
  </si>
  <si>
    <t>45.986.288,96</t>
  </si>
  <si>
    <t>US31620M1062</t>
  </si>
  <si>
    <t>MA0000012007</t>
  </si>
  <si>
    <t>GILD</t>
  </si>
  <si>
    <t>GILEAD SCIENCES INC</t>
  </si>
  <si>
    <t>0,18</t>
  </si>
  <si>
    <t>65,03</t>
  </si>
  <si>
    <t>44.618.254</t>
  </si>
  <si>
    <t>44.618.253,54</t>
  </si>
  <si>
    <t>US3755581036</t>
  </si>
  <si>
    <t>MA0000012031</t>
  </si>
  <si>
    <t>CAT</t>
  </si>
  <si>
    <t>CATERPILLAR INC</t>
  </si>
  <si>
    <t>146,13</t>
  </si>
  <si>
    <t>44.492.932</t>
  </si>
  <si>
    <t>44.492.931,75</t>
  </si>
  <si>
    <t>US1491231015</t>
  </si>
  <si>
    <t>MA0000012205</t>
  </si>
  <si>
    <t>CHTR</t>
  </si>
  <si>
    <t>CHARTER COMMUNICATIONS INC CLASS A</t>
  </si>
  <si>
    <t>505,03</t>
  </si>
  <si>
    <t>43.717.417</t>
  </si>
  <si>
    <t>43.717.416,92</t>
  </si>
  <si>
    <t>US16119P1084</t>
  </si>
  <si>
    <t>MA0000012239</t>
  </si>
  <si>
    <t>UPS</t>
  </si>
  <si>
    <t>UNITED PARCEL SERVICE INC CLASS B</t>
  </si>
  <si>
    <t>115,87</t>
  </si>
  <si>
    <t>42.999.357</t>
  </si>
  <si>
    <t>42.999.357,00</t>
  </si>
  <si>
    <t>US9113121068</t>
  </si>
  <si>
    <t>MA0000012247</t>
  </si>
  <si>
    <t>ENB</t>
  </si>
  <si>
    <t>ENBRIDGE INC</t>
  </si>
  <si>
    <t>39,97</t>
  </si>
  <si>
    <t>1.075.656</t>
  </si>
  <si>
    <t>42.996.570</t>
  </si>
  <si>
    <t>42.996.570,14</t>
  </si>
  <si>
    <t>CA29250N1050</t>
  </si>
  <si>
    <t>MA0000012262</t>
  </si>
  <si>
    <t>UNA</t>
  </si>
  <si>
    <t>UNILEVER NV</t>
  </si>
  <si>
    <t>55,90</t>
  </si>
  <si>
    <t>42.875.882</t>
  </si>
  <si>
    <t>42.875.882,33</t>
  </si>
  <si>
    <t>NL0000388619</t>
  </si>
  <si>
    <t>MA0000012312</t>
  </si>
  <si>
    <t>BHP</t>
  </si>
  <si>
    <t>BHP GROUP LTD</t>
  </si>
  <si>
    <t>27,55</t>
  </si>
  <si>
    <t>1.550.585</t>
  </si>
  <si>
    <t>42.723.183</t>
  </si>
  <si>
    <t>42.723.183,22</t>
  </si>
  <si>
    <t>AU000000BHP4</t>
  </si>
  <si>
    <t>MA0000012320</t>
  </si>
  <si>
    <t>CI</t>
  </si>
  <si>
    <t>CIGNA CORP</t>
  </si>
  <si>
    <t>0,17</t>
  </si>
  <si>
    <t>210,28</t>
  </si>
  <si>
    <t>42.012.893</t>
  </si>
  <si>
    <t>42.012.892,60</t>
  </si>
  <si>
    <t>US1255231003</t>
  </si>
  <si>
    <t>MU0071I00004</t>
  </si>
  <si>
    <t>MDLZ</t>
  </si>
  <si>
    <t>MONDELEZ INTERNATIONAL INC CLASS A</t>
  </si>
  <si>
    <t>54,25</t>
  </si>
  <si>
    <t>41.935.901</t>
  </si>
  <si>
    <t>41.935.901,00</t>
  </si>
  <si>
    <t>US6092071058</t>
  </si>
  <si>
    <t>MU0424N00005</t>
  </si>
  <si>
    <t>ANTM</t>
  </si>
  <si>
    <t>ANTHEM INC</t>
  </si>
  <si>
    <t>307,74</t>
  </si>
  <si>
    <t>41.635.991</t>
  </si>
  <si>
    <t>41.635.991,04</t>
  </si>
  <si>
    <t>US0367521038</t>
  </si>
  <si>
    <t>MU0443N00005</t>
  </si>
  <si>
    <t>TFC</t>
  </si>
  <si>
    <t>TRUIST FINANCIAL CORP</t>
  </si>
  <si>
    <t>55,96</t>
  </si>
  <si>
    <t>41.234.686</t>
  </si>
  <si>
    <t>41.234.685,60</t>
  </si>
  <si>
    <t>US89832Q1094</t>
  </si>
  <si>
    <t>NGAP00000004</t>
  </si>
  <si>
    <t>BAYN</t>
  </si>
  <si>
    <t>BAYER AG</t>
  </si>
  <si>
    <t>83,75</t>
  </si>
  <si>
    <t>41.129.611</t>
  </si>
  <si>
    <t>41.129.611,10</t>
  </si>
  <si>
    <t>DE000BAY0017</t>
  </si>
  <si>
    <t>NGFLOURMILL0</t>
  </si>
  <si>
    <t>GS</t>
  </si>
  <si>
    <t>GOLDMAN SACHS GROUP INC</t>
  </si>
  <si>
    <t>242,11</t>
  </si>
  <si>
    <t>41.005.686</t>
  </si>
  <si>
    <t>41.005.686,48</t>
  </si>
  <si>
    <t>US38141G1040</t>
  </si>
  <si>
    <t>NGNB00000005</t>
  </si>
  <si>
    <t>TJX</t>
  </si>
  <si>
    <t>TJX INC</t>
  </si>
  <si>
    <t>62,34</t>
  </si>
  <si>
    <t>40.879.081</t>
  </si>
  <si>
    <t>40.879.080,96</t>
  </si>
  <si>
    <t>US8725401090</t>
  </si>
  <si>
    <t>NGOANDO00002</t>
  </si>
  <si>
    <t>BDX</t>
  </si>
  <si>
    <t>BECTON DICKINSON</t>
  </si>
  <si>
    <t>0,16</t>
  </si>
  <si>
    <t>274,46</t>
  </si>
  <si>
    <t>39.948.751</t>
  </si>
  <si>
    <t>39.948.750,84</t>
  </si>
  <si>
    <t>US0758871091</t>
  </si>
  <si>
    <t>NGSTANBIC003</t>
  </si>
  <si>
    <t>CME</t>
  </si>
  <si>
    <t>CME GROUP INC CLASS A</t>
  </si>
  <si>
    <t>205,09</t>
  </si>
  <si>
    <t>39.932.254</t>
  </si>
  <si>
    <t>39.932.253,54</t>
  </si>
  <si>
    <t>US12572Q1058</t>
  </si>
  <si>
    <t>NGTRANSCORP7</t>
  </si>
  <si>
    <t>SOFTBANK GROUP CORP</t>
  </si>
  <si>
    <t>44,52</t>
  </si>
  <si>
    <t>39.635.843</t>
  </si>
  <si>
    <t>39.635.842,61</t>
  </si>
  <si>
    <t>JP3436100006</t>
  </si>
  <si>
    <t>NGUBA0000001</t>
  </si>
  <si>
    <t>COP</t>
  </si>
  <si>
    <t>CONOCOPHILLIPS</t>
  </si>
  <si>
    <t>65,42</t>
  </si>
  <si>
    <t>39.474.624</t>
  </si>
  <si>
    <t>39.474.624,26</t>
  </si>
  <si>
    <t>US20825C1045</t>
  </si>
  <si>
    <t>TN0007400013</t>
  </si>
  <si>
    <t>PNC</t>
  </si>
  <si>
    <t>PNC FINANCIAL SERVICES GROUP INC</t>
  </si>
  <si>
    <t>158,57</t>
  </si>
  <si>
    <t>39.226.095</t>
  </si>
  <si>
    <t>39.226.095,18</t>
  </si>
  <si>
    <t>US6934751057</t>
  </si>
  <si>
    <t>TN0007570013</t>
  </si>
  <si>
    <t>ADP</t>
  </si>
  <si>
    <t>AUTOMATIC DATA PROCESSING INC</t>
  </si>
  <si>
    <t>171,09</t>
  </si>
  <si>
    <t>39.002.874</t>
  </si>
  <si>
    <t>39.002.874,03</t>
  </si>
  <si>
    <t>US0530151036</t>
  </si>
  <si>
    <t>TN0007610017</t>
  </si>
  <si>
    <t>OR</t>
  </si>
  <si>
    <t>LOREAL SA</t>
  </si>
  <si>
    <t>293,28</t>
  </si>
  <si>
    <t>38.681.687</t>
  </si>
  <si>
    <t>38.681.686,89</t>
  </si>
  <si>
    <t>FR0000120321</t>
  </si>
  <si>
    <t>TZ1996100016</t>
  </si>
  <si>
    <t>SPGI</t>
  </si>
  <si>
    <t>S&amp;P GLOBAL INC</t>
  </si>
  <si>
    <t>288,94</t>
  </si>
  <si>
    <t>38.313.444</t>
  </si>
  <si>
    <t>38.313.444,00</t>
  </si>
  <si>
    <t>US78409V1044</t>
  </si>
  <si>
    <t>ZM0000000250</t>
  </si>
  <si>
    <t>INTU</t>
  </si>
  <si>
    <t>INTUIT INC</t>
  </si>
  <si>
    <t>275,25</t>
  </si>
  <si>
    <t>38.291.129</t>
  </si>
  <si>
    <t>38.291.128,50</t>
  </si>
  <si>
    <t>US4612021034</t>
  </si>
  <si>
    <t>CILI</t>
  </si>
  <si>
    <t>SYK</t>
  </si>
  <si>
    <t>STRYKER CORP</t>
  </si>
  <si>
    <t>0,15</t>
  </si>
  <si>
    <t>209,65</t>
  </si>
  <si>
    <t>37.646.012</t>
  </si>
  <si>
    <t>37.646.011,90</t>
  </si>
  <si>
    <t>US8636671013</t>
  </si>
  <si>
    <t>ISRG</t>
  </si>
  <si>
    <t>INTUITIVE SURGICAL INC</t>
  </si>
  <si>
    <t>598,72</t>
  </si>
  <si>
    <t>37.611.590</t>
  </si>
  <si>
    <t>37.611.590,40</t>
  </si>
  <si>
    <t>US46120E6023</t>
  </si>
  <si>
    <t>FISV</t>
  </si>
  <si>
    <t>FISERV INC</t>
  </si>
  <si>
    <t>117,13</t>
  </si>
  <si>
    <t>37.403.943</t>
  </si>
  <si>
    <t>37.403.942,81</t>
  </si>
  <si>
    <t>US3377381088</t>
  </si>
  <si>
    <t>ENEL</t>
  </si>
  <si>
    <t>8,24</t>
  </si>
  <si>
    <t>4.533.317</t>
  </si>
  <si>
    <t>37.367.601</t>
  </si>
  <si>
    <t>37.367.601,41</t>
  </si>
  <si>
    <t>IT0003128367</t>
  </si>
  <si>
    <t>Borsa Italiana</t>
  </si>
  <si>
    <t>Italien</t>
  </si>
  <si>
    <t>HWAY23</t>
  </si>
  <si>
    <t>CNR</t>
  </si>
  <si>
    <t>CANADIAN NATIONAL RAILWAY</t>
  </si>
  <si>
    <t>91,96</t>
  </si>
  <si>
    <t>37.201.740</t>
  </si>
  <si>
    <t>37.201.740,00</t>
  </si>
  <si>
    <t>CA1363751027</t>
  </si>
  <si>
    <t>EL28</t>
  </si>
  <si>
    <t>RIO</t>
  </si>
  <si>
    <t>RIO TINTO PLC</t>
  </si>
  <si>
    <t>58,62</t>
  </si>
  <si>
    <t>37.064.296</t>
  </si>
  <si>
    <t>37.064.295,68</t>
  </si>
  <si>
    <t>GB0007188757</t>
  </si>
  <si>
    <t>SBSI11</t>
  </si>
  <si>
    <t>BNS</t>
  </si>
  <si>
    <t>BANK OF NOVA SCOTIA</t>
  </si>
  <si>
    <t>55,16</t>
  </si>
  <si>
    <t>36.936.389</t>
  </si>
  <si>
    <t>36.936.388,60</t>
  </si>
  <si>
    <t>CA0641491075</t>
  </si>
  <si>
    <t>I2038</t>
  </si>
  <si>
    <t>CB</t>
  </si>
  <si>
    <t>CHUBB LTD</t>
  </si>
  <si>
    <t>150,99</t>
  </si>
  <si>
    <t>36.794.451</t>
  </si>
  <si>
    <t>36.794.451,12</t>
  </si>
  <si>
    <t>CH0044328745</t>
  </si>
  <si>
    <t>I2050</t>
  </si>
  <si>
    <t>BANCO SANTANDER SA</t>
  </si>
  <si>
    <t>4,13</t>
  </si>
  <si>
    <t>8.696.543</t>
  </si>
  <si>
    <t>35.929.277</t>
  </si>
  <si>
    <t>35.929.277,14</t>
  </si>
  <si>
    <t>ES0113900J37</t>
  </si>
  <si>
    <t>Bolsa De Madrid</t>
  </si>
  <si>
    <t>Spanien</t>
  </si>
  <si>
    <t>I2025</t>
  </si>
  <si>
    <t>AI</t>
  </si>
  <si>
    <t>AIR LIQUIDE SA</t>
  </si>
  <si>
    <t>139,81</t>
  </si>
  <si>
    <t>35.833.446</t>
  </si>
  <si>
    <t>35.833.445,87</t>
  </si>
  <si>
    <t>FR0000120073</t>
  </si>
  <si>
    <t>FRBI23</t>
  </si>
  <si>
    <t>TSLA</t>
  </si>
  <si>
    <t>TESLA INC</t>
  </si>
  <si>
    <t>478,15</t>
  </si>
  <si>
    <t>35.641.301</t>
  </si>
  <si>
    <t>35.641.301,00</t>
  </si>
  <si>
    <t>US88160R1014</t>
  </si>
  <si>
    <t>FRBI28</t>
  </si>
  <si>
    <t>D</t>
  </si>
  <si>
    <t>DOMINION ENERGY INC</t>
  </si>
  <si>
    <t>82,07</t>
  </si>
  <si>
    <t>35.346.728</t>
  </si>
  <si>
    <t>35.346.728,30</t>
  </si>
  <si>
    <t>US25746U1097</t>
  </si>
  <si>
    <t>I2046</t>
  </si>
  <si>
    <t>DUK</t>
  </si>
  <si>
    <t>DUKE ENERGY CORP</t>
  </si>
  <si>
    <t>90,44</t>
  </si>
  <si>
    <t>35.334.004</t>
  </si>
  <si>
    <t>35.334.003,60</t>
  </si>
  <si>
    <t>US26441C2044</t>
  </si>
  <si>
    <t>I2033</t>
  </si>
  <si>
    <t>BAS</t>
  </si>
  <si>
    <t>BASF N</t>
  </si>
  <si>
    <t>73,16</t>
  </si>
  <si>
    <t>35.307.757</t>
  </si>
  <si>
    <t>35.307.756,72</t>
  </si>
  <si>
    <t>DE000BASF111</t>
  </si>
  <si>
    <t>I2029</t>
  </si>
  <si>
    <t>SO</t>
  </si>
  <si>
    <t>SOUTHERN</t>
  </si>
  <si>
    <t>0,14</t>
  </si>
  <si>
    <t>63,66</t>
  </si>
  <si>
    <t>34.962.136</t>
  </si>
  <si>
    <t>34.962.135,66</t>
  </si>
  <si>
    <t>US8425871071</t>
  </si>
  <si>
    <t>CSI300</t>
  </si>
  <si>
    <t>MITSUBISHI UFJ FINANCIAL GROUP INC</t>
  </si>
  <si>
    <t>5,28</t>
  </si>
  <si>
    <t>6.623.336</t>
  </si>
  <si>
    <t>34.954.480</t>
  </si>
  <si>
    <t>34.954.480,42</t>
  </si>
  <si>
    <t>JP3902900004</t>
  </si>
  <si>
    <t>BNP</t>
  </si>
  <si>
    <t>BNP PARIBAS SA</t>
  </si>
  <si>
    <t>57,97</t>
  </si>
  <si>
    <t>34.924.512</t>
  </si>
  <si>
    <t>34.924.512,31</t>
  </si>
  <si>
    <t>FR0000131104</t>
  </si>
  <si>
    <t>RTN</t>
  </si>
  <si>
    <t>RAYTHEON</t>
  </si>
  <si>
    <t>226,48</t>
  </si>
  <si>
    <t>34.769.663</t>
  </si>
  <si>
    <t>34.769.662,56</t>
  </si>
  <si>
    <t>US7551115071</t>
  </si>
  <si>
    <t>MS</t>
  </si>
  <si>
    <t>MORGAN STANLEY</t>
  </si>
  <si>
    <t>52,21</t>
  </si>
  <si>
    <t>34.431.868</t>
  </si>
  <si>
    <t>34.431.868,48</t>
  </si>
  <si>
    <t>US6174464486</t>
  </si>
  <si>
    <t>TGT</t>
  </si>
  <si>
    <t>TARGET CORP</t>
  </si>
  <si>
    <t>124,73</t>
  </si>
  <si>
    <t>34.361.244</t>
  </si>
  <si>
    <t>34.361.244,05</t>
  </si>
  <si>
    <t>US87612E1064</t>
  </si>
  <si>
    <t>ZTS</t>
  </si>
  <si>
    <t>ZOETIS INC CLASS A</t>
  </si>
  <si>
    <t>135,57</t>
  </si>
  <si>
    <t>34.271.960</t>
  </si>
  <si>
    <t>34.271.960,43</t>
  </si>
  <si>
    <t>US98978V1035</t>
  </si>
  <si>
    <t>BSX</t>
  </si>
  <si>
    <t>BOSTON SCIENTIFIC CORP</t>
  </si>
  <si>
    <t>45,67</t>
  </si>
  <si>
    <t>34.185.411</t>
  </si>
  <si>
    <t>34.185.410,77</t>
  </si>
  <si>
    <t>US1011371077</t>
  </si>
  <si>
    <t>KEYENCE CORP</t>
  </si>
  <si>
    <t>363,09</t>
  </si>
  <si>
    <t>34.168.101</t>
  </si>
  <si>
    <t>34.168.100,77</t>
  </si>
  <si>
    <t>JP3236200006</t>
  </si>
  <si>
    <t>ZURN</t>
  </si>
  <si>
    <t>ZURICH INSURANCE GROUP AG</t>
  </si>
  <si>
    <t>411,30</t>
  </si>
  <si>
    <t>34.154.135</t>
  </si>
  <si>
    <t>34.154.134,81</t>
  </si>
  <si>
    <t>CH0011075394</t>
  </si>
  <si>
    <t>MU</t>
  </si>
  <si>
    <t>MICRON TECHNOLOGY INC</t>
  </si>
  <si>
    <t>33.968.168</t>
  </si>
  <si>
    <t>33.968.168,01</t>
  </si>
  <si>
    <t>US5951121038</t>
  </si>
  <si>
    <t>ABI</t>
  </si>
  <si>
    <t>ANHEUSER BUSCH INBEV NV</t>
  </si>
  <si>
    <t>81,83</t>
  </si>
  <si>
    <t>33.898.276</t>
  </si>
  <si>
    <t>33.898.275,64</t>
  </si>
  <si>
    <t>BE0974293251</t>
  </si>
  <si>
    <t>Nyse Euronext - Euronext Brussels</t>
  </si>
  <si>
    <t>Belgien</t>
  </si>
  <si>
    <t>ICSUAGD</t>
  </si>
  <si>
    <t>BLK ICS USD LIQ AGENCY DIS</t>
  </si>
  <si>
    <t>1,00</t>
  </si>
  <si>
    <t>33.864.640</t>
  </si>
  <si>
    <t>33.864.640,29</t>
  </si>
  <si>
    <t>IE00B50QMP13</t>
  </si>
  <si>
    <t>Irland</t>
  </si>
  <si>
    <t>IBE</t>
  </si>
  <si>
    <t>IBERDROLA SA</t>
  </si>
  <si>
    <t>9,98</t>
  </si>
  <si>
    <t>3.388.414</t>
  </si>
  <si>
    <t>33.831.174</t>
  </si>
  <si>
    <t>33.831.173,67</t>
  </si>
  <si>
    <t>ES0144580Y14</t>
  </si>
  <si>
    <t>ULVR</t>
  </si>
  <si>
    <t>UNILEVER PLC</t>
  </si>
  <si>
    <t>56,22</t>
  </si>
  <si>
    <t>33.409.725</t>
  </si>
  <si>
    <t>33.409.724,90</t>
  </si>
  <si>
    <t>GB00B10RZP78</t>
  </si>
  <si>
    <t>AGN</t>
  </si>
  <si>
    <t>ALLERGAN</t>
  </si>
  <si>
    <t>191,83</t>
  </si>
  <si>
    <t>33.138.441</t>
  </si>
  <si>
    <t>33.138.440,67</t>
  </si>
  <si>
    <t>IE00BY9D5467</t>
  </si>
  <si>
    <t>ADS</t>
  </si>
  <si>
    <t>ADIDAS N AG</t>
  </si>
  <si>
    <t>0,13</t>
  </si>
  <si>
    <t>343,46</t>
  </si>
  <si>
    <t>32.636.858</t>
  </si>
  <si>
    <t>32.636.857,81</t>
  </si>
  <si>
    <t>DE000A1EWWW0</t>
  </si>
  <si>
    <t>NOC</t>
  </si>
  <si>
    <t>NORTHROP GRUMMAN CORP</t>
  </si>
  <si>
    <t>374,39</t>
  </si>
  <si>
    <t>32.439.770</t>
  </si>
  <si>
    <t>32.439.770,33</t>
  </si>
  <si>
    <t>US6668071029</t>
  </si>
  <si>
    <t>TAKEDA PHARMACEUTICAL LTD</t>
  </si>
  <si>
    <t>32.326.700</t>
  </si>
  <si>
    <t>32.326.700,48</t>
  </si>
  <si>
    <t>JP3463000004</t>
  </si>
  <si>
    <t>CL</t>
  </si>
  <si>
    <t>COLGATE-PALMOLIVE</t>
  </si>
  <si>
    <t>70,15</t>
  </si>
  <si>
    <t>31.575.708</t>
  </si>
  <si>
    <t>31.575.707,55</t>
  </si>
  <si>
    <t>US1941621039</t>
  </si>
  <si>
    <t>CCI</t>
  </si>
  <si>
    <t>CROWN CASTLE INTERNATIONAL REIT CO</t>
  </si>
  <si>
    <t>142,40</t>
  </si>
  <si>
    <t>31.556.837</t>
  </si>
  <si>
    <t>31.556.836,80</t>
  </si>
  <si>
    <t>US22822V1017</t>
  </si>
  <si>
    <t>BLK</t>
  </si>
  <si>
    <t>BLACKROCK INC</t>
  </si>
  <si>
    <t>512,18</t>
  </si>
  <si>
    <t>31.418.658</t>
  </si>
  <si>
    <t>31.418.657,74</t>
  </si>
  <si>
    <t>US09247X1019</t>
  </si>
  <si>
    <t>SCHW</t>
  </si>
  <si>
    <t>CHARLES SCHWAB CORP</t>
  </si>
  <si>
    <t>47,80</t>
  </si>
  <si>
    <t>31.369.706</t>
  </si>
  <si>
    <t>31.369.706,00</t>
  </si>
  <si>
    <t>US8085131055</t>
  </si>
  <si>
    <t>WBC</t>
  </si>
  <si>
    <t>WESTPAC BANKING CORPORATION CORP</t>
  </si>
  <si>
    <t>17,02</t>
  </si>
  <si>
    <t>1.821.499</t>
  </si>
  <si>
    <t>31.005.661</t>
  </si>
  <si>
    <t>31.005.660,71</t>
  </si>
  <si>
    <t>AU000000WBC1</t>
  </si>
  <si>
    <t>AMAT</t>
  </si>
  <si>
    <t>APPLIED MATERIAL INC</t>
  </si>
  <si>
    <t>61,47</t>
  </si>
  <si>
    <t>30.891.933</t>
  </si>
  <si>
    <t>30.891.932,91</t>
  </si>
  <si>
    <t>US0382221051</t>
  </si>
  <si>
    <t>VRTX</t>
  </si>
  <si>
    <t>VERTEX PHARMACEUTICALS INC</t>
  </si>
  <si>
    <t>228,95</t>
  </si>
  <si>
    <t>30.670.829</t>
  </si>
  <si>
    <t>30.670.828,85</t>
  </si>
  <si>
    <t>US92532F1003</t>
  </si>
  <si>
    <t>PLD</t>
  </si>
  <si>
    <t>PROLOGIS REIT INC</t>
  </si>
  <si>
    <t>89,44</t>
  </si>
  <si>
    <t>30.547.964</t>
  </si>
  <si>
    <t>30.547.963,68</t>
  </si>
  <si>
    <t>US74340W1036</t>
  </si>
  <si>
    <t>RB.</t>
  </si>
  <si>
    <t>RECKITT BENCKISER GROUP PLC</t>
  </si>
  <si>
    <t>78,87</t>
  </si>
  <si>
    <t>30.491.344</t>
  </si>
  <si>
    <t>30.491.344,33</t>
  </si>
  <si>
    <t>GB00B24CGK77</t>
  </si>
  <si>
    <t>CSX</t>
  </si>
  <si>
    <t>CSX CORP</t>
  </si>
  <si>
    <t>0,12</t>
  </si>
  <si>
    <t>73,36</t>
  </si>
  <si>
    <t>30.401.778</t>
  </si>
  <si>
    <t>30.401.777,84</t>
  </si>
  <si>
    <t>US1264081035</t>
  </si>
  <si>
    <t>DG</t>
  </si>
  <si>
    <t>VINCI SA</t>
  </si>
  <si>
    <t>110,49</t>
  </si>
  <si>
    <t>30.284.318</t>
  </si>
  <si>
    <t>30.284.318,40</t>
  </si>
  <si>
    <t>FR0000125486</t>
  </si>
  <si>
    <t>DTE</t>
  </si>
  <si>
    <t>DEUTSCHE TELEKOM N AG</t>
  </si>
  <si>
    <t>16,41</t>
  </si>
  <si>
    <t>1.827.304</t>
  </si>
  <si>
    <t>29.978.290</t>
  </si>
  <si>
    <t>29.978.290,22</t>
  </si>
  <si>
    <t>DE0005557508</t>
  </si>
  <si>
    <t>LLOY</t>
  </si>
  <si>
    <t>LLOYDS BANKING GROUP PLC</t>
  </si>
  <si>
    <t>0,79</t>
  </si>
  <si>
    <t>37.773.531</t>
  </si>
  <si>
    <t>29.763.275</t>
  </si>
  <si>
    <t>29.763.274,69</t>
  </si>
  <si>
    <t>GB0008706128</t>
  </si>
  <si>
    <t>NOW</t>
  </si>
  <si>
    <t>SERVICENOW INC</t>
  </si>
  <si>
    <t>298,88</t>
  </si>
  <si>
    <t>29.746.032</t>
  </si>
  <si>
    <t>29.746.032,00</t>
  </si>
  <si>
    <t>US81762P1021</t>
  </si>
  <si>
    <t>CS</t>
  </si>
  <si>
    <t>AXA SA</t>
  </si>
  <si>
    <t>28,18</t>
  </si>
  <si>
    <t>1.053.529</t>
  </si>
  <si>
    <t>29.686.634</t>
  </si>
  <si>
    <t>29.686.634,36</t>
  </si>
  <si>
    <t>FR0000120628</t>
  </si>
  <si>
    <t>GPN</t>
  </si>
  <si>
    <t>GLOBAL PAYMENTS INC</t>
  </si>
  <si>
    <t>190,44</t>
  </si>
  <si>
    <t>29.684.645</t>
  </si>
  <si>
    <t>29.684.644,56</t>
  </si>
  <si>
    <t>US37940X1028</t>
  </si>
  <si>
    <t>MMC</t>
  </si>
  <si>
    <t>MARSH &amp; MCLENNAN INC</t>
  </si>
  <si>
    <t>111,70</t>
  </si>
  <si>
    <t>29.342.808</t>
  </si>
  <si>
    <t>29.342.808,10</t>
  </si>
  <si>
    <t>US5717481023</t>
  </si>
  <si>
    <t>NSC</t>
  </si>
  <si>
    <t>NORFOLK SOUTHERN CORP</t>
  </si>
  <si>
    <t>197,55</t>
  </si>
  <si>
    <t>29.270.984</t>
  </si>
  <si>
    <t>29.270.983,50</t>
  </si>
  <si>
    <t>US6558441084</t>
  </si>
  <si>
    <t>KDDI CORP</t>
  </si>
  <si>
    <t>30,01</t>
  </si>
  <si>
    <t>29.196.156</t>
  </si>
  <si>
    <t>29.196.155,53</t>
  </si>
  <si>
    <t>JP3496400007</t>
  </si>
  <si>
    <t>SU</t>
  </si>
  <si>
    <t>SUNCOR ENERGY INC</t>
  </si>
  <si>
    <t>34,32</t>
  </si>
  <si>
    <t>29.092.000</t>
  </si>
  <si>
    <t>29.091.999,84</t>
  </si>
  <si>
    <t>CA8672241079</t>
  </si>
  <si>
    <t>SCHNEIDER ELECTRIC</t>
  </si>
  <si>
    <t>102,40</t>
  </si>
  <si>
    <t>29.026.551</t>
  </si>
  <si>
    <t>29.026.551,39</t>
  </si>
  <si>
    <t>FR0000121972</t>
  </si>
  <si>
    <t>BIIB</t>
  </si>
  <si>
    <t>BIOGEN INC</t>
  </si>
  <si>
    <t>296,51</t>
  </si>
  <si>
    <t>28.988.893</t>
  </si>
  <si>
    <t>28.988.893,17</t>
  </si>
  <si>
    <t>US09062X1037</t>
  </si>
  <si>
    <t>ITW</t>
  </si>
  <si>
    <t>ILLINOIS TOOL INC</t>
  </si>
  <si>
    <t>178,24</t>
  </si>
  <si>
    <t>28.833.172</t>
  </si>
  <si>
    <t>28.833.171,84</t>
  </si>
  <si>
    <t>US4523081093</t>
  </si>
  <si>
    <t>ICE</t>
  </si>
  <si>
    <t>INTERCONTINENTAL EXCHANGE INC</t>
  </si>
  <si>
    <t>94,25</t>
  </si>
  <si>
    <t>28.752.753</t>
  </si>
  <si>
    <t>28.752.753,25</t>
  </si>
  <si>
    <t>US45866F1049</t>
  </si>
  <si>
    <t>VOD</t>
  </si>
  <si>
    <t>VODAFONE GROUP PLC</t>
  </si>
  <si>
    <t>1,98</t>
  </si>
  <si>
    <t>14.497.751</t>
  </si>
  <si>
    <t>28.712.712</t>
  </si>
  <si>
    <t>28.712.712,06</t>
  </si>
  <si>
    <t>GB00BH4HKS39</t>
  </si>
  <si>
    <t>SLB</t>
  </si>
  <si>
    <t>SCHLUMBERGER NV</t>
  </si>
  <si>
    <t>39,83</t>
  </si>
  <si>
    <t>28.423.923</t>
  </si>
  <si>
    <t>28.423.922,73</t>
  </si>
  <si>
    <t>AN8068571086</t>
  </si>
  <si>
    <t>RECRUIT HOLDINGS LTD</t>
  </si>
  <si>
    <t>38,67</t>
  </si>
  <si>
    <t>28.277.605</t>
  </si>
  <si>
    <t>28.277.604,97</t>
  </si>
  <si>
    <t>JP3970300004</t>
  </si>
  <si>
    <t>DE</t>
  </si>
  <si>
    <t>DEERE</t>
  </si>
  <si>
    <t>173,43</t>
  </si>
  <si>
    <t>28.190.353</t>
  </si>
  <si>
    <t>28.190.352,78</t>
  </si>
  <si>
    <t>US2441991054</t>
  </si>
  <si>
    <t>KER</t>
  </si>
  <si>
    <t>KERING SA</t>
  </si>
  <si>
    <t>0,11</t>
  </si>
  <si>
    <t>658,03</t>
  </si>
  <si>
    <t>27.910.357</t>
  </si>
  <si>
    <t>27.910.356,66</t>
  </si>
  <si>
    <t>FR0000121485</t>
  </si>
  <si>
    <t>AON</t>
  </si>
  <si>
    <t>AON PLC CLASS A</t>
  </si>
  <si>
    <t>208,06</t>
  </si>
  <si>
    <t>27.822.199</t>
  </si>
  <si>
    <t>27.822.199,32</t>
  </si>
  <si>
    <t>GB00B5BT0K07</t>
  </si>
  <si>
    <t>ILMN</t>
  </si>
  <si>
    <t>ILLUMINA INC</t>
  </si>
  <si>
    <t>335,53</t>
  </si>
  <si>
    <t>27.639.955</t>
  </si>
  <si>
    <t>27.639.954,81</t>
  </si>
  <si>
    <t>US4523271090</t>
  </si>
  <si>
    <t>REL</t>
  </si>
  <si>
    <t>RELX PLC</t>
  </si>
  <si>
    <t>25,23</t>
  </si>
  <si>
    <t>1.087.793</t>
  </si>
  <si>
    <t>27.448.157</t>
  </si>
  <si>
    <t>27.448.156,76</t>
  </si>
  <si>
    <t>GB00B2B0DG97</t>
  </si>
  <si>
    <t>TRP</t>
  </si>
  <si>
    <t>TC ENERGY CORP</t>
  </si>
  <si>
    <t>52,40</t>
  </si>
  <si>
    <t>27.378.060</t>
  </si>
  <si>
    <t>27.378.060,45</t>
  </si>
  <si>
    <t>CA87807B1076</t>
  </si>
  <si>
    <t>EQIX</t>
  </si>
  <si>
    <t>EQUINIX REIT INC</t>
  </si>
  <si>
    <t>594,00</t>
  </si>
  <si>
    <t>27.195.696</t>
  </si>
  <si>
    <t>27.195.696,00</t>
  </si>
  <si>
    <t>US29444U7000</t>
  </si>
  <si>
    <t>NAB</t>
  </si>
  <si>
    <t>NATIONAL AUSTRALIA BANK LTD</t>
  </si>
  <si>
    <t>17,22</t>
  </si>
  <si>
    <t>1.577.537</t>
  </si>
  <si>
    <t>27.157.949</t>
  </si>
  <si>
    <t>27.157.948,61</t>
  </si>
  <si>
    <t>AU000000NAB4</t>
  </si>
  <si>
    <t>PRU</t>
  </si>
  <si>
    <t>PRUDENTIAL PLC</t>
  </si>
  <si>
    <t>19,33</t>
  </si>
  <si>
    <t>1.401.399</t>
  </si>
  <si>
    <t>27.088.398</t>
  </si>
  <si>
    <t>27.088.398,03</t>
  </si>
  <si>
    <t>GB0007099541</t>
  </si>
  <si>
    <t>BAM.A</t>
  </si>
  <si>
    <t>BROOKFIELD ASSET MANAGEMENT INC CL</t>
  </si>
  <si>
    <t>58,44</t>
  </si>
  <si>
    <t>26.981.926</t>
  </si>
  <si>
    <t>26.981.925,96</t>
  </si>
  <si>
    <t>CA1125851040</t>
  </si>
  <si>
    <t>EOG</t>
  </si>
  <si>
    <t>EOG RESOURCES INC</t>
  </si>
  <si>
    <t>86,27</t>
  </si>
  <si>
    <t>26.796.670</t>
  </si>
  <si>
    <t>26.796.669,78</t>
  </si>
  <si>
    <t>US26875P1012</t>
  </si>
  <si>
    <t>UBSG</t>
  </si>
  <si>
    <t>UBS GROUP AG</t>
  </si>
  <si>
    <t>13,01</t>
  </si>
  <si>
    <t>2.055.465</t>
  </si>
  <si>
    <t>26.737.413</t>
  </si>
  <si>
    <t>26.737.412,69</t>
  </si>
  <si>
    <t>CH0244767585</t>
  </si>
  <si>
    <t>DAI</t>
  </si>
  <si>
    <t>DAIMLER AG</t>
  </si>
  <si>
    <t>54,93</t>
  </si>
  <si>
    <t>26.720.407</t>
  </si>
  <si>
    <t>26.720.406,84</t>
  </si>
  <si>
    <t>DE0007100000</t>
  </si>
  <si>
    <t>BN</t>
  </si>
  <si>
    <t>DANONE SA</t>
  </si>
  <si>
    <t>80,68</t>
  </si>
  <si>
    <t>26.708.021</t>
  </si>
  <si>
    <t>26.708.020,99</t>
  </si>
  <si>
    <t>FR0000120644</t>
  </si>
  <si>
    <t>WM</t>
  </si>
  <si>
    <t>WASTE MANAGEMENT INC</t>
  </si>
  <si>
    <t>116,20</t>
  </si>
  <si>
    <t>26.683.471</t>
  </si>
  <si>
    <t>26.683.470,80</t>
  </si>
  <si>
    <t>US94106L1098</t>
  </si>
  <si>
    <t>AMD</t>
  </si>
  <si>
    <t>ADVANCED MICRO DEVICES INC</t>
  </si>
  <si>
    <t>48,16</t>
  </si>
  <si>
    <t>26.667.467</t>
  </si>
  <si>
    <t>26.667.467,38</t>
  </si>
  <si>
    <t>US0079031078</t>
  </si>
  <si>
    <t>HUM</t>
  </si>
  <si>
    <t>HUMANA INC</t>
  </si>
  <si>
    <t>364,12</t>
  </si>
  <si>
    <t>26.538.522</t>
  </si>
  <si>
    <t>26.538.522,08</t>
  </si>
  <si>
    <t>US4448591028</t>
  </si>
  <si>
    <t>EMR</t>
  </si>
  <si>
    <t>EMERSON ELECTRIC</t>
  </si>
  <si>
    <t>76,94</t>
  </si>
  <si>
    <t>26.427.659</t>
  </si>
  <si>
    <t>26.427.658,96</t>
  </si>
  <si>
    <t>US2910111044</t>
  </si>
  <si>
    <t>SAF</t>
  </si>
  <si>
    <t>SAFRAN SA</t>
  </si>
  <si>
    <t>153,92</t>
  </si>
  <si>
    <t>26.405.777</t>
  </si>
  <si>
    <t>26.405.776,58</t>
  </si>
  <si>
    <t>FR0000073272</t>
  </si>
  <si>
    <t>KMB</t>
  </si>
  <si>
    <t>KIMBERLY CLARK CORP</t>
  </si>
  <si>
    <t>140,23</t>
  </si>
  <si>
    <t>26.284.711</t>
  </si>
  <si>
    <t>26.284.711,20</t>
  </si>
  <si>
    <t>US4943681035</t>
  </si>
  <si>
    <t>SUMITOMO MITSUI FINANCIAL GROUP IN</t>
  </si>
  <si>
    <t>36,73</t>
  </si>
  <si>
    <t>26.150.050</t>
  </si>
  <si>
    <t>26.150.049,95</t>
  </si>
  <si>
    <t>JP3890350006</t>
  </si>
  <si>
    <t>APD</t>
  </si>
  <si>
    <t>AIR PRODUCTS AND CHEMICALS INC</t>
  </si>
  <si>
    <t>232,00</t>
  </si>
  <si>
    <t>26.126.448</t>
  </si>
  <si>
    <t>26.126.448,00</t>
  </si>
  <si>
    <t>US0091581068</t>
  </si>
  <si>
    <t>MUV2</t>
  </si>
  <si>
    <t>MUENCHENER RUECKVERSICHERUNGS-GESE</t>
  </si>
  <si>
    <t>297,62</t>
  </si>
  <si>
    <t>25.994.387</t>
  </si>
  <si>
    <t>25.994.387,37</t>
  </si>
  <si>
    <t>DE0008430026</t>
  </si>
  <si>
    <t>BMO</t>
  </si>
  <si>
    <t>BANK OF MONTREAL</t>
  </si>
  <si>
    <t>77,71</t>
  </si>
  <si>
    <t>25.923.159</t>
  </si>
  <si>
    <t>25.923.158,70</t>
  </si>
  <si>
    <t>CA0636711016</t>
  </si>
  <si>
    <t>ANZ</t>
  </si>
  <si>
    <t>AUSTRALIA AND NEW ZEALAND BANKING</t>
  </si>
  <si>
    <t>17,35</t>
  </si>
  <si>
    <t>1.492.968</t>
  </si>
  <si>
    <t>25.897.943</t>
  </si>
  <si>
    <t>25.897.942,60</t>
  </si>
  <si>
    <t>AU000000ANZ3</t>
  </si>
  <si>
    <t>INGA</t>
  </si>
  <si>
    <t>ING GROEP NV</t>
  </si>
  <si>
    <t>12,05</t>
  </si>
  <si>
    <t>2.141.084</t>
  </si>
  <si>
    <t>25.803.230</t>
  </si>
  <si>
    <t>25.803.229,72</t>
  </si>
  <si>
    <t>NL0011821202</t>
  </si>
  <si>
    <t>PSX</t>
  </si>
  <si>
    <t>PHILLIPS</t>
  </si>
  <si>
    <t>104,87</t>
  </si>
  <si>
    <t>25.556.609</t>
  </si>
  <si>
    <t>25.556.609,26</t>
  </si>
  <si>
    <t>US7185461040</t>
  </si>
  <si>
    <t>EW</t>
  </si>
  <si>
    <t>EDWARDS LIFESCIENCES CORP</t>
  </si>
  <si>
    <t>0,10</t>
  </si>
  <si>
    <t>232,84</t>
  </si>
  <si>
    <t>25.498.076</t>
  </si>
  <si>
    <t>25.498.075,56</t>
  </si>
  <si>
    <t>US28176E1082</t>
  </si>
  <si>
    <t>COF</t>
  </si>
  <si>
    <t>CAPITAL ONE FINANCIAL CORP</t>
  </si>
  <si>
    <t>101,55</t>
  </si>
  <si>
    <t>25.482.145</t>
  </si>
  <si>
    <t>25.482.144,60</t>
  </si>
  <si>
    <t>US14040H1059</t>
  </si>
  <si>
    <t>BHP GROUP PLC</t>
  </si>
  <si>
    <t>23,27</t>
  </si>
  <si>
    <t>1.086.968</t>
  </si>
  <si>
    <t>25.297.888</t>
  </si>
  <si>
    <t>25.297.887,80</t>
  </si>
  <si>
    <t>GB00BH0P3Z91</t>
  </si>
  <si>
    <t>LHX</t>
  </si>
  <si>
    <t>L3HARRIS TECHNOLOGIES INC</t>
  </si>
  <si>
    <t>210,37</t>
  </si>
  <si>
    <t>25.291.313</t>
  </si>
  <si>
    <t>25.291.312,51</t>
  </si>
  <si>
    <t>US5024311095</t>
  </si>
  <si>
    <t>ECL</t>
  </si>
  <si>
    <t>ECOLAB INC</t>
  </si>
  <si>
    <t>188,93</t>
  </si>
  <si>
    <t>25.217.432</t>
  </si>
  <si>
    <t>25.217.431,75</t>
  </si>
  <si>
    <t>US2788651006</t>
  </si>
  <si>
    <t>ABBN</t>
  </si>
  <si>
    <t>ABB LTD</t>
  </si>
  <si>
    <t>24,05</t>
  </si>
  <si>
    <t>1.042.115</t>
  </si>
  <si>
    <t>25.066.439</t>
  </si>
  <si>
    <t>25.066.439,40</t>
  </si>
  <si>
    <t>CH0012221716</t>
  </si>
  <si>
    <t>AEP</t>
  </si>
  <si>
    <t>AMERICAN ELECTRIC POWER INC</t>
  </si>
  <si>
    <t>94,34</t>
  </si>
  <si>
    <t>24.985.289</t>
  </si>
  <si>
    <t>24.985.288,62</t>
  </si>
  <si>
    <t>US0255371017</t>
  </si>
  <si>
    <t>GD</t>
  </si>
  <si>
    <t>GENERAL DYNAMICS CORP</t>
  </si>
  <si>
    <t>179,51</t>
  </si>
  <si>
    <t>24.918.142</t>
  </si>
  <si>
    <t>24.918.142,12</t>
  </si>
  <si>
    <t>US3695501086</t>
  </si>
  <si>
    <t>ATVI</t>
  </si>
  <si>
    <t>ACTIVISION BLIZZARD INC</t>
  </si>
  <si>
    <t>58,95</t>
  </si>
  <si>
    <t>24.601.132</t>
  </si>
  <si>
    <t>24.601.131,90</t>
  </si>
  <si>
    <t>US00507V1098</t>
  </si>
  <si>
    <t>LRCX</t>
  </si>
  <si>
    <t>LAM RESEARCH CORP</t>
  </si>
  <si>
    <t>294,34</t>
  </si>
  <si>
    <t>24.550.311</t>
  </si>
  <si>
    <t>24.550.310,72</t>
  </si>
  <si>
    <t>US5128071082</t>
  </si>
  <si>
    <t>ROST</t>
  </si>
  <si>
    <t>ROSS STORES INC</t>
  </si>
  <si>
    <t>120,72</t>
  </si>
  <si>
    <t>24.418.517</t>
  </si>
  <si>
    <t>24.418.517,28</t>
  </si>
  <si>
    <t>US7782961038</t>
  </si>
  <si>
    <t>EL</t>
  </si>
  <si>
    <t>ESSILORLUXOTTICA SA</t>
  </si>
  <si>
    <t>156,70</t>
  </si>
  <si>
    <t>24.342.929</t>
  </si>
  <si>
    <t>24.342.929,27</t>
  </si>
  <si>
    <t>FR0000121667</t>
  </si>
  <si>
    <t>SHOP</t>
  </si>
  <si>
    <t>SHOPIFY SUBORDINATE VOTING INC CLA</t>
  </si>
  <si>
    <t>429,76</t>
  </si>
  <si>
    <t>24.343.271</t>
  </si>
  <si>
    <t>24.343.270,58</t>
  </si>
  <si>
    <t>CA82509L1076</t>
  </si>
  <si>
    <t>SHW</t>
  </si>
  <si>
    <t>SHERWIN WILLIAMS</t>
  </si>
  <si>
    <t>567,09</t>
  </si>
  <si>
    <t>24.329.295</t>
  </si>
  <si>
    <t>24.329.295,18</t>
  </si>
  <si>
    <t>US8243481061</t>
  </si>
  <si>
    <t>HONDA MOTOR LTD</t>
  </si>
  <si>
    <t>27,93</t>
  </si>
  <si>
    <t>24.278.067</t>
  </si>
  <si>
    <t>24.278.066,81</t>
  </si>
  <si>
    <t>JP3854600008</t>
  </si>
  <si>
    <t>PHIA</t>
  </si>
  <si>
    <t>KONINKLIJKE PHILIPS NV</t>
  </si>
  <si>
    <t>49,38</t>
  </si>
  <si>
    <t>24.205.434</t>
  </si>
  <si>
    <t>24.205.434,18</t>
  </si>
  <si>
    <t>NL0000009538</t>
  </si>
  <si>
    <t>ESTEE LAUDER INC CLASS A</t>
  </si>
  <si>
    <t>211,62</t>
  </si>
  <si>
    <t>24.134.415</t>
  </si>
  <si>
    <t>24.134.414,52</t>
  </si>
  <si>
    <t>US5184391044</t>
  </si>
  <si>
    <t>DD</t>
  </si>
  <si>
    <t>DUPONT DE NEMOURS INC</t>
  </si>
  <si>
    <t>59,71</t>
  </si>
  <si>
    <t>24.108.569</t>
  </si>
  <si>
    <t>24.108.569,31</t>
  </si>
  <si>
    <t>US26614N1028</t>
  </si>
  <si>
    <t>AIG</t>
  </si>
  <si>
    <t>AMERICAN INTERNATIONAL GROUP INC</t>
  </si>
  <si>
    <t>52,03</t>
  </si>
  <si>
    <t>24.018.713</t>
  </si>
  <si>
    <t>24.018.712,96</t>
  </si>
  <si>
    <t>US0268747849</t>
  </si>
  <si>
    <t>NINTENDO LTD</t>
  </si>
  <si>
    <t>396,50</t>
  </si>
  <si>
    <t>24.018.482</t>
  </si>
  <si>
    <t>24.018.481,93</t>
  </si>
  <si>
    <t>JP3756600007</t>
  </si>
  <si>
    <t>ADI</t>
  </si>
  <si>
    <t>ANALOG DEVICES INC</t>
  </si>
  <si>
    <t>118,57</t>
  </si>
  <si>
    <t>23.949.006</t>
  </si>
  <si>
    <t>23.949.005,74</t>
  </si>
  <si>
    <t>US0326541051</t>
  </si>
  <si>
    <t>SRE</t>
  </si>
  <si>
    <t>SEMPRA ENERGY</t>
  </si>
  <si>
    <t>149,76</t>
  </si>
  <si>
    <t>23.867.401</t>
  </si>
  <si>
    <t>23.867.400,96</t>
  </si>
  <si>
    <t>US8168511090</t>
  </si>
  <si>
    <t>SPG</t>
  </si>
  <si>
    <t>SIMON PROPERTY GROUP REIT INC</t>
  </si>
  <si>
    <t>144,79</t>
  </si>
  <si>
    <t>23.695.173</t>
  </si>
  <si>
    <t>23.695.173,08</t>
  </si>
  <si>
    <t>US8288061091</t>
  </si>
  <si>
    <t>B01KM02</t>
  </si>
  <si>
    <t>EXC</t>
  </si>
  <si>
    <t>EXELON CORP</t>
  </si>
  <si>
    <t>46,26</t>
  </si>
  <si>
    <t>23.427.961</t>
  </si>
  <si>
    <t>23.427.960,66</t>
  </si>
  <si>
    <t>US30161N1019</t>
  </si>
  <si>
    <t>B01Y312</t>
  </si>
  <si>
    <t>MET</t>
  </si>
  <si>
    <t>METLIFE INC</t>
  </si>
  <si>
    <t>52,47</t>
  </si>
  <si>
    <t>23.292.745</t>
  </si>
  <si>
    <t>23.292.744,75</t>
  </si>
  <si>
    <t>US59156R1086</t>
  </si>
  <si>
    <t>B180B49</t>
  </si>
  <si>
    <t>BAX</t>
  </si>
  <si>
    <t>BAXTER INTERNATIONAL INC</t>
  </si>
  <si>
    <t>0,09</t>
  </si>
  <si>
    <t>85,90</t>
  </si>
  <si>
    <t>23.087.257</t>
  </si>
  <si>
    <t>23.087.257,10</t>
  </si>
  <si>
    <t>US0718131099</t>
  </si>
  <si>
    <t>B193HF0</t>
  </si>
  <si>
    <t>BK</t>
  </si>
  <si>
    <t>BANK OF NEW YORK MELLON CORP</t>
  </si>
  <si>
    <t>50,54</t>
  </si>
  <si>
    <t>22.973.109</t>
  </si>
  <si>
    <t>22.973.108,62</t>
  </si>
  <si>
    <t>US0640581007</t>
  </si>
  <si>
    <t>B19RB38</t>
  </si>
  <si>
    <t>DAIKIN INDUSTRIES LTD</t>
  </si>
  <si>
    <t>141,52</t>
  </si>
  <si>
    <t>22.749.299</t>
  </si>
  <si>
    <t>22.749.299,42</t>
  </si>
  <si>
    <t>JP3481800005</t>
  </si>
  <si>
    <t>B1B8WM5</t>
  </si>
  <si>
    <t>SHIN ETSU CHEMICAL LTD</t>
  </si>
  <si>
    <t>109,16</t>
  </si>
  <si>
    <t>22.723.236</t>
  </si>
  <si>
    <t>22.723.235,85</t>
  </si>
  <si>
    <t>JP3371200001</t>
  </si>
  <si>
    <t>B1G2JY3</t>
  </si>
  <si>
    <t>HCA</t>
  </si>
  <si>
    <t>HCA HEALTHCARE INC</t>
  </si>
  <si>
    <t>148,14</t>
  </si>
  <si>
    <t>22.616.534</t>
  </si>
  <si>
    <t>22.616.533,80</t>
  </si>
  <si>
    <t>US40412C1018</t>
  </si>
  <si>
    <t>B1GGYB7</t>
  </si>
  <si>
    <t>MCO</t>
  </si>
  <si>
    <t>MOODYS CORP</t>
  </si>
  <si>
    <t>248,03</t>
  </si>
  <si>
    <t>22.504.506</t>
  </si>
  <si>
    <t>22.504.505,99</t>
  </si>
  <si>
    <t>US6153691059</t>
  </si>
  <si>
    <t>B1H6P80</t>
  </si>
  <si>
    <t>GM</t>
  </si>
  <si>
    <t>GENERAL MOTORS</t>
  </si>
  <si>
    <t>34,65</t>
  </si>
  <si>
    <t>22.496.686</t>
  </si>
  <si>
    <t>22.496.685,75</t>
  </si>
  <si>
    <t>US37045V1008</t>
  </si>
  <si>
    <t>B1L37D6</t>
  </si>
  <si>
    <t>PGR</t>
  </si>
  <si>
    <t>PROGRESSIVE CORP</t>
  </si>
  <si>
    <t>73,70</t>
  </si>
  <si>
    <t>22.362.496</t>
  </si>
  <si>
    <t>22.362.496,20</t>
  </si>
  <si>
    <t>US7433151039</t>
  </si>
  <si>
    <t>B1LBS82</t>
  </si>
  <si>
    <t>VLO</t>
  </si>
  <si>
    <t>VALERO ENERGY CORP</t>
  </si>
  <si>
    <t>96,89</t>
  </si>
  <si>
    <t>22.263.869</t>
  </si>
  <si>
    <t>22.263.868,65</t>
  </si>
  <si>
    <t>US91913Y1001</t>
  </si>
  <si>
    <t>B1P13B6</t>
  </si>
  <si>
    <t>ADSK</t>
  </si>
  <si>
    <t>AUTODESK INC</t>
  </si>
  <si>
    <t>192,36</t>
  </si>
  <si>
    <t>22.196.036</t>
  </si>
  <si>
    <t>22.196.035,68</t>
  </si>
  <si>
    <t>US0527691069</t>
  </si>
  <si>
    <t>B1SVWB6</t>
  </si>
  <si>
    <t>KMI</t>
  </si>
  <si>
    <t>KINDER MORGAN INC</t>
  </si>
  <si>
    <t>21,51</t>
  </si>
  <si>
    <t>1.031.359</t>
  </si>
  <si>
    <t>22.184.532</t>
  </si>
  <si>
    <t>22.184.532,09</t>
  </si>
  <si>
    <t>US49456B1017</t>
  </si>
  <si>
    <t>B1VXHG9</t>
  </si>
  <si>
    <t>WBA</t>
  </si>
  <si>
    <t>WALGREEN BOOTS ALLIANCE INC</t>
  </si>
  <si>
    <t>54,22</t>
  </si>
  <si>
    <t>22.060.058</t>
  </si>
  <si>
    <t>22.060.057,64</t>
  </si>
  <si>
    <t>US9314271084</t>
  </si>
  <si>
    <t>B1W9Z06</t>
  </si>
  <si>
    <t>SYY</t>
  </si>
  <si>
    <t>SYSCO CORP</t>
  </si>
  <si>
    <t>84,92</t>
  </si>
  <si>
    <t>22.031.984</t>
  </si>
  <si>
    <t>22.031.984,48</t>
  </si>
  <si>
    <t>US8718291078</t>
  </si>
  <si>
    <t>B1WLHY0</t>
  </si>
  <si>
    <t>OXY</t>
  </si>
  <si>
    <t>OCCIDENTAL PETROLEUM CORP</t>
  </si>
  <si>
    <t>45,90</t>
  </si>
  <si>
    <t>22.015.201</t>
  </si>
  <si>
    <t>22.015.200,60</t>
  </si>
  <si>
    <t>US6745991058</t>
  </si>
  <si>
    <t>B1WPGD4</t>
  </si>
  <si>
    <t>MFC</t>
  </si>
  <si>
    <t>MANULIFE FINANCIAL CORP</t>
  </si>
  <si>
    <t>21,17</t>
  </si>
  <si>
    <t>1.036.856</t>
  </si>
  <si>
    <t>21.950.221</t>
  </si>
  <si>
    <t>21.950.221,26</t>
  </si>
  <si>
    <t>CA56501R1064</t>
  </si>
  <si>
    <t>B232Y04</t>
  </si>
  <si>
    <t>NG.</t>
  </si>
  <si>
    <t>NATIONAL GRID PLC</t>
  </si>
  <si>
    <t>12,21</t>
  </si>
  <si>
    <t>1.795.368</t>
  </si>
  <si>
    <t>21.924.258</t>
  </si>
  <si>
    <t>21.924.257,52</t>
  </si>
  <si>
    <t>GB00BDR05C01</t>
  </si>
  <si>
    <t>B232ZB2</t>
  </si>
  <si>
    <t>MAR</t>
  </si>
  <si>
    <t>MARRIOTT INTERNATIONAL INC CLASS A</t>
  </si>
  <si>
    <t>145,39</t>
  </si>
  <si>
    <t>21.875.525</t>
  </si>
  <si>
    <t>21.875.524,79</t>
  </si>
  <si>
    <t>US5719032022</t>
  </si>
  <si>
    <t>B23D6F6</t>
  </si>
  <si>
    <t>MPC</t>
  </si>
  <si>
    <t>MARATHON PETROLEUM CORP</t>
  </si>
  <si>
    <t>60,22</t>
  </si>
  <si>
    <t>21.852.272</t>
  </si>
  <si>
    <t>21.852.272,28</t>
  </si>
  <si>
    <t>US56585A1025</t>
  </si>
  <si>
    <t>B249NZ2</t>
  </si>
  <si>
    <t>NXPI</t>
  </si>
  <si>
    <t>NXP SEMICONDUCTORS NV</t>
  </si>
  <si>
    <t>129,64</t>
  </si>
  <si>
    <t>21.786.521</t>
  </si>
  <si>
    <t>21.786.520,56</t>
  </si>
  <si>
    <t>NL0009538784</t>
  </si>
  <si>
    <t>B24G126</t>
  </si>
  <si>
    <t>CFR</t>
  </si>
  <si>
    <t>COMPAGNIE FINANCIERE RICHEMONT SA</t>
  </si>
  <si>
    <t>78,09</t>
  </si>
  <si>
    <t>21.775.630</t>
  </si>
  <si>
    <t>21.775.630,11</t>
  </si>
  <si>
    <t>CH0210483332</t>
  </si>
  <si>
    <t>B281JM3</t>
  </si>
  <si>
    <t>AFL</t>
  </si>
  <si>
    <t>AFLAC INC</t>
  </si>
  <si>
    <t>52,07</t>
  </si>
  <si>
    <t>21.437.219</t>
  </si>
  <si>
    <t>21.437.219,00</t>
  </si>
  <si>
    <t>US0010551028</t>
  </si>
  <si>
    <t>B28SLD9</t>
  </si>
  <si>
    <t>KAO CORP</t>
  </si>
  <si>
    <t>83,83</t>
  </si>
  <si>
    <t>21.352.549</t>
  </si>
  <si>
    <t>21.352.548,52</t>
  </si>
  <si>
    <t>JP3205800000</t>
  </si>
  <si>
    <t>B292YZ3</t>
  </si>
  <si>
    <t>HITACHI LTD</t>
  </si>
  <si>
    <t>41,66</t>
  </si>
  <si>
    <t>21.325.994</t>
  </si>
  <si>
    <t>21.325.994,01</t>
  </si>
  <si>
    <t>JP3788600009</t>
  </si>
  <si>
    <t>B29PXW2</t>
  </si>
  <si>
    <t>CPG</t>
  </si>
  <si>
    <t>COMPASS GROUP PLC</t>
  </si>
  <si>
    <t>24,98</t>
  </si>
  <si>
    <t>21.305.985</t>
  </si>
  <si>
    <t>21.305.985,30</t>
  </si>
  <si>
    <t>GB00BD6K4575</t>
  </si>
  <si>
    <t>B29VXG4</t>
  </si>
  <si>
    <t>ALL</t>
  </si>
  <si>
    <t>ALLSTATE CORP</t>
  </si>
  <si>
    <t>113,45</t>
  </si>
  <si>
    <t>21.188.603</t>
  </si>
  <si>
    <t>21.188.602,70</t>
  </si>
  <si>
    <t>US0200021014</t>
  </si>
  <si>
    <t>B29WFR2</t>
  </si>
  <si>
    <t>DOLLAR GENERAL CORP</t>
  </si>
  <si>
    <t>153,22</t>
  </si>
  <si>
    <t>20.871.169</t>
  </si>
  <si>
    <t>20.871.168,74</t>
  </si>
  <si>
    <t>US2566771059</t>
  </si>
  <si>
    <t>B2NBQM7</t>
  </si>
  <si>
    <t>ISP</t>
  </si>
  <si>
    <t>INTESA SANPAOLO</t>
  </si>
  <si>
    <t>2,62</t>
  </si>
  <si>
    <t>7.936.077</t>
  </si>
  <si>
    <t>20.788.172</t>
  </si>
  <si>
    <t>20.788.172,37</t>
  </si>
  <si>
    <t>IT0000072618</t>
  </si>
  <si>
    <t>B2PPPG4</t>
  </si>
  <si>
    <t>DOW</t>
  </si>
  <si>
    <t>DOW INC</t>
  </si>
  <si>
    <t>51,50</t>
  </si>
  <si>
    <t>20.778.602</t>
  </si>
  <si>
    <t>20.778.602,00</t>
  </si>
  <si>
    <t>US2605571031</t>
  </si>
  <si>
    <t>B2QZ4S8</t>
  </si>
  <si>
    <t>RI</t>
  </si>
  <si>
    <t>PERNOD RICARD SA</t>
  </si>
  <si>
    <t>0,08</t>
  </si>
  <si>
    <t>176,59</t>
  </si>
  <si>
    <t>20.617.293</t>
  </si>
  <si>
    <t>20.617.292,88</t>
  </si>
  <si>
    <t>FR0000120693</t>
  </si>
  <si>
    <t>B2R8334</t>
  </si>
  <si>
    <t>PRUDENTIAL FINANCIAL INC</t>
  </si>
  <si>
    <t>94,41</t>
  </si>
  <si>
    <t>20.609.231</t>
  </si>
  <si>
    <t>20.609.230,95</t>
  </si>
  <si>
    <t>US7443201022</t>
  </si>
  <si>
    <t>B3CPT84</t>
  </si>
  <si>
    <t>AMS</t>
  </si>
  <si>
    <t>AMADEUS IT GROUP SA</t>
  </si>
  <si>
    <t>82,37</t>
  </si>
  <si>
    <t>20.559.954</t>
  </si>
  <si>
    <t>20.559.954,33</t>
  </si>
  <si>
    <t>ES0109067019</t>
  </si>
  <si>
    <t>B3NBFQ1</t>
  </si>
  <si>
    <t>VOW3</t>
  </si>
  <si>
    <t>VOLKSWAGEN NON-VOTING PREF AG</t>
  </si>
  <si>
    <t>206,18</t>
  </si>
  <si>
    <t>20.528.284</t>
  </si>
  <si>
    <t>20.528.284,10</t>
  </si>
  <si>
    <t>DE0007664039</t>
  </si>
  <si>
    <t>B3QMQ68</t>
  </si>
  <si>
    <t>ETN</t>
  </si>
  <si>
    <t>EATON PLC</t>
  </si>
  <si>
    <t>94,98</t>
  </si>
  <si>
    <t>20.511.501</t>
  </si>
  <si>
    <t>20.511.500,88</t>
  </si>
  <si>
    <t>IE00B8KQN827</t>
  </si>
  <si>
    <t>B3V4ND5</t>
  </si>
  <si>
    <t>BX</t>
  </si>
  <si>
    <t>BLACKSTONE GROUP INC CLASS A</t>
  </si>
  <si>
    <t>57,72</t>
  </si>
  <si>
    <t>20.496.026</t>
  </si>
  <si>
    <t>20.496.025,68</t>
  </si>
  <si>
    <t>US09260D1072</t>
  </si>
  <si>
    <t>B3WTV80</t>
  </si>
  <si>
    <t>BBVA</t>
  </si>
  <si>
    <t>BANCO BILBAO VIZCAYA ARGENTARIA SA</t>
  </si>
  <si>
    <t>5,55</t>
  </si>
  <si>
    <t>3.681.548</t>
  </si>
  <si>
    <t>20.445.167</t>
  </si>
  <si>
    <t>20.445.167,38</t>
  </si>
  <si>
    <t>ES0113211835</t>
  </si>
  <si>
    <t>B3WXMX4</t>
  </si>
  <si>
    <t>ENI</t>
  </si>
  <si>
    <t>15,67</t>
  </si>
  <si>
    <t>1.302.467</t>
  </si>
  <si>
    <t>20.409.703</t>
  </si>
  <si>
    <t>20.409.703,48</t>
  </si>
  <si>
    <t>IT0003132476</t>
  </si>
  <si>
    <t>B3Y2110</t>
  </si>
  <si>
    <t>BARC</t>
  </si>
  <si>
    <t>BARCLAYS PLC</t>
  </si>
  <si>
    <t>2,36</t>
  </si>
  <si>
    <t>8.612.600</t>
  </si>
  <si>
    <t>20.359.760</t>
  </si>
  <si>
    <t>20.359.760,08</t>
  </si>
  <si>
    <t>GB0031348658</t>
  </si>
  <si>
    <t>B3Y6LV2</t>
  </si>
  <si>
    <t>PRX</t>
  </si>
  <si>
    <t>PROSUS NV</t>
  </si>
  <si>
    <t>80,08</t>
  </si>
  <si>
    <t>20.353.238</t>
  </si>
  <si>
    <t>20.353.238,27</t>
  </si>
  <si>
    <t>NL0013654783</t>
  </si>
  <si>
    <t>B42G7J1</t>
  </si>
  <si>
    <t>CNQ</t>
  </si>
  <si>
    <t>CANADIAN NATURAL RESOURCES LTD</t>
  </si>
  <si>
    <t>31,71</t>
  </si>
  <si>
    <t>20.304.021</t>
  </si>
  <si>
    <t>20.304.021,28</t>
  </si>
  <si>
    <t>CA1363851017</t>
  </si>
  <si>
    <t>B450X03</t>
  </si>
  <si>
    <t>MIZUHO FINANCIAL GROUP INC</t>
  </si>
  <si>
    <t>1,53</t>
  </si>
  <si>
    <t>13.296.353</t>
  </si>
  <si>
    <t>20.291.623</t>
  </si>
  <si>
    <t>20.291.623,05</t>
  </si>
  <si>
    <t>JP3885780001</t>
  </si>
  <si>
    <t>B466322</t>
  </si>
  <si>
    <t>GLEN</t>
  </si>
  <si>
    <t>GLENCORE PLC</t>
  </si>
  <si>
    <t>3,14</t>
  </si>
  <si>
    <t>6.460.864</t>
  </si>
  <si>
    <t>20.268.584</t>
  </si>
  <si>
    <t>20.268.583,85</t>
  </si>
  <si>
    <t>JE00B4T3BW64</t>
  </si>
  <si>
    <t>B4KPYX3</t>
  </si>
  <si>
    <t>MITSUBISHI CORP</t>
  </si>
  <si>
    <t>26,44</t>
  </si>
  <si>
    <t>20.261.760</t>
  </si>
  <si>
    <t>20.261.759,73</t>
  </si>
  <si>
    <t>JP3898400001</t>
  </si>
  <si>
    <t>B4L9T62</t>
  </si>
  <si>
    <t>HOYA CORP</t>
  </si>
  <si>
    <t>97,21</t>
  </si>
  <si>
    <t>20.162.970</t>
  </si>
  <si>
    <t>20.162.969,61</t>
  </si>
  <si>
    <t>JP3837800006</t>
  </si>
  <si>
    <t>B4TH690</t>
  </si>
  <si>
    <t>FDX</t>
  </si>
  <si>
    <t>FEDEX CORP</t>
  </si>
  <si>
    <t>156,63</t>
  </si>
  <si>
    <t>20.143.088</t>
  </si>
  <si>
    <t>20.143.087,89</t>
  </si>
  <si>
    <t>US31428X1063</t>
  </si>
  <si>
    <t>B4THGF6</t>
  </si>
  <si>
    <t>NTT DOCOMO INC</t>
  </si>
  <si>
    <t>28,06</t>
  </si>
  <si>
    <t>20.108.943</t>
  </si>
  <si>
    <t>20.108.943,04</t>
  </si>
  <si>
    <t>JP3165650007</t>
  </si>
  <si>
    <t>B4XRMZ4</t>
  </si>
  <si>
    <t>WOW</t>
  </si>
  <si>
    <t>WOOLWORTHS GROUP LTD</t>
  </si>
  <si>
    <t>26,12</t>
  </si>
  <si>
    <t>19.924.224</t>
  </si>
  <si>
    <t>19.924.224,32</t>
  </si>
  <si>
    <t>AU000000WOW2</t>
  </si>
  <si>
    <t>B53SCQ5</t>
  </si>
  <si>
    <t>TRV</t>
  </si>
  <si>
    <t>TRAVELERS COMPANIES INC</t>
  </si>
  <si>
    <t>135,51</t>
  </si>
  <si>
    <t>19.827.823</t>
  </si>
  <si>
    <t>19.827.823,20</t>
  </si>
  <si>
    <t>US89417E1091</t>
  </si>
  <si>
    <t>B55JM22</t>
  </si>
  <si>
    <t>TOKYO ELECTRON LTD</t>
  </si>
  <si>
    <t>226,73</t>
  </si>
  <si>
    <t>19.720.548</t>
  </si>
  <si>
    <t>19.720.547,65</t>
  </si>
  <si>
    <t>JP3571400005</t>
  </si>
  <si>
    <t>B58R0Z2</t>
  </si>
  <si>
    <t>DPW</t>
  </si>
  <si>
    <t>DEUTSCHE POST AG</t>
  </si>
  <si>
    <t>37,84</t>
  </si>
  <si>
    <t>19.619.363</t>
  </si>
  <si>
    <t>19.619.362,92</t>
  </si>
  <si>
    <t>DE0005552004</t>
  </si>
  <si>
    <t>B59FKK0</t>
  </si>
  <si>
    <t>MURATA MANUFACTURING LTD</t>
  </si>
  <si>
    <t>62,83</t>
  </si>
  <si>
    <t>19.579.941</t>
  </si>
  <si>
    <t>19.579.940,78</t>
  </si>
  <si>
    <t>JP3914400001</t>
  </si>
  <si>
    <t>B59QNS2</t>
  </si>
  <si>
    <t>ITX</t>
  </si>
  <si>
    <t>INDUSTRIA DE DISENO TEXTIL INDITEX</t>
  </si>
  <si>
    <t>35,09</t>
  </si>
  <si>
    <t>19.554.382</t>
  </si>
  <si>
    <t>19.554.381,80</t>
  </si>
  <si>
    <t>ES0148396007</t>
  </si>
  <si>
    <t>B61VK25</t>
  </si>
  <si>
    <t>TOKIO MARINE HOLDINGS INC</t>
  </si>
  <si>
    <t>55,15</t>
  </si>
  <si>
    <t>19.438.078</t>
  </si>
  <si>
    <t>19.438.077,98</t>
  </si>
  <si>
    <t>JP3910660004</t>
  </si>
  <si>
    <t>B620Y41</t>
  </si>
  <si>
    <t>NEM</t>
  </si>
  <si>
    <t>NEWMONT</t>
  </si>
  <si>
    <t>42,27</t>
  </si>
  <si>
    <t>19.351.164</t>
  </si>
  <si>
    <t>19.351.163,73</t>
  </si>
  <si>
    <t>US6516391066</t>
  </si>
  <si>
    <t>B684TD1</t>
  </si>
  <si>
    <t>CM</t>
  </si>
  <si>
    <t>CANADIAN IMPERIAL BANK OF COMMERCE</t>
  </si>
  <si>
    <t>82,59</t>
  </si>
  <si>
    <t>19.319.694</t>
  </si>
  <si>
    <t>19.319.694,38</t>
  </si>
  <si>
    <t>CA1360691010</t>
  </si>
  <si>
    <t>B6Y7DS7</t>
  </si>
  <si>
    <t>DAIICHI SANKYO LTD</t>
  </si>
  <si>
    <t>65,50</t>
  </si>
  <si>
    <t>19.306.099</t>
  </si>
  <si>
    <t>19.306.099,23</t>
  </si>
  <si>
    <t>JP3475350009</t>
  </si>
  <si>
    <t>B75FVJ4</t>
  </si>
  <si>
    <t>CSGN</t>
  </si>
  <si>
    <t>CREDIT SUISSE GROUP AG</t>
  </si>
  <si>
    <t>13,85</t>
  </si>
  <si>
    <t>1.385.726</t>
  </si>
  <si>
    <t>19.192.999</t>
  </si>
  <si>
    <t>19.192.999,21</t>
  </si>
  <si>
    <t>CH0012138530</t>
  </si>
  <si>
    <t>B7D5Y75</t>
  </si>
  <si>
    <t>ROP</t>
  </si>
  <si>
    <t>ROPER TECHNOLOGIES INC</t>
  </si>
  <si>
    <t>370,35</t>
  </si>
  <si>
    <t>18.634.531</t>
  </si>
  <si>
    <t>18.634.530,60</t>
  </si>
  <si>
    <t>US7766961061</t>
  </si>
  <si>
    <t>B819M05</t>
  </si>
  <si>
    <t>FANUC CORP</t>
  </si>
  <si>
    <t>188,66</t>
  </si>
  <si>
    <t>18.593.001</t>
  </si>
  <si>
    <t>18.593.000,82</t>
  </si>
  <si>
    <t>JP3802400006</t>
  </si>
  <si>
    <t>ORLY</t>
  </si>
  <si>
    <t>OREILLY AUTOMOTIVE INC</t>
  </si>
  <si>
    <t>436,85</t>
  </si>
  <si>
    <t>18.573.551</t>
  </si>
  <si>
    <t>18.573.551,45</t>
  </si>
  <si>
    <t>US67103H1077</t>
  </si>
  <si>
    <t>B2R9WZ2</t>
  </si>
  <si>
    <t>CP</t>
  </si>
  <si>
    <t>CANADIAN PACIFIC RAILWAY LTD</t>
  </si>
  <si>
    <t>258,44</t>
  </si>
  <si>
    <t>18.458.398</t>
  </si>
  <si>
    <t>18.458.397,81</t>
  </si>
  <si>
    <t>CA13645T1003</t>
  </si>
  <si>
    <t>IR</t>
  </si>
  <si>
    <t>INGERSOLL RAND PLC</t>
  </si>
  <si>
    <t>131,18</t>
  </si>
  <si>
    <t>18.410.588</t>
  </si>
  <si>
    <t>18.410.588,28</t>
  </si>
  <si>
    <t>IE00B6330302</t>
  </si>
  <si>
    <t>SREN</t>
  </si>
  <si>
    <t>SWISS RE AG</t>
  </si>
  <si>
    <t>110,76</t>
  </si>
  <si>
    <t>18.309.109</t>
  </si>
  <si>
    <t>18.309.108,66</t>
  </si>
  <si>
    <t>CH0126881561</t>
  </si>
  <si>
    <t>TEL</t>
  </si>
  <si>
    <t>TE CONNECTIVITY LTD</t>
  </si>
  <si>
    <t>98,07</t>
  </si>
  <si>
    <t>18.300.843</t>
  </si>
  <si>
    <t>18.300.842,70</t>
  </si>
  <si>
    <t>CH0102993182</t>
  </si>
  <si>
    <t>HONG KONG EXCHANGES AND CLEARING L</t>
  </si>
  <si>
    <t>0,07</t>
  </si>
  <si>
    <t>35,41</t>
  </si>
  <si>
    <t>18.189.470</t>
  </si>
  <si>
    <t>18.189.469,58</t>
  </si>
  <si>
    <t>HK0388045442</t>
  </si>
  <si>
    <t>WELL</t>
  </si>
  <si>
    <t>WELLTOWER INC</t>
  </si>
  <si>
    <t>82,80</t>
  </si>
  <si>
    <t>18.160.855</t>
  </si>
  <si>
    <t>18.160.855,20</t>
  </si>
  <si>
    <t>US95040Q1040</t>
  </si>
  <si>
    <t>DB1</t>
  </si>
  <si>
    <t>DEUTSCHE BOERSE AG</t>
  </si>
  <si>
    <t>160,20</t>
  </si>
  <si>
    <t>18.116.181</t>
  </si>
  <si>
    <t>18.116.181,48</t>
  </si>
  <si>
    <t>DE0005810055</t>
  </si>
  <si>
    <t>B1G9126</t>
  </si>
  <si>
    <t>ITOCHU CORP</t>
  </si>
  <si>
    <t>23,50</t>
  </si>
  <si>
    <t>18.058.675</t>
  </si>
  <si>
    <t>18.058.674,69</t>
  </si>
  <si>
    <t>JP3143600009</t>
  </si>
  <si>
    <t>CTSH</t>
  </si>
  <si>
    <t>COGNIZANT TECHNOLOGY SOLUTIONS COR</t>
  </si>
  <si>
    <t>60,64</t>
  </si>
  <si>
    <t>18.056.409</t>
  </si>
  <si>
    <t>18.056.408,96</t>
  </si>
  <si>
    <t>US1924461023</t>
  </si>
  <si>
    <t>HPQ</t>
  </si>
  <si>
    <t>HP INC</t>
  </si>
  <si>
    <t>21,38</t>
  </si>
  <si>
    <t>17.974.957</t>
  </si>
  <si>
    <t>17.974.957,06</t>
  </si>
  <si>
    <t>US40434L1052</t>
  </si>
  <si>
    <t>STZ</t>
  </si>
  <si>
    <t>CONSTELLATION BRANDS INC CLASS A</t>
  </si>
  <si>
    <t>188,38</t>
  </si>
  <si>
    <t>17.831.109</t>
  </si>
  <si>
    <t>17.831.108,90</t>
  </si>
  <si>
    <t>US21036P1084</t>
  </si>
  <si>
    <t>EA</t>
  </si>
  <si>
    <t>ELECTRONIC ARTS INC</t>
  </si>
  <si>
    <t>108,59</t>
  </si>
  <si>
    <t>17.785.087</t>
  </si>
  <si>
    <t>17.785.087,38</t>
  </si>
  <si>
    <t>US2855121099</t>
  </si>
  <si>
    <t>PSA</t>
  </si>
  <si>
    <t>PUBLIC STORAGE REIT</t>
  </si>
  <si>
    <t>215,82</t>
  </si>
  <si>
    <t>17.681.485</t>
  </si>
  <si>
    <t>17.681.485,14</t>
  </si>
  <si>
    <t>US74460D1090</t>
  </si>
  <si>
    <t>B4VDZ44</t>
  </si>
  <si>
    <t>F</t>
  </si>
  <si>
    <t>FORD MOTOR CO</t>
  </si>
  <si>
    <t>9,25</t>
  </si>
  <si>
    <t>1.908.302</t>
  </si>
  <si>
    <t>17.651.794</t>
  </si>
  <si>
    <t>17.651.793,50</t>
  </si>
  <si>
    <t>US3453708600</t>
  </si>
  <si>
    <t>WES</t>
  </si>
  <si>
    <t>WESFARMERS LTD</t>
  </si>
  <si>
    <t>30,32</t>
  </si>
  <si>
    <t>17.431.906</t>
  </si>
  <si>
    <t>17.431.905,62</t>
  </si>
  <si>
    <t>AU000000WES1</t>
  </si>
  <si>
    <t>JCI</t>
  </si>
  <si>
    <t>JOHNSON CONTROLS INTERNATIONAL PLC</t>
  </si>
  <si>
    <t>40,98</t>
  </si>
  <si>
    <t>17.390.847</t>
  </si>
  <si>
    <t>17.390.846,52</t>
  </si>
  <si>
    <t>IE00BY7QL619</t>
  </si>
  <si>
    <t>B3SYJL8</t>
  </si>
  <si>
    <t>XEL</t>
  </si>
  <si>
    <t>XCEL ENERGY INC</t>
  </si>
  <si>
    <t>62,64</t>
  </si>
  <si>
    <t>17.332.237</t>
  </si>
  <si>
    <t>17.332.237,44</t>
  </si>
  <si>
    <t>US98389B1008</t>
  </si>
  <si>
    <t>B5V7S33</t>
  </si>
  <si>
    <t>MITSUI LTD</t>
  </si>
  <si>
    <t>17,99</t>
  </si>
  <si>
    <t>17.323.360</t>
  </si>
  <si>
    <t>17.323.359,60</t>
  </si>
  <si>
    <t>JP3893600001</t>
  </si>
  <si>
    <t>BDVHRJ8</t>
  </si>
  <si>
    <t>EAST JAPAN RAILWAY</t>
  </si>
  <si>
    <t>17.293.655</t>
  </si>
  <si>
    <t>17.293.655,02</t>
  </si>
  <si>
    <t>JP3783600004</t>
  </si>
  <si>
    <t>ASTELLAS PHARMA INC</t>
  </si>
  <si>
    <t>17,16</t>
  </si>
  <si>
    <t>1.007.600</t>
  </si>
  <si>
    <t>17.289.960</t>
  </si>
  <si>
    <t>17.289.959,84</t>
  </si>
  <si>
    <t>JP3942400007</t>
  </si>
  <si>
    <t>APH</t>
  </si>
  <si>
    <t>AMPHENOL CORP CLASS A</t>
  </si>
  <si>
    <t>108,32</t>
  </si>
  <si>
    <t>17.251.693</t>
  </si>
  <si>
    <t>17.251.693,12</t>
  </si>
  <si>
    <t>US0320951017</t>
  </si>
  <si>
    <t>B18TH93</t>
  </si>
  <si>
    <t>YUM</t>
  </si>
  <si>
    <t>YUM BRANDS INC</t>
  </si>
  <si>
    <t>101,69</t>
  </si>
  <si>
    <t>17.249.370</t>
  </si>
  <si>
    <t>17.249.369,63</t>
  </si>
  <si>
    <t>US9884981013</t>
  </si>
  <si>
    <t>TROW</t>
  </si>
  <si>
    <t>T ROWE PRICE GROUP INC</t>
  </si>
  <si>
    <t>127,46</t>
  </si>
  <si>
    <t>17.238.583</t>
  </si>
  <si>
    <t>17.238.582,62</t>
  </si>
  <si>
    <t>US74144T1088</t>
  </si>
  <si>
    <t>BJ0JR20</t>
  </si>
  <si>
    <t>NIDEC CORP</t>
  </si>
  <si>
    <t>140,79</t>
  </si>
  <si>
    <t>17.232.749</t>
  </si>
  <si>
    <t>17.232.749,18</t>
  </si>
  <si>
    <t>JP3734800000</t>
  </si>
  <si>
    <t>D05</t>
  </si>
  <si>
    <t>DBS GROUP HOLDINGS LTD</t>
  </si>
  <si>
    <t>19,28</t>
  </si>
  <si>
    <t>17.165.110</t>
  </si>
  <si>
    <t>17.165.109,76</t>
  </si>
  <si>
    <t>SG1L01001701</t>
  </si>
  <si>
    <t>Singapore Exchange</t>
  </si>
  <si>
    <t>Singapur</t>
  </si>
  <si>
    <t>SGD</t>
  </si>
  <si>
    <t>B2R0YF9</t>
  </si>
  <si>
    <t>NIPPON TELEGRAPH AND TELEPHONE COR</t>
  </si>
  <si>
    <t>25,45</t>
  </si>
  <si>
    <t>17.037.440</t>
  </si>
  <si>
    <t>17.037.439,76</t>
  </si>
  <si>
    <t>JP3735400008</t>
  </si>
  <si>
    <t>SEVEN &amp; I HOLDINGS LTD</t>
  </si>
  <si>
    <t>38,07</t>
  </si>
  <si>
    <t>17.006.533</t>
  </si>
  <si>
    <t>17.006.532,97</t>
  </si>
  <si>
    <t>JP3422950000</t>
  </si>
  <si>
    <t>PPG</t>
  </si>
  <si>
    <t>PPG INDUSTRIES INC</t>
  </si>
  <si>
    <t>128,09</t>
  </si>
  <si>
    <t>16.869.453</t>
  </si>
  <si>
    <t>16.869.453,00</t>
  </si>
  <si>
    <t>US6935061076</t>
  </si>
  <si>
    <t>MQG</t>
  </si>
  <si>
    <t>MACQUARIE GROUP LTD DEF</t>
  </si>
  <si>
    <t>96,92</t>
  </si>
  <si>
    <t>16.824.116</t>
  </si>
  <si>
    <t>16.824.115,83</t>
  </si>
  <si>
    <t>AU000000MQG1</t>
  </si>
  <si>
    <t>TEF</t>
  </si>
  <si>
    <t>TELEFONICA SA</t>
  </si>
  <si>
    <t>6,87</t>
  </si>
  <si>
    <t>2.449.255</t>
  </si>
  <si>
    <t>16.819.112</t>
  </si>
  <si>
    <t>16.819.111,60</t>
  </si>
  <si>
    <t>ES0178430E18</t>
  </si>
  <si>
    <t>GIS</t>
  </si>
  <si>
    <t>GENERAL MILLS INC</t>
  </si>
  <si>
    <t>52,25</t>
  </si>
  <si>
    <t>16.796.442</t>
  </si>
  <si>
    <t>16.796.441,75</t>
  </si>
  <si>
    <t>US3703341046</t>
  </si>
  <si>
    <t>CRG</t>
  </si>
  <si>
    <t>CRH PLC</t>
  </si>
  <si>
    <t>38,92</t>
  </si>
  <si>
    <t>16.723.077</t>
  </si>
  <si>
    <t>16.723.076,56</t>
  </si>
  <si>
    <t>IE0001827041</t>
  </si>
  <si>
    <t>Irish Stock Exchange - All Market</t>
  </si>
  <si>
    <t>NTR</t>
  </si>
  <si>
    <t>NUTRIEN LTD</t>
  </si>
  <si>
    <t>47,23</t>
  </si>
  <si>
    <t>16.717.161</t>
  </si>
  <si>
    <t>16.717.160,94</t>
  </si>
  <si>
    <t>CA67077M1086</t>
  </si>
  <si>
    <t>REGN</t>
  </si>
  <si>
    <t>REGENERON PHARMACEUTICALS INC</t>
  </si>
  <si>
    <t>381,41</t>
  </si>
  <si>
    <t>16.707.665</t>
  </si>
  <si>
    <t>16.707.665,05</t>
  </si>
  <si>
    <t>US75886F1075</t>
  </si>
  <si>
    <t>SHISEIDO LTD</t>
  </si>
  <si>
    <t>72,61</t>
  </si>
  <si>
    <t>16.579.814</t>
  </si>
  <si>
    <t>16.579.814,49</t>
  </si>
  <si>
    <t>JP3351600006</t>
  </si>
  <si>
    <t>FAST RETAILING LTD</t>
  </si>
  <si>
    <t>565,81</t>
  </si>
  <si>
    <t>16.552.733</t>
  </si>
  <si>
    <t>16.552.733,21</t>
  </si>
  <si>
    <t>JP3802300008</t>
  </si>
  <si>
    <t>PEG</t>
  </si>
  <si>
    <t>PUBLIC SERVICE ENTERPRISE GROUP IN</t>
  </si>
  <si>
    <t>58,30</t>
  </si>
  <si>
    <t>16.458.323</t>
  </si>
  <si>
    <t>16.458.323,20</t>
  </si>
  <si>
    <t>US7445731067</t>
  </si>
  <si>
    <t>INFO</t>
  </si>
  <si>
    <t>IHS MARKIT LTD</t>
  </si>
  <si>
    <t>78,26</t>
  </si>
  <si>
    <t>16.423.878</t>
  </si>
  <si>
    <t>16.423.878,38</t>
  </si>
  <si>
    <t>BMG475671050</t>
  </si>
  <si>
    <t>STT</t>
  </si>
  <si>
    <t>STATE STREET CORP</t>
  </si>
  <si>
    <t>81,69</t>
  </si>
  <si>
    <t>16.347.721</t>
  </si>
  <si>
    <t>16.347.721,11</t>
  </si>
  <si>
    <t>US8574771031</t>
  </si>
  <si>
    <t>VFC</t>
  </si>
  <si>
    <t>VF CORP</t>
  </si>
  <si>
    <t>95,06</t>
  </si>
  <si>
    <t>16.302.030</t>
  </si>
  <si>
    <t>16.302.029,52</t>
  </si>
  <si>
    <t>US9182041080</t>
  </si>
  <si>
    <t>TSCO</t>
  </si>
  <si>
    <t>TESCO PLC</t>
  </si>
  <si>
    <t>3,26</t>
  </si>
  <si>
    <t>4.997.974</t>
  </si>
  <si>
    <t>16.279.844</t>
  </si>
  <si>
    <t>16.279.844,23</t>
  </si>
  <si>
    <t>GB0008847096</t>
  </si>
  <si>
    <t>B01KLZ0</t>
  </si>
  <si>
    <t>HLT</t>
  </si>
  <si>
    <t>HILTON WORLDWIDE HOLDINGS INC</t>
  </si>
  <si>
    <t>108,60</t>
  </si>
  <si>
    <t>16.248.949</t>
  </si>
  <si>
    <t>16.248.949,20</t>
  </si>
  <si>
    <t>US43300A2033</t>
  </si>
  <si>
    <t>B07ZFV3</t>
  </si>
  <si>
    <t>MSI</t>
  </si>
  <si>
    <t>MOTOROLA SOLUTIONS INC</t>
  </si>
  <si>
    <t>167,30</t>
  </si>
  <si>
    <t>16.233.956</t>
  </si>
  <si>
    <t>16.233.955,50</t>
  </si>
  <si>
    <t>US6200763075</t>
  </si>
  <si>
    <t>B23GZT2</t>
  </si>
  <si>
    <t>AD</t>
  </si>
  <si>
    <t>KONINKLIJKE AHOLD DELHAIZE NV</t>
  </si>
  <si>
    <t>16.169.968</t>
  </si>
  <si>
    <t>16.169.968,05</t>
  </si>
  <si>
    <t>NL0011794037</t>
  </si>
  <si>
    <t>B23GZV4</t>
  </si>
  <si>
    <t>SBAC</t>
  </si>
  <si>
    <t>SBA COMMUNICATIONS REIT CORP CLASS</t>
  </si>
  <si>
    <t>244,83</t>
  </si>
  <si>
    <t>16.168.818</t>
  </si>
  <si>
    <t>16.168.818,03</t>
  </si>
  <si>
    <t>US78410G1040</t>
  </si>
  <si>
    <t>B3XCR35</t>
  </si>
  <si>
    <t>ENGI</t>
  </si>
  <si>
    <t>ENGIE SA</t>
  </si>
  <si>
    <t>16,40</t>
  </si>
  <si>
    <t>16.118.122</t>
  </si>
  <si>
    <t>16.118.121,51</t>
  </si>
  <si>
    <t>FR0010208488</t>
  </si>
  <si>
    <t>B3XG9M0</t>
  </si>
  <si>
    <t>EXPN</t>
  </si>
  <si>
    <t>EXPERIAN PLC</t>
  </si>
  <si>
    <t>33,55</t>
  </si>
  <si>
    <t>16.074.866</t>
  </si>
  <si>
    <t>16.074.865,92</t>
  </si>
  <si>
    <t>GB00B19NLV48</t>
  </si>
  <si>
    <t>B427D96</t>
  </si>
  <si>
    <t>EQR</t>
  </si>
  <si>
    <t>EQUITY RESIDENTIAL REIT</t>
  </si>
  <si>
    <t>81,26</t>
  </si>
  <si>
    <t>16.032.110</t>
  </si>
  <si>
    <t>16.032.110,44</t>
  </si>
  <si>
    <t>US29476L1070</t>
  </si>
  <si>
    <t>B4JQJR6</t>
  </si>
  <si>
    <t>IFX</t>
  </si>
  <si>
    <t>INFINEON TECHNOLOGIES AG</t>
  </si>
  <si>
    <t>23,81</t>
  </si>
  <si>
    <t>15.926.076</t>
  </si>
  <si>
    <t>15.926.075,57</t>
  </si>
  <si>
    <t>DE0006231004</t>
  </si>
  <si>
    <t>B51R1H8</t>
  </si>
  <si>
    <t>ATD.B</t>
  </si>
  <si>
    <t>ALIMENTATION COUCHE TARD SUB VOTIN</t>
  </si>
  <si>
    <t>33,14</t>
  </si>
  <si>
    <t>15.832.486</t>
  </si>
  <si>
    <t>15.832.485,73</t>
  </si>
  <si>
    <t>CA01626P4033</t>
  </si>
  <si>
    <t>B52JNH7</t>
  </si>
  <si>
    <t>CANON INC</t>
  </si>
  <si>
    <t>0,06</t>
  </si>
  <si>
    <t>15.748.666</t>
  </si>
  <si>
    <t>15.748.665,94</t>
  </si>
  <si>
    <t>JP3242800005</t>
  </si>
  <si>
    <t>B64QPN3</t>
  </si>
  <si>
    <t>CENTRAL JAPAN RAILWAY</t>
  </si>
  <si>
    <t>200,07</t>
  </si>
  <si>
    <t>15.717.736</t>
  </si>
  <si>
    <t>15.717.736,40</t>
  </si>
  <si>
    <t>JP3566800003</t>
  </si>
  <si>
    <t>LSE</t>
  </si>
  <si>
    <t>LONDON STOCK EXCHANGE GROUP PLC</t>
  </si>
  <si>
    <t>99,94</t>
  </si>
  <si>
    <t>15.698.510</t>
  </si>
  <si>
    <t>15.698.509,58</t>
  </si>
  <si>
    <t>GB00B0SWJX34</t>
  </si>
  <si>
    <t>VIV</t>
  </si>
  <si>
    <t>VIVENDI SA</t>
  </si>
  <si>
    <t>28,78</t>
  </si>
  <si>
    <t>15.688.988</t>
  </si>
  <si>
    <t>15.688.987,96</t>
  </si>
  <si>
    <t>FR0000127771</t>
  </si>
  <si>
    <t>B59WFS4</t>
  </si>
  <si>
    <t>AAL</t>
  </si>
  <si>
    <t>ANGLO AMERICAN PLC</t>
  </si>
  <si>
    <t>28,28</t>
  </si>
  <si>
    <t>15.550.405</t>
  </si>
  <si>
    <t>15.550.404,85</t>
  </si>
  <si>
    <t>GB00B1XZS820</t>
  </si>
  <si>
    <t>BJ3WDM8</t>
  </si>
  <si>
    <t>EBAY</t>
  </si>
  <si>
    <t>EBAY INC</t>
  </si>
  <si>
    <t>34,89</t>
  </si>
  <si>
    <t>15.545.554</t>
  </si>
  <si>
    <t>15.545.553,51</t>
  </si>
  <si>
    <t>US2786421030</t>
  </si>
  <si>
    <t>B8P39Z7</t>
  </si>
  <si>
    <t>TSN</t>
  </si>
  <si>
    <t>TYSON FOODS INC CLASS A</t>
  </si>
  <si>
    <t>91,92</t>
  </si>
  <si>
    <t>15.537.238</t>
  </si>
  <si>
    <t>15.537.237,60</t>
  </si>
  <si>
    <t>US9024941034</t>
  </si>
  <si>
    <t>BHB9338</t>
  </si>
  <si>
    <t>WDAY</t>
  </si>
  <si>
    <t>WORKDAY INC CLASS A</t>
  </si>
  <si>
    <t>180,11</t>
  </si>
  <si>
    <t>15.381.214</t>
  </si>
  <si>
    <t>15.381.213,89</t>
  </si>
  <si>
    <t>US98138H1014</t>
  </si>
  <si>
    <t>B52KSP3</t>
  </si>
  <si>
    <t>SLF</t>
  </si>
  <si>
    <t>SUN LIFE FINANCIAL INC</t>
  </si>
  <si>
    <t>47,98</t>
  </si>
  <si>
    <t>15.331.405</t>
  </si>
  <si>
    <t>15.331.404,56</t>
  </si>
  <si>
    <t>CA8667961053</t>
  </si>
  <si>
    <t>ZBH</t>
  </si>
  <si>
    <t>ZIMMER BIOMET HOLDINGS INC</t>
  </si>
  <si>
    <t>149,99</t>
  </si>
  <si>
    <t>15.330.328</t>
  </si>
  <si>
    <t>15.330.327,91</t>
  </si>
  <si>
    <t>US98956P1021</t>
  </si>
  <si>
    <t>B4RHV31</t>
  </si>
  <si>
    <t>TCL</t>
  </si>
  <si>
    <t>TRANSURBAN GROUP STAPLED UNITS</t>
  </si>
  <si>
    <t>10,64</t>
  </si>
  <si>
    <t>1.439.282</t>
  </si>
  <si>
    <t>15.315.940</t>
  </si>
  <si>
    <t>15.315.940,21</t>
  </si>
  <si>
    <t>AU000000TCL6</t>
  </si>
  <si>
    <t>BTG8044</t>
  </si>
  <si>
    <t>AVB</t>
  </si>
  <si>
    <t>AVALONBAY COMMUNITIES REIT INC</t>
  </si>
  <si>
    <t>208,45</t>
  </si>
  <si>
    <t>15.285.222</t>
  </si>
  <si>
    <t>15.285.221,60</t>
  </si>
  <si>
    <t>US0534841012</t>
  </si>
  <si>
    <t>BVV6QH2</t>
  </si>
  <si>
    <t>MITSUBISHI ELECTRIC CORP</t>
  </si>
  <si>
    <t>13,86</t>
  </si>
  <si>
    <t>1.101.311</t>
  </si>
  <si>
    <t>15.269.180</t>
  </si>
  <si>
    <t>15.269.180,44</t>
  </si>
  <si>
    <t>JP3902400005</t>
  </si>
  <si>
    <t>BW9LF13</t>
  </si>
  <si>
    <t>MCHP</t>
  </si>
  <si>
    <t>MICROCHIP TECHNOLOGY INC</t>
  </si>
  <si>
    <t>110,83</t>
  </si>
  <si>
    <t>15.253.533</t>
  </si>
  <si>
    <t>15.253.532,90</t>
  </si>
  <si>
    <t>US5950171042</t>
  </si>
  <si>
    <t>B3QDJB7</t>
  </si>
  <si>
    <t>STAN</t>
  </si>
  <si>
    <t>STANDARD CHARTERED PLC</t>
  </si>
  <si>
    <t>9,28</t>
  </si>
  <si>
    <t>1.643.286</t>
  </si>
  <si>
    <t>15.250.994</t>
  </si>
  <si>
    <t>15.250.994,41</t>
  </si>
  <si>
    <t>GB0004082847</t>
  </si>
  <si>
    <t>BVHFB90</t>
  </si>
  <si>
    <t>AZO</t>
  </si>
  <si>
    <t>AUTOZONE INC</t>
  </si>
  <si>
    <t>1.132,22</t>
  </si>
  <si>
    <t>15.167.219</t>
  </si>
  <si>
    <t>15.167.219,12</t>
  </si>
  <si>
    <t>US0533321024</t>
  </si>
  <si>
    <t>B1FPYN7</t>
  </si>
  <si>
    <t>ED</t>
  </si>
  <si>
    <t>CONSOLIDATED EDISON INC</t>
  </si>
  <si>
    <t>87,49</t>
  </si>
  <si>
    <t>15.020.021</t>
  </si>
  <si>
    <t>15.020.020,73</t>
  </si>
  <si>
    <t>US2091151041</t>
  </si>
  <si>
    <t>B4JWBN4</t>
  </si>
  <si>
    <t>ABX</t>
  </si>
  <si>
    <t>BARRICK GOLD CORP</t>
  </si>
  <si>
    <t>17,84</t>
  </si>
  <si>
    <t>15.010.277</t>
  </si>
  <si>
    <t>15.010.276,96</t>
  </si>
  <si>
    <t>CA0679011084</t>
  </si>
  <si>
    <t>BYL7784</t>
  </si>
  <si>
    <t>WMB</t>
  </si>
  <si>
    <t>WILLIAMS INC</t>
  </si>
  <si>
    <t>14.980.451</t>
  </si>
  <si>
    <t>14.980.451,00</t>
  </si>
  <si>
    <t>US9694571004</t>
  </si>
  <si>
    <t>BZ0HMX2</t>
  </si>
  <si>
    <t>WEC</t>
  </si>
  <si>
    <t>WEC ENERGY GROUP INC</t>
  </si>
  <si>
    <t>92,54</t>
  </si>
  <si>
    <t>14.965.291</t>
  </si>
  <si>
    <t>14.965.291,18</t>
  </si>
  <si>
    <t>US92939U1060</t>
  </si>
  <si>
    <t>B5LGPG2</t>
  </si>
  <si>
    <t>TDG</t>
  </si>
  <si>
    <t>TRANSDIGM GROUP INC</t>
  </si>
  <si>
    <t>595,47</t>
  </si>
  <si>
    <t>14.893.300</t>
  </si>
  <si>
    <t>14.893.300,17</t>
  </si>
  <si>
    <t>US8936411003</t>
  </si>
  <si>
    <t>B62Q4K5</t>
  </si>
  <si>
    <t>OKE</t>
  </si>
  <si>
    <t>ONEOK INC</t>
  </si>
  <si>
    <t>75,53</t>
  </si>
  <si>
    <t>14.856.600</t>
  </si>
  <si>
    <t>14.856.599,94</t>
  </si>
  <si>
    <t>US6826801036</t>
  </si>
  <si>
    <t>BTG8088</t>
  </si>
  <si>
    <t>A</t>
  </si>
  <si>
    <t>AGILENT TECHNOLOGIES INC</t>
  </si>
  <si>
    <t>87,59</t>
  </si>
  <si>
    <t>14.843.965</t>
  </si>
  <si>
    <t>14.843.964,89</t>
  </si>
  <si>
    <t>US00846U1016</t>
  </si>
  <si>
    <t>ORA</t>
  </si>
  <si>
    <t>ORANGE SA</t>
  </si>
  <si>
    <t>14,58</t>
  </si>
  <si>
    <t>1.013.285</t>
  </si>
  <si>
    <t>14.774.619</t>
  </si>
  <si>
    <t>14.774.619,42</t>
  </si>
  <si>
    <t>FR0000133308</t>
  </si>
  <si>
    <t>B4PF9Z5</t>
  </si>
  <si>
    <t>ADM</t>
  </si>
  <si>
    <t>ARCHER DANIELS MIDLAND</t>
  </si>
  <si>
    <t>43,95</t>
  </si>
  <si>
    <t>14.763.728</t>
  </si>
  <si>
    <t>14.763.727,95</t>
  </si>
  <si>
    <t>US0394831020</t>
  </si>
  <si>
    <t>B4VJ489</t>
  </si>
  <si>
    <t>WLTW</t>
  </si>
  <si>
    <t>WILLIS TOWERS WATSON PLC</t>
  </si>
  <si>
    <t>205,00</t>
  </si>
  <si>
    <t>14.761.230</t>
  </si>
  <si>
    <t>14.761.230,00</t>
  </si>
  <si>
    <t>IE00BDB6Q211</t>
  </si>
  <si>
    <t>B4W6RJ1</t>
  </si>
  <si>
    <t>BMW</t>
  </si>
  <si>
    <t>BMW AG</t>
  </si>
  <si>
    <t>82,87</t>
  </si>
  <si>
    <t>14.742.344</t>
  </si>
  <si>
    <t>14.742.343,70</t>
  </si>
  <si>
    <t>DE0005190003</t>
  </si>
  <si>
    <t>B64W832</t>
  </si>
  <si>
    <t>MELI</t>
  </si>
  <si>
    <t>MERCADOLIBRE INC</t>
  </si>
  <si>
    <t>669,48</t>
  </si>
  <si>
    <t>14.710.484</t>
  </si>
  <si>
    <t>14.710.484,04</t>
  </si>
  <si>
    <t>US58733R1023</t>
  </si>
  <si>
    <t>BYY36X7</t>
  </si>
  <si>
    <t>UCG</t>
  </si>
  <si>
    <t>UNICREDIT</t>
  </si>
  <si>
    <t>14,89</t>
  </si>
  <si>
    <t>14.674.010</t>
  </si>
  <si>
    <t>14.674.010,23</t>
  </si>
  <si>
    <t>IT0005239360</t>
  </si>
  <si>
    <t>BD2YFQ1</t>
  </si>
  <si>
    <t>LVS</t>
  </si>
  <si>
    <t>LAS VEGAS SANDS CORP</t>
  </si>
  <si>
    <t>70,91</t>
  </si>
  <si>
    <t>14.669.648</t>
  </si>
  <si>
    <t>14.669.648,07</t>
  </si>
  <si>
    <t>US5178341070</t>
  </si>
  <si>
    <t>B0766H9</t>
  </si>
  <si>
    <t>SMC (JAPAN) CORP</t>
  </si>
  <si>
    <t>484,85</t>
  </si>
  <si>
    <t>14.664.242</t>
  </si>
  <si>
    <t>14.664.242,42</t>
  </si>
  <si>
    <t>JP3162600005</t>
  </si>
  <si>
    <t>BYWKWP4</t>
  </si>
  <si>
    <t>ORIENTAL LAND LTD</t>
  </si>
  <si>
    <t>145,26</t>
  </si>
  <si>
    <t>14.613.445</t>
  </si>
  <si>
    <t>14.613.444,69</t>
  </si>
  <si>
    <t>JP3198900007</t>
  </si>
  <si>
    <t>MCK</t>
  </si>
  <si>
    <t>MCKESSON CORP</t>
  </si>
  <si>
    <t>143,81</t>
  </si>
  <si>
    <t>14.490.296</t>
  </si>
  <si>
    <t>14.490.295,60</t>
  </si>
  <si>
    <t>US58155Q1031</t>
  </si>
  <si>
    <t>B02FVZ4</t>
  </si>
  <si>
    <t>HEIA</t>
  </si>
  <si>
    <t>HEINEKEN NV</t>
  </si>
  <si>
    <t>108,89</t>
  </si>
  <si>
    <t>14.467.788</t>
  </si>
  <si>
    <t>14.467.788,44</t>
  </si>
  <si>
    <t>NL0000009165</t>
  </si>
  <si>
    <t>PXD</t>
  </si>
  <si>
    <t>PIONEER NATURAL RESOURCE</t>
  </si>
  <si>
    <t>149,40</t>
  </si>
  <si>
    <t>14.458.932</t>
  </si>
  <si>
    <t>14.458.932,00</t>
  </si>
  <si>
    <t>US7237871071</t>
  </si>
  <si>
    <t>BV86QQ4</t>
  </si>
  <si>
    <t>PCAR</t>
  </si>
  <si>
    <t>PACCAR INC</t>
  </si>
  <si>
    <t>77,81</t>
  </si>
  <si>
    <t>14.429.242</t>
  </si>
  <si>
    <t>14.429.242,02</t>
  </si>
  <si>
    <t>US6937181088</t>
  </si>
  <si>
    <t>BDC68B3</t>
  </si>
  <si>
    <t>BA.</t>
  </si>
  <si>
    <t>BAE SYSTEMS PLC</t>
  </si>
  <si>
    <t>7,74</t>
  </si>
  <si>
    <t>1.861.963</t>
  </si>
  <si>
    <t>14.415.810</t>
  </si>
  <si>
    <t>14.415.809,85</t>
  </si>
  <si>
    <t>GB0002634946</t>
  </si>
  <si>
    <t>SUN HUNG KAI PROPERTIES LTD</t>
  </si>
  <si>
    <t>15,32</t>
  </si>
  <si>
    <t>14.395.376</t>
  </si>
  <si>
    <t>14.395.375,55</t>
  </si>
  <si>
    <t>HK0016000132</t>
  </si>
  <si>
    <t>EIX</t>
  </si>
  <si>
    <t>EDISON INTERNATIONAL</t>
  </si>
  <si>
    <t>75,50</t>
  </si>
  <si>
    <t>14.386.450</t>
  </si>
  <si>
    <t>14.386.449,50</t>
  </si>
  <si>
    <t>US2810201077</t>
  </si>
  <si>
    <t>BZ8VFD7</t>
  </si>
  <si>
    <t>VNA</t>
  </si>
  <si>
    <t>VONOVIA SE</t>
  </si>
  <si>
    <t>54,39</t>
  </si>
  <si>
    <t>14.283.001</t>
  </si>
  <si>
    <t>14.283.000,90</t>
  </si>
  <si>
    <t>DE000A1ML7J1</t>
  </si>
  <si>
    <t>B4ZW310</t>
  </si>
  <si>
    <t>GLE</t>
  </si>
  <si>
    <t>SOCIETE GENERALE SA</t>
  </si>
  <si>
    <t>34,94</t>
  </si>
  <si>
    <t>14.273.056</t>
  </si>
  <si>
    <t>14.273.056,15</t>
  </si>
  <si>
    <t>FR0000130809</t>
  </si>
  <si>
    <t>GIVN</t>
  </si>
  <si>
    <t>GIVAUDAN SA</t>
  </si>
  <si>
    <t>3.093,76</t>
  </si>
  <si>
    <t>14.259.131</t>
  </si>
  <si>
    <t>14.259.130,75</t>
  </si>
  <si>
    <t>CH0010645932</t>
  </si>
  <si>
    <t>B1VYT77</t>
  </si>
  <si>
    <t>LONN</t>
  </si>
  <si>
    <t>LONZA GROUP AG</t>
  </si>
  <si>
    <t>365,68</t>
  </si>
  <si>
    <t>14.230.880</t>
  </si>
  <si>
    <t>14.230.880,45</t>
  </si>
  <si>
    <t>CH0013841017</t>
  </si>
  <si>
    <t>B28TM84</t>
  </si>
  <si>
    <t>TMUS</t>
  </si>
  <si>
    <t>T MOBILE US INC</t>
  </si>
  <si>
    <t>79,00</t>
  </si>
  <si>
    <t>14.206.412</t>
  </si>
  <si>
    <t>14.206.412,00</t>
  </si>
  <si>
    <t>US8725901040</t>
  </si>
  <si>
    <t>B29LC34</t>
  </si>
  <si>
    <t>DFS</t>
  </si>
  <si>
    <t>DISCOVER FINANCIAL SERVICES</t>
  </si>
  <si>
    <t>82,68</t>
  </si>
  <si>
    <t>14.139.355</t>
  </si>
  <si>
    <t>14.139.354,84</t>
  </si>
  <si>
    <t>US2547091080</t>
  </si>
  <si>
    <t>B3P1NF4</t>
  </si>
  <si>
    <t>CMI</t>
  </si>
  <si>
    <t>CUMMINS INC</t>
  </si>
  <si>
    <t>171,43</t>
  </si>
  <si>
    <t>13.998.974</t>
  </si>
  <si>
    <t>13.998.973,80</t>
  </si>
  <si>
    <t>US2310211063</t>
  </si>
  <si>
    <t>B3TZB92</t>
  </si>
  <si>
    <t>PH</t>
  </si>
  <si>
    <t>PARKER-HANNIFIN CORP</t>
  </si>
  <si>
    <t>205,31</t>
  </si>
  <si>
    <t>13.998.446</t>
  </si>
  <si>
    <t>13.998.446,42</t>
  </si>
  <si>
    <t>US7010941042</t>
  </si>
  <si>
    <t>B3Y6VL2</t>
  </si>
  <si>
    <t>JAPAN TOBACCO INC</t>
  </si>
  <si>
    <t>22,05</t>
  </si>
  <si>
    <t>13.997.774</t>
  </si>
  <si>
    <t>13.997.774,00</t>
  </si>
  <si>
    <t>JP3726800000</t>
  </si>
  <si>
    <t>B44DPG3</t>
  </si>
  <si>
    <t>PPL</t>
  </si>
  <si>
    <t>PPL CORP</t>
  </si>
  <si>
    <t>35,44</t>
  </si>
  <si>
    <t>13.785.947</t>
  </si>
  <si>
    <t>13.785.947,36</t>
  </si>
  <si>
    <t>US69351T1060</t>
  </si>
  <si>
    <t>B4NZPZ9</t>
  </si>
  <si>
    <t>CNC</t>
  </si>
  <si>
    <t>CENTENE CORP</t>
  </si>
  <si>
    <t>64,48</t>
  </si>
  <si>
    <t>13.774.991</t>
  </si>
  <si>
    <t>13.774.991,36</t>
  </si>
  <si>
    <t>US15135B1017</t>
  </si>
  <si>
    <t>B4R3NW2</t>
  </si>
  <si>
    <t>ES</t>
  </si>
  <si>
    <t>EVERSOURCE ENERGY</t>
  </si>
  <si>
    <t>84,41</t>
  </si>
  <si>
    <t>13.764.908</t>
  </si>
  <si>
    <t>13.764.907,52</t>
  </si>
  <si>
    <t>US30040W1080</t>
  </si>
  <si>
    <t>B84Y5D1</t>
  </si>
  <si>
    <t>IQV</t>
  </si>
  <si>
    <t>IQVIA HOLDINGS INC</t>
  </si>
  <si>
    <t>159,30</t>
  </si>
  <si>
    <t>13.733.412</t>
  </si>
  <si>
    <t>13.733.412,30</t>
  </si>
  <si>
    <t>US46266C1053</t>
  </si>
  <si>
    <t>BD1FTB8</t>
  </si>
  <si>
    <t>LHN</t>
  </si>
  <si>
    <t>LAFARGEHOLCIM LTD</t>
  </si>
  <si>
    <t>54,09</t>
  </si>
  <si>
    <t>13.703.654</t>
  </si>
  <si>
    <t>13.703.653,70</t>
  </si>
  <si>
    <t>CH0012214059</t>
  </si>
  <si>
    <t>BYQ83C8</t>
  </si>
  <si>
    <t>PAYX</t>
  </si>
  <si>
    <t>PAYCHEX INC</t>
  </si>
  <si>
    <t>85,27</t>
  </si>
  <si>
    <t>13.694.277</t>
  </si>
  <si>
    <t>13.694.276,73</t>
  </si>
  <si>
    <t>US7043261079</t>
  </si>
  <si>
    <t>B24DSB5</t>
  </si>
  <si>
    <t>PANW</t>
  </si>
  <si>
    <t>PALO ALTO NETWORKS INC</t>
  </si>
  <si>
    <t>237,87</t>
  </si>
  <si>
    <t>13.670.627</t>
  </si>
  <si>
    <t>13.670.626,77</t>
  </si>
  <si>
    <t>US6974351057</t>
  </si>
  <si>
    <t>BD5BP36</t>
  </si>
  <si>
    <t>CTAS</t>
  </si>
  <si>
    <t>CINTAS CORP</t>
  </si>
  <si>
    <t>278,84</t>
  </si>
  <si>
    <t>13.644.757</t>
  </si>
  <si>
    <t>13.644.756,56</t>
  </si>
  <si>
    <t>US1729081059</t>
  </si>
  <si>
    <t>BZHJNL6</t>
  </si>
  <si>
    <t>SIKA</t>
  </si>
  <si>
    <t>SIKA AG</t>
  </si>
  <si>
    <t>181,35</t>
  </si>
  <si>
    <t>13.593.719</t>
  </si>
  <si>
    <t>13.593.718,98</t>
  </si>
  <si>
    <t>CH0418792922</t>
  </si>
  <si>
    <t>BD3H4Q2</t>
  </si>
  <si>
    <t>MNST</t>
  </si>
  <si>
    <t>MONSTER BEVERAGE CORP</t>
  </si>
  <si>
    <t>65,34</t>
  </si>
  <si>
    <t>13.536.815</t>
  </si>
  <si>
    <t>13.536.814,50</t>
  </si>
  <si>
    <t>US61174X1090</t>
  </si>
  <si>
    <t>BD3NFF6</t>
  </si>
  <si>
    <t>ERIC B</t>
  </si>
  <si>
    <t>ERICSSON B</t>
  </si>
  <si>
    <t>8,65</t>
  </si>
  <si>
    <t>1.561.740</t>
  </si>
  <si>
    <t>13.511.492</t>
  </si>
  <si>
    <t>13.511.491,90</t>
  </si>
  <si>
    <t>SE0000108656</t>
  </si>
  <si>
    <t>Nasdaq Omx Nordic</t>
  </si>
  <si>
    <t>Schweden</t>
  </si>
  <si>
    <t>SEK</t>
  </si>
  <si>
    <t>BDGMHZ4</t>
  </si>
  <si>
    <t>ROK</t>
  </si>
  <si>
    <t>ROCKWELL AUTOMATION INC</t>
  </si>
  <si>
    <t>13.465.594</t>
  </si>
  <si>
    <t>13.465.594,13</t>
  </si>
  <si>
    <t>US7739031091</t>
  </si>
  <si>
    <t>KLAC</t>
  </si>
  <si>
    <t>KLA CORP</t>
  </si>
  <si>
    <t>0,05</t>
  </si>
  <si>
    <t>173,01</t>
  </si>
  <si>
    <t>13.368.137</t>
  </si>
  <si>
    <t>13.368.136,68</t>
  </si>
  <si>
    <t>US4824801009</t>
  </si>
  <si>
    <t>BD2Z4Y5</t>
  </si>
  <si>
    <t>CK HUTCHISON HOLDINGS LTD</t>
  </si>
  <si>
    <t>9,53</t>
  </si>
  <si>
    <t>1.401.040</t>
  </si>
  <si>
    <t>13.358.185</t>
  </si>
  <si>
    <t>13.358.185,04</t>
  </si>
  <si>
    <t>KYG217651051</t>
  </si>
  <si>
    <t>BYN0LB2</t>
  </si>
  <si>
    <t>ALC</t>
  </si>
  <si>
    <t>ALCON AG</t>
  </si>
  <si>
    <t>57,16</t>
  </si>
  <si>
    <t>13.332.109</t>
  </si>
  <si>
    <t>13.332.108,89</t>
  </si>
  <si>
    <t>CH0432492467</t>
  </si>
  <si>
    <t>BYVJP97</t>
  </si>
  <si>
    <t>NTRS</t>
  </si>
  <si>
    <t>NORTHERN TRUST CORP</t>
  </si>
  <si>
    <t>106,99</t>
  </si>
  <si>
    <t>13.283.878</t>
  </si>
  <si>
    <t>13.283.878,40</t>
  </si>
  <si>
    <t>US6658591044</t>
  </si>
  <si>
    <t>BZ3FFP6</t>
  </si>
  <si>
    <t>ASSA B</t>
  </si>
  <si>
    <t>ASSA ABLOY B</t>
  </si>
  <si>
    <t>23,36</t>
  </si>
  <si>
    <t>13.263.460</t>
  </si>
  <si>
    <t>13.263.460,39</t>
  </si>
  <si>
    <t>SE0007100581</t>
  </si>
  <si>
    <t>AMP</t>
  </si>
  <si>
    <t>AMERIPRISE FINANCE INC</t>
  </si>
  <si>
    <t>169,16</t>
  </si>
  <si>
    <t>13.213.088</t>
  </si>
  <si>
    <t>13.213.087,60</t>
  </si>
  <si>
    <t>US03076C1062</t>
  </si>
  <si>
    <t>B3FJ9X8</t>
  </si>
  <si>
    <t>WCN</t>
  </si>
  <si>
    <t>WASTE CONNECTIONS INC</t>
  </si>
  <si>
    <t>93,82</t>
  </si>
  <si>
    <t>13.201.037</t>
  </si>
  <si>
    <t>13.201.036,92</t>
  </si>
  <si>
    <t>CA94106B1013</t>
  </si>
  <si>
    <t>B1YQ5Q1</t>
  </si>
  <si>
    <t>MITSUI FUDOSAN LTD</t>
  </si>
  <si>
    <t>25,03</t>
  </si>
  <si>
    <t>13.194.086</t>
  </si>
  <si>
    <t>13.194.085,54</t>
  </si>
  <si>
    <t>JP3893200000</t>
  </si>
  <si>
    <t>B5B4NF1</t>
  </si>
  <si>
    <t>APTV</t>
  </si>
  <si>
    <t>APTIV PLC</t>
  </si>
  <si>
    <t>89,51</t>
  </si>
  <si>
    <t>13.181.243</t>
  </si>
  <si>
    <t>13.181.242,60</t>
  </si>
  <si>
    <t>JE00B783TY65</t>
  </si>
  <si>
    <t>TWTR</t>
  </si>
  <si>
    <t>TWITTER INC</t>
  </si>
  <si>
    <t>32,78</t>
  </si>
  <si>
    <t>13.175.397</t>
  </si>
  <si>
    <t>13.175.396,52</t>
  </si>
  <si>
    <t>US90184L1026</t>
  </si>
  <si>
    <t>LGEN</t>
  </si>
  <si>
    <t>LEGAL AND GENERAL GROUP PLC</t>
  </si>
  <si>
    <t>4,00</t>
  </si>
  <si>
    <t>3.293.369</t>
  </si>
  <si>
    <t>13.166.293</t>
  </si>
  <si>
    <t>13.166.293,33</t>
  </si>
  <si>
    <t>GB0005603997</t>
  </si>
  <si>
    <t>RMD</t>
  </si>
  <si>
    <t>RESMED INC</t>
  </si>
  <si>
    <t>156,89</t>
  </si>
  <si>
    <t>13.140.636</t>
  </si>
  <si>
    <t>13.140.635,73</t>
  </si>
  <si>
    <t>US7611521078</t>
  </si>
  <si>
    <t>KYOCERA CORP</t>
  </si>
  <si>
    <t>69,94</t>
  </si>
  <si>
    <t>13.129.357</t>
  </si>
  <si>
    <t>13.129.357,27</t>
  </si>
  <si>
    <t>JP3249600002</t>
  </si>
  <si>
    <t>FE</t>
  </si>
  <si>
    <t>FIRSTENERGY CORP</t>
  </si>
  <si>
    <t>47,64</t>
  </si>
  <si>
    <t>13.120.247</t>
  </si>
  <si>
    <t>13.120.246,56</t>
  </si>
  <si>
    <t>US3379321074</t>
  </si>
  <si>
    <t>CMG</t>
  </si>
  <si>
    <t>CHIPOTLE MEXICAN GRILL INC</t>
  </si>
  <si>
    <t>857,77</t>
  </si>
  <si>
    <t>13.118.734</t>
  </si>
  <si>
    <t>13.118.734,38</t>
  </si>
  <si>
    <t>US1696561059</t>
  </si>
  <si>
    <t>HIG</t>
  </si>
  <si>
    <t>HARTFORD FINANCIAL SERVICES GROUP</t>
  </si>
  <si>
    <t>59,76</t>
  </si>
  <si>
    <t>13.073.874</t>
  </si>
  <si>
    <t>13.073.874,48</t>
  </si>
  <si>
    <t>US4165151048</t>
  </si>
  <si>
    <t>U11</t>
  </si>
  <si>
    <t>UNITED OVERSEAS BANK LTD</t>
  </si>
  <si>
    <t>19,85</t>
  </si>
  <si>
    <t>13.064.391</t>
  </si>
  <si>
    <t>13.064.391,33</t>
  </si>
  <si>
    <t>SG1M31001969</t>
  </si>
  <si>
    <t>DSV</t>
  </si>
  <si>
    <t>DSV PANALPINA</t>
  </si>
  <si>
    <t>110,94</t>
  </si>
  <si>
    <t>13.052.545</t>
  </si>
  <si>
    <t>13.052.545,45</t>
  </si>
  <si>
    <t>DK0060079531</t>
  </si>
  <si>
    <t>RIO TINTO LTD</t>
  </si>
  <si>
    <t>70,73</t>
  </si>
  <si>
    <t>13.010.776</t>
  </si>
  <si>
    <t>13.010.776,20</t>
  </si>
  <si>
    <t>AU000000RIO1</t>
  </si>
  <si>
    <t>FLT</t>
  </si>
  <si>
    <t>FLEETCOR TECHNOLOGIES INC</t>
  </si>
  <si>
    <t>292,40</t>
  </si>
  <si>
    <t>13.002.736</t>
  </si>
  <si>
    <t>13.002.735,60</t>
  </si>
  <si>
    <t>US3390411052</t>
  </si>
  <si>
    <t>B01WHX6</t>
  </si>
  <si>
    <t>XLNX</t>
  </si>
  <si>
    <t>XILINX INC</t>
  </si>
  <si>
    <t>99,47</t>
  </si>
  <si>
    <t>12.980.537</t>
  </si>
  <si>
    <t>12.980.536,59</t>
  </si>
  <si>
    <t>US9839191015</t>
  </si>
  <si>
    <t>B2QQVG8</t>
  </si>
  <si>
    <t>BLL</t>
  </si>
  <si>
    <t>BALL CORP</t>
  </si>
  <si>
    <t>66,27</t>
  </si>
  <si>
    <t>12.968.973</t>
  </si>
  <si>
    <t>12.968.972,73</t>
  </si>
  <si>
    <t>US0584981064</t>
  </si>
  <si>
    <t>B39RLP4</t>
  </si>
  <si>
    <t>ATCO A</t>
  </si>
  <si>
    <t>ATLAS COPCO CLASS A</t>
  </si>
  <si>
    <t>39,93</t>
  </si>
  <si>
    <t>12.956.621</t>
  </si>
  <si>
    <t>12.956.620,58</t>
  </si>
  <si>
    <t>SE0011166610</t>
  </si>
  <si>
    <t>B3NQMW1</t>
  </si>
  <si>
    <t>TERUMO CORP</t>
  </si>
  <si>
    <t>35,81</t>
  </si>
  <si>
    <t>12.951.343</t>
  </si>
  <si>
    <t>12.951.342,64</t>
  </si>
  <si>
    <t>JP3546800008</t>
  </si>
  <si>
    <t>B3SLYL4</t>
  </si>
  <si>
    <t>GLW</t>
  </si>
  <si>
    <t>CORNING INC</t>
  </si>
  <si>
    <t>30,11</t>
  </si>
  <si>
    <t>12.940.917</t>
  </si>
  <si>
    <t>12.940.916,68</t>
  </si>
  <si>
    <t>US2193501051</t>
  </si>
  <si>
    <t>B4ZL5B1</t>
  </si>
  <si>
    <t>VOLV B</t>
  </si>
  <si>
    <t>VOLVO CLASS B</t>
  </si>
  <si>
    <t>16,43</t>
  </si>
  <si>
    <t>12.936.562</t>
  </si>
  <si>
    <t>12.936.561,51</t>
  </si>
  <si>
    <t>SE0000115446</t>
  </si>
  <si>
    <t>B50Z5R1</t>
  </si>
  <si>
    <t>IMB</t>
  </si>
  <si>
    <t>IMPERIAL BRANDS PLC</t>
  </si>
  <si>
    <t>25,60</t>
  </si>
  <si>
    <t>12.924.851</t>
  </si>
  <si>
    <t>12.924.851,03</t>
  </si>
  <si>
    <t>GB0004544929</t>
  </si>
  <si>
    <t>BD8DZZ1</t>
  </si>
  <si>
    <t>AWK</t>
  </si>
  <si>
    <t>AMERICAN WATER WORKS INC</t>
  </si>
  <si>
    <t>122,56</t>
  </si>
  <si>
    <t>12.913.780</t>
  </si>
  <si>
    <t>12.913.779,52</t>
  </si>
  <si>
    <t>US0304201033</t>
  </si>
  <si>
    <t>BD9N4S6</t>
  </si>
  <si>
    <t>VRSK</t>
  </si>
  <si>
    <t>VERISK ANALYTICS INC</t>
  </si>
  <si>
    <t>157,32</t>
  </si>
  <si>
    <t>12.904.960</t>
  </si>
  <si>
    <t>12.904.959,60</t>
  </si>
  <si>
    <t>US92345Y1064</t>
  </si>
  <si>
    <t>BYY7YM4</t>
  </si>
  <si>
    <t>SWK</t>
  </si>
  <si>
    <t>STANLEY BLACK &amp; DECKER INC</t>
  </si>
  <si>
    <t>166,00</t>
  </si>
  <si>
    <t>12.887.410</t>
  </si>
  <si>
    <t>12.887.410,00</t>
  </si>
  <si>
    <t>US8545021011</t>
  </si>
  <si>
    <t>BZ5YBS6</t>
  </si>
  <si>
    <t>NOKIA</t>
  </si>
  <si>
    <t>4,06</t>
  </si>
  <si>
    <t>3.171.401</t>
  </si>
  <si>
    <t>12.876.894</t>
  </si>
  <si>
    <t>12.876.894,11</t>
  </si>
  <si>
    <t>FI0009000681</t>
  </si>
  <si>
    <t>Nasdaq Omx Helsinki Ltd.</t>
  </si>
  <si>
    <t>Finnland</t>
  </si>
  <si>
    <t>GPR 250</t>
  </si>
  <si>
    <t>GRT</t>
  </si>
  <si>
    <t>DLR</t>
  </si>
  <si>
    <t>DIGITAL REALTY TRUST REIT INC</t>
  </si>
  <si>
    <t>120,37</t>
  </si>
  <si>
    <t>12.851.303</t>
  </si>
  <si>
    <t>12.851.303,05</t>
  </si>
  <si>
    <t>US2538681030</t>
  </si>
  <si>
    <t>HYP</t>
  </si>
  <si>
    <t>O39</t>
  </si>
  <si>
    <t>OVERSEA-CHINESE BANKING LTD</t>
  </si>
  <si>
    <t>8,22</t>
  </si>
  <si>
    <t>1.558.751</t>
  </si>
  <si>
    <t>12.808.485</t>
  </si>
  <si>
    <t>12.808.484,93</t>
  </si>
  <si>
    <t>SG1S04926220</t>
  </si>
  <si>
    <t>RDF</t>
  </si>
  <si>
    <t>O</t>
  </si>
  <si>
    <t>REALTY INCOME REIT CORP</t>
  </si>
  <si>
    <t>73,74</t>
  </si>
  <si>
    <t>12.784.820</t>
  </si>
  <si>
    <t>12.784.819,98</t>
  </si>
  <si>
    <t>US7561091049</t>
  </si>
  <si>
    <t>RES</t>
  </si>
  <si>
    <t>INVE B</t>
  </si>
  <si>
    <t>INVESTOR B</t>
  </si>
  <si>
    <t>54,76</t>
  </si>
  <si>
    <t>12.725.135</t>
  </si>
  <si>
    <t>12.725.134,92</t>
  </si>
  <si>
    <t>SE0000107419</t>
  </si>
  <si>
    <t>FFB</t>
  </si>
  <si>
    <t>VIAC</t>
  </si>
  <si>
    <t>VIACOMCBS INC CLASS B</t>
  </si>
  <si>
    <t>40,31</t>
  </si>
  <si>
    <t>12.715.427</t>
  </si>
  <si>
    <t>12.715.426,71</t>
  </si>
  <si>
    <t>US92556H2067</t>
  </si>
  <si>
    <t>LULU</t>
  </si>
  <si>
    <t>LULULEMON ATHLETICA INC</t>
  </si>
  <si>
    <t>234,84</t>
  </si>
  <si>
    <t>12.712.124</t>
  </si>
  <si>
    <t>12.712.124,04</t>
  </si>
  <si>
    <t>US5500211090</t>
  </si>
  <si>
    <t>IDXX</t>
  </si>
  <si>
    <t>IDEXX LABORATORIES INC</t>
  </si>
  <si>
    <t>281,64</t>
  </si>
  <si>
    <t>12.713.793</t>
  </si>
  <si>
    <t>12.713.792,88</t>
  </si>
  <si>
    <t>US45168D1046</t>
  </si>
  <si>
    <t>FITB</t>
  </si>
  <si>
    <t>FIFTH THIRD BANCORP</t>
  </si>
  <si>
    <t>29,76</t>
  </si>
  <si>
    <t>12.697.699</t>
  </si>
  <si>
    <t>12.697.699,20</t>
  </si>
  <si>
    <t>US3167731005</t>
  </si>
  <si>
    <t>LYB</t>
  </si>
  <si>
    <t>LYONDELLBASELL INDUSTRIES NV CLASS</t>
  </si>
  <si>
    <t>89,43</t>
  </si>
  <si>
    <t>12.666.150</t>
  </si>
  <si>
    <t>12.666.149,76</t>
  </si>
  <si>
    <t>NL0009434992</t>
  </si>
  <si>
    <t>DSY</t>
  </si>
  <si>
    <t>DASSAULT SYSTEMES</t>
  </si>
  <si>
    <t>171,15</t>
  </si>
  <si>
    <t>12.588.955</t>
  </si>
  <si>
    <t>12.588.954,93</t>
  </si>
  <si>
    <t>FR0000130650</t>
  </si>
  <si>
    <t>RMS</t>
  </si>
  <si>
    <t>HERMES INTERNATIONAL</t>
  </si>
  <si>
    <t>765,72</t>
  </si>
  <si>
    <t>12.577.719</t>
  </si>
  <si>
    <t>12.577.719,18</t>
  </si>
  <si>
    <t>FR0000052292</t>
  </si>
  <si>
    <t>ALXN</t>
  </si>
  <si>
    <t>ALEXION PHARMACEUTICALS INC</t>
  </si>
  <si>
    <t>109,48</t>
  </si>
  <si>
    <t>12.512.360</t>
  </si>
  <si>
    <t>12.512.359,72</t>
  </si>
  <si>
    <t>US0153511094</t>
  </si>
  <si>
    <t>FNV</t>
  </si>
  <si>
    <t>FRANCO NEVADA CORP</t>
  </si>
  <si>
    <t>102,50</t>
  </si>
  <si>
    <t>12.475.063</t>
  </si>
  <si>
    <t>12.475.063,16</t>
  </si>
  <si>
    <t>CA3518581051</t>
  </si>
  <si>
    <t>IAC</t>
  </si>
  <si>
    <t>IAC INTERACTIVE</t>
  </si>
  <si>
    <t>265,17</t>
  </si>
  <si>
    <t>12.466.437</t>
  </si>
  <si>
    <t>12.466.437,21</t>
  </si>
  <si>
    <t>US44919P5089</t>
  </si>
  <si>
    <t>MSCI</t>
  </si>
  <si>
    <t>MSCI INC</t>
  </si>
  <si>
    <t>265,72</t>
  </si>
  <si>
    <t>12.422.941</t>
  </si>
  <si>
    <t>12.422.941,44</t>
  </si>
  <si>
    <t>US55354G1004</t>
  </si>
  <si>
    <t>REP</t>
  </si>
  <si>
    <t>REPSOL SA</t>
  </si>
  <si>
    <t>15,91</t>
  </si>
  <si>
    <t>12.405.839</t>
  </si>
  <si>
    <t>12.405.839,22</t>
  </si>
  <si>
    <t>ES0173516115</t>
  </si>
  <si>
    <t>AME</t>
  </si>
  <si>
    <t>AMETEK INC</t>
  </si>
  <si>
    <t>100,76</t>
  </si>
  <si>
    <t>12.396.100</t>
  </si>
  <si>
    <t>12.396.099,76</t>
  </si>
  <si>
    <t>US0311001004</t>
  </si>
  <si>
    <t>B033YN6</t>
  </si>
  <si>
    <t>SYF</t>
  </si>
  <si>
    <t>SYNCHRONY FINANCIAL</t>
  </si>
  <si>
    <t>35,47</t>
  </si>
  <si>
    <t>12.361.898</t>
  </si>
  <si>
    <t>12.361.897,99</t>
  </si>
  <si>
    <t>US87165B1035</t>
  </si>
  <si>
    <t>B03FYZ4</t>
  </si>
  <si>
    <t>VRSN</t>
  </si>
  <si>
    <t>VERISIGN INC</t>
  </si>
  <si>
    <t>209,12</t>
  </si>
  <si>
    <t>12.269.907</t>
  </si>
  <si>
    <t>12.269.906,88</t>
  </si>
  <si>
    <t>US92343E1029</t>
  </si>
  <si>
    <t>B03GQS4</t>
  </si>
  <si>
    <t>KR</t>
  </si>
  <si>
    <t>KROGER</t>
  </si>
  <si>
    <t>28,36</t>
  </si>
  <si>
    <t>12.265.501</t>
  </si>
  <si>
    <t>12.265.501,48</t>
  </si>
  <si>
    <t>US5010441013</t>
  </si>
  <si>
    <t>B44WZD7</t>
  </si>
  <si>
    <t>RACE</t>
  </si>
  <si>
    <t>FERRARI NV</t>
  </si>
  <si>
    <t>173,37</t>
  </si>
  <si>
    <t>12.188.473</t>
  </si>
  <si>
    <t>12.188.473,29</t>
  </si>
  <si>
    <t>NL0011585146</t>
  </si>
  <si>
    <t>NDA SE</t>
  </si>
  <si>
    <t>NORDEA BANK</t>
  </si>
  <si>
    <t>8,07</t>
  </si>
  <si>
    <t>1.501.902</t>
  </si>
  <si>
    <t>12.125.543</t>
  </si>
  <si>
    <t>12.125.543,10</t>
  </si>
  <si>
    <t>FI4000297767</t>
  </si>
  <si>
    <t>SQ</t>
  </si>
  <si>
    <t>SQUARE INC CLASS A</t>
  </si>
  <si>
    <t>67,99</t>
  </si>
  <si>
    <t>12.108.135</t>
  </si>
  <si>
    <t>12.108.135,13</t>
  </si>
  <si>
    <t>US8522341036</t>
  </si>
  <si>
    <t>ALGN</t>
  </si>
  <si>
    <t>ALIGN TECHNOLOGY INC</t>
  </si>
  <si>
    <t>293,33</t>
  </si>
  <si>
    <t>12.093.703</t>
  </si>
  <si>
    <t>12.093.702,57</t>
  </si>
  <si>
    <t>US0162551016</t>
  </si>
  <si>
    <t>B3M3278</t>
  </si>
  <si>
    <t>OLYMPUS CORP</t>
  </si>
  <si>
    <t>15,88</t>
  </si>
  <si>
    <t>12.084.392</t>
  </si>
  <si>
    <t>12.084.392,11</t>
  </si>
  <si>
    <t>JP3201200007</t>
  </si>
  <si>
    <t>G</t>
  </si>
  <si>
    <t>ASSICURAZIONI GENERALI</t>
  </si>
  <si>
    <t>20,60</t>
  </si>
  <si>
    <t>12.075.638</t>
  </si>
  <si>
    <t>12.075.637,70</t>
  </si>
  <si>
    <t>IT0000062072</t>
  </si>
  <si>
    <t>CSGP</t>
  </si>
  <si>
    <t>COSTAR GROUP INC</t>
  </si>
  <si>
    <t>645,13</t>
  </si>
  <si>
    <t>12.041.997</t>
  </si>
  <si>
    <t>12.041.996,58</t>
  </si>
  <si>
    <t>US22160N1090</t>
  </si>
  <si>
    <t>ORIX CORP</t>
  </si>
  <si>
    <t>16,96</t>
  </si>
  <si>
    <t>12.028.512</t>
  </si>
  <si>
    <t>12.028.511,91</t>
  </si>
  <si>
    <t>JP3200450009</t>
  </si>
  <si>
    <t>EOAN</t>
  </si>
  <si>
    <t>E.ON N</t>
  </si>
  <si>
    <t>10,75</t>
  </si>
  <si>
    <t>1.117.983</t>
  </si>
  <si>
    <t>12.014.689</t>
  </si>
  <si>
    <t>12.014.688,84</t>
  </si>
  <si>
    <t>DE000ENAG999</t>
  </si>
  <si>
    <t>BBY</t>
  </si>
  <si>
    <t>BEST BUY INC</t>
  </si>
  <si>
    <t>90,65</t>
  </si>
  <si>
    <t>11.991.635</t>
  </si>
  <si>
    <t>11.991.635,25</t>
  </si>
  <si>
    <t>US0865161014</t>
  </si>
  <si>
    <t>MTB</t>
  </si>
  <si>
    <t>M&amp;T BANK CORP</t>
  </si>
  <si>
    <t>165,99</t>
  </si>
  <si>
    <t>11.958.252</t>
  </si>
  <si>
    <t>11.958.251,58</t>
  </si>
  <si>
    <t>US55261F1049</t>
  </si>
  <si>
    <t>SAND</t>
  </si>
  <si>
    <t>SANDVIK</t>
  </si>
  <si>
    <t>19,27</t>
  </si>
  <si>
    <t>11.942.756</t>
  </si>
  <si>
    <t>11.942.756,26</t>
  </si>
  <si>
    <t>SE0000667891</t>
  </si>
  <si>
    <t>EISAI LTD</t>
  </si>
  <si>
    <t>75,46</t>
  </si>
  <si>
    <t>11.917.579</t>
  </si>
  <si>
    <t>11.917.579,23</t>
  </si>
  <si>
    <t>JP3160400002</t>
  </si>
  <si>
    <t>B5ZN1N8</t>
  </si>
  <si>
    <t>FTV</t>
  </si>
  <si>
    <t>FORTIVE CORP</t>
  </si>
  <si>
    <t>78,00</t>
  </si>
  <si>
    <t>11.906.154</t>
  </si>
  <si>
    <t>11.906.154,00</t>
  </si>
  <si>
    <t>US34959J1088</t>
  </si>
  <si>
    <t>B0PB4M7</t>
  </si>
  <si>
    <t>FRE</t>
  </si>
  <si>
    <t>FRESENIUS SE AND CO KGAA</t>
  </si>
  <si>
    <t>55,65</t>
  </si>
  <si>
    <t>11.886.002</t>
  </si>
  <si>
    <t>11.886.001,84</t>
  </si>
  <si>
    <t>DE0005785604</t>
  </si>
  <si>
    <t>DSM</t>
  </si>
  <si>
    <t>KONINKILIJKE DSM NV</t>
  </si>
  <si>
    <t>124,42</t>
  </si>
  <si>
    <t>11.868.629</t>
  </si>
  <si>
    <t>11.868.629,26</t>
  </si>
  <si>
    <t>NL0000009827</t>
  </si>
  <si>
    <t>CSU</t>
  </si>
  <si>
    <t>CONSTELLATION SOFTWARE INC</t>
  </si>
  <si>
    <t>1.036,19</t>
  </si>
  <si>
    <t>11.831.188</t>
  </si>
  <si>
    <t>11.831.187,86</t>
  </si>
  <si>
    <t>CA21037X1006</t>
  </si>
  <si>
    <t>HPE</t>
  </si>
  <si>
    <t>HEWLETT PACKARD ENTERPRISE</t>
  </si>
  <si>
    <t>15,47</t>
  </si>
  <si>
    <t>11.708.485</t>
  </si>
  <si>
    <t>11.708.484,97</t>
  </si>
  <si>
    <t>US42824C1099</t>
  </si>
  <si>
    <t>ANSS</t>
  </si>
  <si>
    <t>ANSYS INC</t>
  </si>
  <si>
    <t>260,80</t>
  </si>
  <si>
    <t>11.685.926</t>
  </si>
  <si>
    <t>11.685.926,40</t>
  </si>
  <si>
    <t>US03662Q1058</t>
  </si>
  <si>
    <t>WY</t>
  </si>
  <si>
    <t>WEYERHAEUSER REIT</t>
  </si>
  <si>
    <t>29,57</t>
  </si>
  <si>
    <t>11.674.709</t>
  </si>
  <si>
    <t>11.674.709,12</t>
  </si>
  <si>
    <t>US9621661043</t>
  </si>
  <si>
    <t>DTE ENERGY</t>
  </si>
  <si>
    <t>128,94</t>
  </si>
  <si>
    <t>11.649.600</t>
  </si>
  <si>
    <t>11.649.600,06</t>
  </si>
  <si>
    <t>US2333311072</t>
  </si>
  <si>
    <t>B011YD2</t>
  </si>
  <si>
    <t>SOFTBANK CORP</t>
  </si>
  <si>
    <t>13,48</t>
  </si>
  <si>
    <t>11.620.792</t>
  </si>
  <si>
    <t>11.620.792,26</t>
  </si>
  <si>
    <t>JP3732000009</t>
  </si>
  <si>
    <t>B1VP947</t>
  </si>
  <si>
    <t>ETR</t>
  </si>
  <si>
    <t>ENTERGY CORP</t>
  </si>
  <si>
    <t>120,61</t>
  </si>
  <si>
    <t>11.616.914</t>
  </si>
  <si>
    <t>11.616.913,98</t>
  </si>
  <si>
    <t>US29364G1031</t>
  </si>
  <si>
    <t>B8K7J65</t>
  </si>
  <si>
    <t>HSY</t>
  </si>
  <si>
    <t>HERSHEY FOODS</t>
  </si>
  <si>
    <t>148,13</t>
  </si>
  <si>
    <t>11.582.285</t>
  </si>
  <si>
    <t>11.582.284,70</t>
  </si>
  <si>
    <t>US4278661081</t>
  </si>
  <si>
    <t>B1YY4B3</t>
  </si>
  <si>
    <t>CERN</t>
  </si>
  <si>
    <t>CERNER CORP</t>
  </si>
  <si>
    <t>73,48</t>
  </si>
  <si>
    <t>11.562.298</t>
  </si>
  <si>
    <t>11.562.298,44</t>
  </si>
  <si>
    <t>US1567821046</t>
  </si>
  <si>
    <t>CTVA</t>
  </si>
  <si>
    <t>CORTEVA INC</t>
  </si>
  <si>
    <t>28,35</t>
  </si>
  <si>
    <t>11.518.577</t>
  </si>
  <si>
    <t>11.518.576,65</t>
  </si>
  <si>
    <t>US22052L1044</t>
  </si>
  <si>
    <t>RWE</t>
  </si>
  <si>
    <t>RWE AG</t>
  </si>
  <si>
    <t>32,52</t>
  </si>
  <si>
    <t>11.473.882</t>
  </si>
  <si>
    <t>11.473.881,87</t>
  </si>
  <si>
    <t>DE0007037129</t>
  </si>
  <si>
    <t>FUJIFILM HOLDINGS CORP</t>
  </si>
  <si>
    <t>53,33</t>
  </si>
  <si>
    <t>11.437.529</t>
  </si>
  <si>
    <t>11.437.528,50</t>
  </si>
  <si>
    <t>JP3814000000</t>
  </si>
  <si>
    <t>AKZA</t>
  </si>
  <si>
    <t>AKZO NOBEL NV</t>
  </si>
  <si>
    <t>99,55</t>
  </si>
  <si>
    <t>11.402.999</t>
  </si>
  <si>
    <t>11.402.999,12</t>
  </si>
  <si>
    <t>NL0013267909</t>
  </si>
  <si>
    <t>WPL</t>
  </si>
  <si>
    <t>WOODSIDE PETROLEUM LTD</t>
  </si>
  <si>
    <t>24,76</t>
  </si>
  <si>
    <t>11.400.199</t>
  </si>
  <si>
    <t>11.400.198,94</t>
  </si>
  <si>
    <t>AU000000WPL2</t>
  </si>
  <si>
    <t>B3DJHT2</t>
  </si>
  <si>
    <t>ML</t>
  </si>
  <si>
    <t>MICHELIN</t>
  </si>
  <si>
    <t>123,30</t>
  </si>
  <si>
    <t>11.388.014</t>
  </si>
  <si>
    <t>11.388.013,62</t>
  </si>
  <si>
    <t>FR0000121261</t>
  </si>
  <si>
    <t>B98BC67</t>
  </si>
  <si>
    <t>MITSUBISHI ESTATE CO LTD</t>
  </si>
  <si>
    <t>18,99</t>
  </si>
  <si>
    <t>11.374.291</t>
  </si>
  <si>
    <t>11.374.290,90</t>
  </si>
  <si>
    <t>JP3899600005</t>
  </si>
  <si>
    <t>SNPS</t>
  </si>
  <si>
    <t>SYNOPSYS INC</t>
  </si>
  <si>
    <t>148,46</t>
  </si>
  <si>
    <t>11.375.154</t>
  </si>
  <si>
    <t>11.375.153,66</t>
  </si>
  <si>
    <t>US8716071076</t>
  </si>
  <si>
    <t>BLZH0Z7</t>
  </si>
  <si>
    <t>FERG</t>
  </si>
  <si>
    <t>FERGUSON PLC</t>
  </si>
  <si>
    <t>92,44</t>
  </si>
  <si>
    <t>11.367.065</t>
  </si>
  <si>
    <t>11.367.065,02</t>
  </si>
  <si>
    <t>JE00BJVNSS43</t>
  </si>
  <si>
    <t>BMMVVX4</t>
  </si>
  <si>
    <t>GIB.A</t>
  </si>
  <si>
    <t>CGI INC</t>
  </si>
  <si>
    <t>85,78</t>
  </si>
  <si>
    <t>11.356.172</t>
  </si>
  <si>
    <t>11.356.172,32</t>
  </si>
  <si>
    <t>CA12532H1047</t>
  </si>
  <si>
    <t>SG1M77906915</t>
  </si>
  <si>
    <t>CDNS</t>
  </si>
  <si>
    <t>CADENCE DESIGN SYSTEMS INC</t>
  </si>
  <si>
    <t>73,03</t>
  </si>
  <si>
    <t>11.329.582</t>
  </si>
  <si>
    <t>11.329.582,08</t>
  </si>
  <si>
    <t>US1273871087</t>
  </si>
  <si>
    <t>B04PZ72</t>
  </si>
  <si>
    <t>MKC</t>
  </si>
  <si>
    <t>MCCORMICK &amp; CO NON-VOTING INC</t>
  </si>
  <si>
    <t>164,23</t>
  </si>
  <si>
    <t>11.300.009</t>
  </si>
  <si>
    <t>11.300.009,38</t>
  </si>
  <si>
    <t>US5797802064</t>
  </si>
  <si>
    <t>BRIDGESTONE CORP</t>
  </si>
  <si>
    <t>36,57</t>
  </si>
  <si>
    <t>11.295.783</t>
  </si>
  <si>
    <t>11.295.782,74</t>
  </si>
  <si>
    <t>JP3830800003</t>
  </si>
  <si>
    <t>LINK REAL ESTATE INVESTMENT TRUST-</t>
  </si>
  <si>
    <t>10,52</t>
  </si>
  <si>
    <t>1.073.483</t>
  </si>
  <si>
    <t>11.292.474</t>
  </si>
  <si>
    <t>11.292.473,63</t>
  </si>
  <si>
    <t>HK0823032773</t>
  </si>
  <si>
    <t>Z74</t>
  </si>
  <si>
    <t>SINGAPORE TELECOMMUNICATIONS LTD</t>
  </si>
  <si>
    <t>2,46</t>
  </si>
  <si>
    <t>4.577.076</t>
  </si>
  <si>
    <t>11.269.573</t>
  </si>
  <si>
    <t>11.269.573,06</t>
  </si>
  <si>
    <t>SG1T75931496</t>
  </si>
  <si>
    <t>TOSHIBA CORP</t>
  </si>
  <si>
    <t>34,87</t>
  </si>
  <si>
    <t>11.259.412</t>
  </si>
  <si>
    <t>11.259.411,65</t>
  </si>
  <si>
    <t>JP3592200004</t>
  </si>
  <si>
    <t>URW</t>
  </si>
  <si>
    <t>WFD UNIBAIL RODAMCO STAPLED UNITS</t>
  </si>
  <si>
    <t>146,42</t>
  </si>
  <si>
    <t>11.243.034</t>
  </si>
  <si>
    <t>11.243.033,95</t>
  </si>
  <si>
    <t>FR0013326246</t>
  </si>
  <si>
    <t>KOMATSU LTD</t>
  </si>
  <si>
    <t>23,88</t>
  </si>
  <si>
    <t>11.223.251</t>
  </si>
  <si>
    <t>11.223.251,26</t>
  </si>
  <si>
    <t>JP3304200003</t>
  </si>
  <si>
    <t>SPLK</t>
  </si>
  <si>
    <t>SPLUNK INC</t>
  </si>
  <si>
    <t>155,78</t>
  </si>
  <si>
    <t>11.182.667</t>
  </si>
  <si>
    <t>11.182.667,30</t>
  </si>
  <si>
    <t>US8486371045</t>
  </si>
  <si>
    <t>EUR CASH</t>
  </si>
  <si>
    <t>111,13</t>
  </si>
  <si>
    <t>10.058.711</t>
  </si>
  <si>
    <t>11.178.749</t>
  </si>
  <si>
    <t>11.178.748,54</t>
  </si>
  <si>
    <t>Europäische Union</t>
  </si>
  <si>
    <t>KEY</t>
  </si>
  <si>
    <t>KEYCORP</t>
  </si>
  <si>
    <t>19,45</t>
  </si>
  <si>
    <t>11.159.379</t>
  </si>
  <si>
    <t>11.159.379,15</t>
  </si>
  <si>
    <t>US4932671088</t>
  </si>
  <si>
    <t>HAL</t>
  </si>
  <si>
    <t>HALLIBURTON</t>
  </si>
  <si>
    <t>24,08</t>
  </si>
  <si>
    <t>11.082.290</t>
  </si>
  <si>
    <t>11.082.290,24</t>
  </si>
  <si>
    <t>US4062161017</t>
  </si>
  <si>
    <t>UPM</t>
  </si>
  <si>
    <t>UPM-KYMMENE</t>
  </si>
  <si>
    <t>33,20</t>
  </si>
  <si>
    <t>11.067.488</t>
  </si>
  <si>
    <t>11.067.488,18</t>
  </si>
  <si>
    <t>FI0009005987</t>
  </si>
  <si>
    <t>RSG</t>
  </si>
  <si>
    <t>REPUBLIC SERVICES INC</t>
  </si>
  <si>
    <t>90,89</t>
  </si>
  <si>
    <t>11.050.861</t>
  </si>
  <si>
    <t>11.050.860,65</t>
  </si>
  <si>
    <t>US7607591002</t>
  </si>
  <si>
    <t>FAST</t>
  </si>
  <si>
    <t>FASTENAL</t>
  </si>
  <si>
    <t>36,33</t>
  </si>
  <si>
    <t>11.021.541</t>
  </si>
  <si>
    <t>11.021.541,09</t>
  </si>
  <si>
    <t>US3119001044</t>
  </si>
  <si>
    <t>RCL</t>
  </si>
  <si>
    <t>ROYAL CARIBBEAN CRUISES LTD</t>
  </si>
  <si>
    <t>133,19</t>
  </si>
  <si>
    <t>11.012.282</t>
  </si>
  <si>
    <t>11.012.282,39</t>
  </si>
  <si>
    <t>LR0008862868</t>
  </si>
  <si>
    <t>CHUGAI PHARMACEUTICAL LTD</t>
  </si>
  <si>
    <t>95,38</t>
  </si>
  <si>
    <t>11.007.028</t>
  </si>
  <si>
    <t>11.007.028,11</t>
  </si>
  <si>
    <t>JP3519400000</t>
  </si>
  <si>
    <t>HEN3</t>
  </si>
  <si>
    <t>HENKEL &amp; KGAA PREF AG</t>
  </si>
  <si>
    <t>104,04</t>
  </si>
  <si>
    <t>10.978.577</t>
  </si>
  <si>
    <t>10.978.576,73</t>
  </si>
  <si>
    <t>DE0006048432</t>
  </si>
  <si>
    <t>SN.</t>
  </si>
  <si>
    <t>SMITH AND NEPHEW PLC</t>
  </si>
  <si>
    <t>24,37</t>
  </si>
  <si>
    <t>10.954.351</t>
  </si>
  <si>
    <t>10.954.350,84</t>
  </si>
  <si>
    <t>GB0009223206</t>
  </si>
  <si>
    <t>DXCM</t>
  </si>
  <si>
    <t>DEXCOM INC</t>
  </si>
  <si>
    <t>0,04</t>
  </si>
  <si>
    <t>237,30</t>
  </si>
  <si>
    <t>10.947.124</t>
  </si>
  <si>
    <t>10.947.123,60</t>
  </si>
  <si>
    <t>US2521311074</t>
  </si>
  <si>
    <t>MTD</t>
  </si>
  <si>
    <t>METTLER TOLEDO INC</t>
  </si>
  <si>
    <t>817,69</t>
  </si>
  <si>
    <t>10.888.360</t>
  </si>
  <si>
    <t>10.888.360,04</t>
  </si>
  <si>
    <t>US5926881054</t>
  </si>
  <si>
    <t>WKL</t>
  </si>
  <si>
    <t>WOLTERS KLUWER NV</t>
  </si>
  <si>
    <t>73,62</t>
  </si>
  <si>
    <t>10.860.984</t>
  </si>
  <si>
    <t>10.860.984,21</t>
  </si>
  <si>
    <t>NL0000395903</t>
  </si>
  <si>
    <t>BT.A</t>
  </si>
  <si>
    <t>BT GROUP PLC</t>
  </si>
  <si>
    <t>2,51</t>
  </si>
  <si>
    <t>4.305.764</t>
  </si>
  <si>
    <t>10.808.450</t>
  </si>
  <si>
    <t>10.808.449,78</t>
  </si>
  <si>
    <t>GB0030913577</t>
  </si>
  <si>
    <t>SWKS</t>
  </si>
  <si>
    <t>SKYWORKS SOLUTIONS INC</t>
  </si>
  <si>
    <t>120,08</t>
  </si>
  <si>
    <t>10.714.138</t>
  </si>
  <si>
    <t>10.714.138,00</t>
  </si>
  <si>
    <t>US83088M1027</t>
  </si>
  <si>
    <t>NLOK</t>
  </si>
  <si>
    <t>NORTONLIFELOCK INC</t>
  </si>
  <si>
    <t>26,49</t>
  </si>
  <si>
    <t>10.710.039</t>
  </si>
  <si>
    <t>10.710.039,45</t>
  </si>
  <si>
    <t>US6687711084</t>
  </si>
  <si>
    <t>AV.</t>
  </si>
  <si>
    <t>AVIVA PLC</t>
  </si>
  <si>
    <t>5,39</t>
  </si>
  <si>
    <t>1.982.823</t>
  </si>
  <si>
    <t>10.690.141</t>
  </si>
  <si>
    <t>10.690.141,16</t>
  </si>
  <si>
    <t>GB0002162385</t>
  </si>
  <si>
    <t>PANASONIC CORP</t>
  </si>
  <si>
    <t>9,50</t>
  </si>
  <si>
    <t>1.121.303</t>
  </si>
  <si>
    <t>10.654.221</t>
  </si>
  <si>
    <t>10.654.220,73</t>
  </si>
  <si>
    <t>JP3866800000</t>
  </si>
  <si>
    <t>DENSO CORP</t>
  </si>
  <si>
    <t>44,27</t>
  </si>
  <si>
    <t>10.630.646</t>
  </si>
  <si>
    <t>10.630.645,76</t>
  </si>
  <si>
    <t>JP3551500006</t>
  </si>
  <si>
    <t>HONG KONG AND CHINA GAS LTD</t>
  </si>
  <si>
    <t>1,97</t>
  </si>
  <si>
    <t>5.399.938</t>
  </si>
  <si>
    <t>10.623.900</t>
  </si>
  <si>
    <t>10.623.900,27</t>
  </si>
  <si>
    <t>HK0003000038</t>
  </si>
  <si>
    <t>CPRT</t>
  </si>
  <si>
    <t>COPART INC</t>
  </si>
  <si>
    <t>95,31</t>
  </si>
  <si>
    <t>10.598.377</t>
  </si>
  <si>
    <t>10.598.376,69</t>
  </si>
  <si>
    <t>US2172041061</t>
  </si>
  <si>
    <t>DLTR</t>
  </si>
  <si>
    <t>DOLLAR TREE INC</t>
  </si>
  <si>
    <t>91,35</t>
  </si>
  <si>
    <t>10.596.417</t>
  </si>
  <si>
    <t>10.596.417,30</t>
  </si>
  <si>
    <t>US2567461080</t>
  </si>
  <si>
    <t>BXP</t>
  </si>
  <si>
    <t>BOSTON PROPERTIES REIT INC</t>
  </si>
  <si>
    <t>135,08</t>
  </si>
  <si>
    <t>10.581.087</t>
  </si>
  <si>
    <t>10.581.086,56</t>
  </si>
  <si>
    <t>US1011211018</t>
  </si>
  <si>
    <t>IP</t>
  </si>
  <si>
    <t>INTERNATIONAL PAPER</t>
  </si>
  <si>
    <t>43,99</t>
  </si>
  <si>
    <t>10.578.055</t>
  </si>
  <si>
    <t>10.578.055,35</t>
  </si>
  <si>
    <t>US4601461035</t>
  </si>
  <si>
    <t>SHIONOGI LTD</t>
  </si>
  <si>
    <t>63,24</t>
  </si>
  <si>
    <t>10.559.199</t>
  </si>
  <si>
    <t>10.559.198,98</t>
  </si>
  <si>
    <t>JP3347200002</t>
  </si>
  <si>
    <t>GEBN</t>
  </si>
  <si>
    <t>GEBERIT AG</t>
  </si>
  <si>
    <t>559,16</t>
  </si>
  <si>
    <t>10.517.752</t>
  </si>
  <si>
    <t>10.517.751,86</t>
  </si>
  <si>
    <t>CH0030170408</t>
  </si>
  <si>
    <t>CLX</t>
  </si>
  <si>
    <t>CLOROX</t>
  </si>
  <si>
    <t>153,67</t>
  </si>
  <si>
    <t>10.514.562</t>
  </si>
  <si>
    <t>10.514.562,41</t>
  </si>
  <si>
    <t>US1890541097</t>
  </si>
  <si>
    <t>B02H871</t>
  </si>
  <si>
    <t>EQNR</t>
  </si>
  <si>
    <t>EQUINOR</t>
  </si>
  <si>
    <t>20,51</t>
  </si>
  <si>
    <t>10.515.259</t>
  </si>
  <si>
    <t>10.515.259,30</t>
  </si>
  <si>
    <t>NO0010096985</t>
  </si>
  <si>
    <t>Oslo Bors Asa</t>
  </si>
  <si>
    <t>Norwegen</t>
  </si>
  <si>
    <t>NOK</t>
  </si>
  <si>
    <t>B02HWR9</t>
  </si>
  <si>
    <t>WCG</t>
  </si>
  <si>
    <t>WELLCARE HEALTHCARE PLANS INC</t>
  </si>
  <si>
    <t>336,32</t>
  </si>
  <si>
    <t>10.468.633</t>
  </si>
  <si>
    <t>10.468.632,64</t>
  </si>
  <si>
    <t>US94946T1060</t>
  </si>
  <si>
    <t>B02T2D1</t>
  </si>
  <si>
    <t>VEEV</t>
  </si>
  <si>
    <t>VEEVA SYSTEMS INC CLASS A</t>
  </si>
  <si>
    <t>145,51</t>
  </si>
  <si>
    <t>10.458.822</t>
  </si>
  <si>
    <t>10.458.822,27</t>
  </si>
  <si>
    <t>US9224751084</t>
  </si>
  <si>
    <t>B0JL5L9</t>
  </si>
  <si>
    <t>RF</t>
  </si>
  <si>
    <t>REGIONS FINANCIAL CORP</t>
  </si>
  <si>
    <t>16,35</t>
  </si>
  <si>
    <t>10.411.418</t>
  </si>
  <si>
    <t>10.411.418,40</t>
  </si>
  <si>
    <t>US7591EP1005</t>
  </si>
  <si>
    <t>B1G3M58</t>
  </si>
  <si>
    <t>GBP CASH</t>
  </si>
  <si>
    <t>130,60</t>
  </si>
  <si>
    <t>7.945.508</t>
  </si>
  <si>
    <t>10.377.230</t>
  </si>
  <si>
    <t>10.377.230,40</t>
  </si>
  <si>
    <t>B28YD08</t>
  </si>
  <si>
    <t>FTS</t>
  </si>
  <si>
    <t>FORTIS INC</t>
  </si>
  <si>
    <t>41,99</t>
  </si>
  <si>
    <t>10.374.736</t>
  </si>
  <si>
    <t>10.374.736,08</t>
  </si>
  <si>
    <t>CA3495531079</t>
  </si>
  <si>
    <t>B3M7R64</t>
  </si>
  <si>
    <t>CARL B</t>
  </si>
  <si>
    <t>CARLSBERG AS CL B</t>
  </si>
  <si>
    <t>148,39</t>
  </si>
  <si>
    <t>10.369.813</t>
  </si>
  <si>
    <t>10.369.813,47</t>
  </si>
  <si>
    <t>DK0010181759</t>
  </si>
  <si>
    <t>B3N4753</t>
  </si>
  <si>
    <t>CDW</t>
  </si>
  <si>
    <t>CDW CORP</t>
  </si>
  <si>
    <t>142,36</t>
  </si>
  <si>
    <t>10.342.169</t>
  </si>
  <si>
    <t>10.342.169,28</t>
  </si>
  <si>
    <t>US12514G1085</t>
  </si>
  <si>
    <t>B3NTLD4</t>
  </si>
  <si>
    <t>LH</t>
  </si>
  <si>
    <t>LABORATORY CORPORATION OF AMERICA</t>
  </si>
  <si>
    <t>177,58</t>
  </si>
  <si>
    <t>10.342.792</t>
  </si>
  <si>
    <t>10.342.791,94</t>
  </si>
  <si>
    <t>US50540R4092</t>
  </si>
  <si>
    <t>B3PY1N7</t>
  </si>
  <si>
    <t>CBRE</t>
  </si>
  <si>
    <t>CBRE GROUP INC CLASS A</t>
  </si>
  <si>
    <t>60,24</t>
  </si>
  <si>
    <t>10.332.003</t>
  </si>
  <si>
    <t>10.332.003,36</t>
  </si>
  <si>
    <t>US12504L1098</t>
  </si>
  <si>
    <t>B4TC8L1</t>
  </si>
  <si>
    <t>CFG</t>
  </si>
  <si>
    <t>CITIZENS FINANCIAL GROUP INC</t>
  </si>
  <si>
    <t>39,52</t>
  </si>
  <si>
    <t>10.318.949</t>
  </si>
  <si>
    <t>10.318.948,64</t>
  </si>
  <si>
    <t>US1746101054</t>
  </si>
  <si>
    <t>B4ZG8D9</t>
  </si>
  <si>
    <t>DHI</t>
  </si>
  <si>
    <t>D R HORTON INC</t>
  </si>
  <si>
    <t>53,77</t>
  </si>
  <si>
    <t>10.309.967</t>
  </si>
  <si>
    <t>10.309.967,34</t>
  </si>
  <si>
    <t>US23331A1097</t>
  </si>
  <si>
    <t>B5LYMC1</t>
  </si>
  <si>
    <t>SAMPO</t>
  </si>
  <si>
    <t>43,90</t>
  </si>
  <si>
    <t>10.288.494</t>
  </si>
  <si>
    <t>10.288.494,33</t>
  </si>
  <si>
    <t>FI0009003305</t>
  </si>
  <si>
    <t>B5NLBP6</t>
  </si>
  <si>
    <t>CAP</t>
  </si>
  <si>
    <t>CAPGEMINI</t>
  </si>
  <si>
    <t>122,53</t>
  </si>
  <si>
    <t>10.280.082</t>
  </si>
  <si>
    <t>10.280.082,24</t>
  </si>
  <si>
    <t>FR0000125338</t>
  </si>
  <si>
    <t>B64B9P8</t>
  </si>
  <si>
    <t>LR</t>
  </si>
  <si>
    <t>LEGRAND SA</t>
  </si>
  <si>
    <t>80,48</t>
  </si>
  <si>
    <t>10.260.740</t>
  </si>
  <si>
    <t>10.260.739,98</t>
  </si>
  <si>
    <t>FR0010307819</t>
  </si>
  <si>
    <t>B64BRQ5</t>
  </si>
  <si>
    <t>VMC</t>
  </si>
  <si>
    <t>VULCAN MATERIALS</t>
  </si>
  <si>
    <t>143,16</t>
  </si>
  <si>
    <t>10.179.105</t>
  </si>
  <si>
    <t>10.179.105,48</t>
  </si>
  <si>
    <t>US9291601097</t>
  </si>
  <si>
    <t>B6S2DF5</t>
  </si>
  <si>
    <t>VTR</t>
  </si>
  <si>
    <t>VENTAS REIT INC</t>
  </si>
  <si>
    <t>10.169.031</t>
  </si>
  <si>
    <t>10.169.031,06</t>
  </si>
  <si>
    <t>US92276F1003</t>
  </si>
  <si>
    <t>B6SW913</t>
  </si>
  <si>
    <t>FUJITSU LTD</t>
  </si>
  <si>
    <t>101,54</t>
  </si>
  <si>
    <t>10.150.090</t>
  </si>
  <si>
    <t>10.150.090,13</t>
  </si>
  <si>
    <t>JP3818000006</t>
  </si>
  <si>
    <t>B7GBNW8</t>
  </si>
  <si>
    <t>SGO</t>
  </si>
  <si>
    <t>COMPAGNIE DE SAINT GOBAIN SA</t>
  </si>
  <si>
    <t>39,14</t>
  </si>
  <si>
    <t>10.126.988</t>
  </si>
  <si>
    <t>10.126.987,63</t>
  </si>
  <si>
    <t>FR0000125007</t>
  </si>
  <si>
    <t>B7QR337</t>
  </si>
  <si>
    <t>OMC</t>
  </si>
  <si>
    <t>OMNICOM GROUP INC</t>
  </si>
  <si>
    <t>10.086.385</t>
  </si>
  <si>
    <t>10.086.385,25</t>
  </si>
  <si>
    <t>US6819191064</t>
  </si>
  <si>
    <t>B7YRLH9</t>
  </si>
  <si>
    <t>PEMBINA PIPELINE CORP</t>
  </si>
  <si>
    <t>38,39</t>
  </si>
  <si>
    <t>10.053.905</t>
  </si>
  <si>
    <t>10.053.905,46</t>
  </si>
  <si>
    <t>CA7063271034</t>
  </si>
  <si>
    <t>B826YT8</t>
  </si>
  <si>
    <t>GWW</t>
  </si>
  <si>
    <t>WW GRAINGER INC</t>
  </si>
  <si>
    <t>341,31</t>
  </si>
  <si>
    <t>10.050.214</t>
  </si>
  <si>
    <t>10.050.214,26</t>
  </si>
  <si>
    <t>US3848021040</t>
  </si>
  <si>
    <t>B8XXZP1</t>
  </si>
  <si>
    <t>WDC</t>
  </si>
  <si>
    <t>WESTERN DIGITAL CORP</t>
  </si>
  <si>
    <t>67,94</t>
  </si>
  <si>
    <t>10.042.347</t>
  </si>
  <si>
    <t>10.042.347,28</t>
  </si>
  <si>
    <t>US9581021055</t>
  </si>
  <si>
    <t>B96FTB5</t>
  </si>
  <si>
    <t>ESSITY B</t>
  </si>
  <si>
    <t>ESSITY CLASS B</t>
  </si>
  <si>
    <t>32,22</t>
  </si>
  <si>
    <t>10.020.114</t>
  </si>
  <si>
    <t>10.020.114,04</t>
  </si>
  <si>
    <t>SE0009922164</t>
  </si>
  <si>
    <t>BBVHWR7</t>
  </si>
  <si>
    <t>KEYS</t>
  </si>
  <si>
    <t>KEYSIGHT TECHNOLOGIES INC</t>
  </si>
  <si>
    <t>100,36</t>
  </si>
  <si>
    <t>10.010.609</t>
  </si>
  <si>
    <t>10.010.608,92</t>
  </si>
  <si>
    <t>US49338L1035</t>
  </si>
  <si>
    <t>BC9S149</t>
  </si>
  <si>
    <t>KRZ</t>
  </si>
  <si>
    <t>KERRY GROUP PLC</t>
  </si>
  <si>
    <t>127,47</t>
  </si>
  <si>
    <t>10.011.001</t>
  </si>
  <si>
    <t>10.011.001,35</t>
  </si>
  <si>
    <t>IE0004906560</t>
  </si>
  <si>
    <t>BC9ZHL9</t>
  </si>
  <si>
    <t>ESS</t>
  </si>
  <si>
    <t>ESSEX PROPERTY TRUST REIT INC</t>
  </si>
  <si>
    <t>302,40</t>
  </si>
  <si>
    <t>10.011.557</t>
  </si>
  <si>
    <t>10.011.556,80</t>
  </si>
  <si>
    <t>US2971781057</t>
  </si>
  <si>
    <t>BCF5RR9</t>
  </si>
  <si>
    <t>VWS</t>
  </si>
  <si>
    <t>VESTAS WIND SYSTEMS</t>
  </si>
  <si>
    <t>94,73</t>
  </si>
  <si>
    <t>9.988.178</t>
  </si>
  <si>
    <t>9.988.178,19</t>
  </si>
  <si>
    <t>DK0010268606</t>
  </si>
  <si>
    <t>BCRYTK1</t>
  </si>
  <si>
    <t>TRU</t>
  </si>
  <si>
    <t>TRANSUNION</t>
  </si>
  <si>
    <t>91,02</t>
  </si>
  <si>
    <t>9.981.071</t>
  </si>
  <si>
    <t>9.981.071,16</t>
  </si>
  <si>
    <t>US89400J1079</t>
  </si>
  <si>
    <t>BDSV8H8</t>
  </si>
  <si>
    <t>KHC</t>
  </si>
  <si>
    <t>KRAFT HEINZ</t>
  </si>
  <si>
    <t>30,70</t>
  </si>
  <si>
    <t>9.967.031</t>
  </si>
  <si>
    <t>9.967.031,30</t>
  </si>
  <si>
    <t>US5007541064</t>
  </si>
  <si>
    <t>BF321D7</t>
  </si>
  <si>
    <t>MG</t>
  </si>
  <si>
    <t>MAGNA INTERNATIONAL INC</t>
  </si>
  <si>
    <t>53,29</t>
  </si>
  <si>
    <t>9.960.440</t>
  </si>
  <si>
    <t>9.960.440,33</t>
  </si>
  <si>
    <t>CA5592224011</t>
  </si>
  <si>
    <t>BFLY9C0</t>
  </si>
  <si>
    <t>HES</t>
  </si>
  <si>
    <t>HESS CORP</t>
  </si>
  <si>
    <t>68,51</t>
  </si>
  <si>
    <t>9.948.954</t>
  </si>
  <si>
    <t>9.948.953,69</t>
  </si>
  <si>
    <t>US42809H1077</t>
  </si>
  <si>
    <t>BFTDJL8</t>
  </si>
  <si>
    <t>CLP HOLDINGS LTD</t>
  </si>
  <si>
    <t>10,55</t>
  </si>
  <si>
    <t>9.919.775</t>
  </si>
  <si>
    <t>9.919.775,07</t>
  </si>
  <si>
    <t>HK0002007356</t>
  </si>
  <si>
    <t>BGH3F75</t>
  </si>
  <si>
    <t>KIRIN HOLDINGS LTD</t>
  </si>
  <si>
    <t>21,74</t>
  </si>
  <si>
    <t>9.852.383</t>
  </si>
  <si>
    <t>9.852.383,35</t>
  </si>
  <si>
    <t>JP3258000003</t>
  </si>
  <si>
    <t>BLRLR12</t>
  </si>
  <si>
    <t>KNEBV</t>
  </si>
  <si>
    <t>KONE</t>
  </si>
  <si>
    <t>65,19</t>
  </si>
  <si>
    <t>9.832.291</t>
  </si>
  <si>
    <t>9.832.291,11</t>
  </si>
  <si>
    <t>FI0009013403</t>
  </si>
  <si>
    <t>BMP8TL6</t>
  </si>
  <si>
    <t>COO</t>
  </si>
  <si>
    <t>COOPER INC</t>
  </si>
  <si>
    <t>333,65</t>
  </si>
  <si>
    <t>9.824.992</t>
  </si>
  <si>
    <t>9.824.991,55</t>
  </si>
  <si>
    <t>US2166484020</t>
  </si>
  <si>
    <t>BPBSZJ1</t>
  </si>
  <si>
    <t>CHD</t>
  </si>
  <si>
    <t>CHURCH AND DWIGHT INC</t>
  </si>
  <si>
    <t>70,10</t>
  </si>
  <si>
    <t>9.758.060</t>
  </si>
  <si>
    <t>9.758.060,20</t>
  </si>
  <si>
    <t>US1713401024</t>
  </si>
  <si>
    <t>BPH3N63</t>
  </si>
  <si>
    <t>SLHN</t>
  </si>
  <si>
    <t>SWISS LIFE HOLDING AG</t>
  </si>
  <si>
    <t>499,97</t>
  </si>
  <si>
    <t>9.741.500</t>
  </si>
  <si>
    <t>9.741.499,51</t>
  </si>
  <si>
    <t>CH0014852781</t>
  </si>
  <si>
    <t>BRWPYN2</t>
  </si>
  <si>
    <t>CINF</t>
  </si>
  <si>
    <t>CINCINNATI FINANCIAL CORP</t>
  </si>
  <si>
    <t>104,70</t>
  </si>
  <si>
    <t>9.723.070</t>
  </si>
  <si>
    <t>9.723.070,20</t>
  </si>
  <si>
    <t>US1720621010</t>
  </si>
  <si>
    <t>BSKRKJ5</t>
  </si>
  <si>
    <t>MAA</t>
  </si>
  <si>
    <t>MID AMERICA APARTMENT COMMUNITIES</t>
  </si>
  <si>
    <t>132,35</t>
  </si>
  <si>
    <t>9.712.505</t>
  </si>
  <si>
    <t>9.712.504,75</t>
  </si>
  <si>
    <t>US59522J1034</t>
  </si>
  <si>
    <t>BSL7HC6</t>
  </si>
  <si>
    <t>ARE</t>
  </si>
  <si>
    <t>ALEXANDRIA REAL ESTATE EQUITIES RE</t>
  </si>
  <si>
    <t>9.689.896</t>
  </si>
  <si>
    <t>9.689.895,56</t>
  </si>
  <si>
    <t>US0152711091</t>
  </si>
  <si>
    <t>BSR6J09</t>
  </si>
  <si>
    <t>JPY CASH</t>
  </si>
  <si>
    <t>0,91</t>
  </si>
  <si>
    <t>1.060.360.017</t>
  </si>
  <si>
    <t>9.678.350</t>
  </si>
  <si>
    <t>9.678.349,92</t>
  </si>
  <si>
    <t>BT9QF28</t>
  </si>
  <si>
    <t>FRC</t>
  </si>
  <si>
    <t>FIRST REPUBLIC BANK</t>
  </si>
  <si>
    <t>114,30</t>
  </si>
  <si>
    <t>9.587.255</t>
  </si>
  <si>
    <t>9.587.255,40</t>
  </si>
  <si>
    <t>US33616C1009</t>
  </si>
  <si>
    <t>BTPSGQ9</t>
  </si>
  <si>
    <t>DOV</t>
  </si>
  <si>
    <t>DOVER CORP</t>
  </si>
  <si>
    <t>115,77</t>
  </si>
  <si>
    <t>9.585.293</t>
  </si>
  <si>
    <t>9.585.292,92</t>
  </si>
  <si>
    <t>US2600031080</t>
  </si>
  <si>
    <t>BVSS693</t>
  </si>
  <si>
    <t>PFG</t>
  </si>
  <si>
    <t>PRINCIPAL FINANCIAL GROUP INC</t>
  </si>
  <si>
    <t>55,70</t>
  </si>
  <si>
    <t>9.553.608</t>
  </si>
  <si>
    <t>9.553.608,30</t>
  </si>
  <si>
    <t>US74251V1026</t>
  </si>
  <si>
    <t>JP3047660000</t>
  </si>
  <si>
    <t>AJG</t>
  </si>
  <si>
    <t>ARTHUR J GALLAGHER</t>
  </si>
  <si>
    <t>95,44</t>
  </si>
  <si>
    <t>9.546.195</t>
  </si>
  <si>
    <t>9.546.195,12</t>
  </si>
  <si>
    <t>US3635761097</t>
  </si>
  <si>
    <t>JP3047900000</t>
  </si>
  <si>
    <t>SSE</t>
  </si>
  <si>
    <t>SSE PLC</t>
  </si>
  <si>
    <t>18,61</t>
  </si>
  <si>
    <t>9.536.553</t>
  </si>
  <si>
    <t>9.536.552,79</t>
  </si>
  <si>
    <t>GB0007908733</t>
  </si>
  <si>
    <t>BYVVTJ1</t>
  </si>
  <si>
    <t>MGM</t>
  </si>
  <si>
    <t>MGM RESORTS INTERNATIONAL</t>
  </si>
  <si>
    <t>33,21</t>
  </si>
  <si>
    <t>9.534.691</t>
  </si>
  <si>
    <t>9.534.690,63</t>
  </si>
  <si>
    <t>US5529531015</t>
  </si>
  <si>
    <t>OTSUKA HOLDINGS LTD</t>
  </si>
  <si>
    <t>45,58</t>
  </si>
  <si>
    <t>9.503.278</t>
  </si>
  <si>
    <t>9.503.277,51</t>
  </si>
  <si>
    <t>JP3188220002</t>
  </si>
  <si>
    <t>FCX</t>
  </si>
  <si>
    <t>FREEPORT MCMORAN INC</t>
  </si>
  <si>
    <t>12,90</t>
  </si>
  <si>
    <t>9.488.556</t>
  </si>
  <si>
    <t>9.488.556,30</t>
  </si>
  <si>
    <t>US35671D8570</t>
  </si>
  <si>
    <t>BYSJJF4</t>
  </si>
  <si>
    <t>BFB</t>
  </si>
  <si>
    <t>BROWN FORMAN CORP CLASS B</t>
  </si>
  <si>
    <t>67,28</t>
  </si>
  <si>
    <t>9.473.226</t>
  </si>
  <si>
    <t>9.473.225,84</t>
  </si>
  <si>
    <t>US1156372096</t>
  </si>
  <si>
    <t>BY7QXS7</t>
  </si>
  <si>
    <t>ORSTED</t>
  </si>
  <si>
    <t>97,08</t>
  </si>
  <si>
    <t>9.472.680</t>
  </si>
  <si>
    <t>9.472.679,56</t>
  </si>
  <si>
    <t>DK0060094928</t>
  </si>
  <si>
    <t>MXCFFU000001</t>
  </si>
  <si>
    <t>CCL</t>
  </si>
  <si>
    <t>CARNIVAL CORP</t>
  </si>
  <si>
    <t>48,85</t>
  </si>
  <si>
    <t>9.460.144</t>
  </si>
  <si>
    <t>9.460.144,45</t>
  </si>
  <si>
    <t>PA1436583006</t>
  </si>
  <si>
    <t>B011205</t>
  </si>
  <si>
    <t>CXO</t>
  </si>
  <si>
    <t>CONCHO RESOURCES INC</t>
  </si>
  <si>
    <t>89,08</t>
  </si>
  <si>
    <t>9.443.994</t>
  </si>
  <si>
    <t>9.443.994,36</t>
  </si>
  <si>
    <t>US20605P1012</t>
  </si>
  <si>
    <t>BYVYHH4</t>
  </si>
  <si>
    <t>PGHN</t>
  </si>
  <si>
    <t>PARTNERS GROUP HOLDING AG</t>
  </si>
  <si>
    <t>937,07</t>
  </si>
  <si>
    <t>9.395.029</t>
  </si>
  <si>
    <t>9.395.029,03</t>
  </si>
  <si>
    <t>CH0024608827</t>
  </si>
  <si>
    <t>BZ22BK5</t>
  </si>
  <si>
    <t>AEE</t>
  </si>
  <si>
    <t>AMEREN CORP</t>
  </si>
  <si>
    <t>77,01</t>
  </si>
  <si>
    <t>9.368.421</t>
  </si>
  <si>
    <t>9.368.420,52</t>
  </si>
  <si>
    <t>US0236081024</t>
  </si>
  <si>
    <t>NOMURA HOLDINGS INC</t>
  </si>
  <si>
    <t>1.771.431</t>
  </si>
  <si>
    <t>9.355.148</t>
  </si>
  <si>
    <t>9.355.147,65</t>
  </si>
  <si>
    <t>JP3762600009</t>
  </si>
  <si>
    <t>KBC</t>
  </si>
  <si>
    <t>KBC GROEP</t>
  </si>
  <si>
    <t>75,24</t>
  </si>
  <si>
    <t>9.326.175</t>
  </si>
  <si>
    <t>9.326.175,25</t>
  </si>
  <si>
    <t>BE0003565737</t>
  </si>
  <si>
    <t>SECOM LTD</t>
  </si>
  <si>
    <t>9.322.498</t>
  </si>
  <si>
    <t>9.322.498,30</t>
  </si>
  <si>
    <t>JP3421800008</t>
  </si>
  <si>
    <t>M3 INC</t>
  </si>
  <si>
    <t>31,40</t>
  </si>
  <si>
    <t>9.319.022</t>
  </si>
  <si>
    <t>9.319.021,54</t>
  </si>
  <si>
    <t>JP3435750009</t>
  </si>
  <si>
    <t>SCG</t>
  </si>
  <si>
    <t>SCENTRE GROUP</t>
  </si>
  <si>
    <t>2,75</t>
  </si>
  <si>
    <t>3.387.802</t>
  </si>
  <si>
    <t>9.310.998</t>
  </si>
  <si>
    <t>9.310.997,75</t>
  </si>
  <si>
    <t>AU000000SCG8</t>
  </si>
  <si>
    <t>EVRG</t>
  </si>
  <si>
    <t>EVERGY INC</t>
  </si>
  <si>
    <t>64,51</t>
  </si>
  <si>
    <t>9.298.149</t>
  </si>
  <si>
    <t>9.298.148,85</t>
  </si>
  <si>
    <t>US30034W1062</t>
  </si>
  <si>
    <t>GMG</t>
  </si>
  <si>
    <t>GOODMAN GROUP UNITS</t>
  </si>
  <si>
    <t>9,69</t>
  </si>
  <si>
    <t>9.283.373</t>
  </si>
  <si>
    <t>9.283.372,87</t>
  </si>
  <si>
    <t>AU000000GMG2</t>
  </si>
  <si>
    <t>B020QY3</t>
  </si>
  <si>
    <t>HM B</t>
  </si>
  <si>
    <t>HENNES &amp; MAURITZ</t>
  </si>
  <si>
    <t>19,48</t>
  </si>
  <si>
    <t>9.282.582</t>
  </si>
  <si>
    <t>9.282.581,66</t>
  </si>
  <si>
    <t>SE0000106270</t>
  </si>
  <si>
    <t>B07NL19</t>
  </si>
  <si>
    <t>FER</t>
  </si>
  <si>
    <t>FERROVIAL SA</t>
  </si>
  <si>
    <t>30,85</t>
  </si>
  <si>
    <t>9.273.402</t>
  </si>
  <si>
    <t>9.273.401,53</t>
  </si>
  <si>
    <t>ES0118900010</t>
  </si>
  <si>
    <t>B0C5Q59</t>
  </si>
  <si>
    <t>RCI.B</t>
  </si>
  <si>
    <t>ROGERS COMMUNICATIONS NON-VOTING I</t>
  </si>
  <si>
    <t>49,52</t>
  </si>
  <si>
    <t>9.232.164</t>
  </si>
  <si>
    <t>9.232.163,87</t>
  </si>
  <si>
    <t>CA7751092007</t>
  </si>
  <si>
    <t>B0LNTF5</t>
  </si>
  <si>
    <t>DAIWA HOUSE INDUSTRY LTD</t>
  </si>
  <si>
    <t>31,03</t>
  </si>
  <si>
    <t>9.221.585</t>
  </si>
  <si>
    <t>9.221.584,52</t>
  </si>
  <si>
    <t>JP3505000004</t>
  </si>
  <si>
    <t>B0Z6WY0</t>
  </si>
  <si>
    <t>ASAHI GROUP HOLDINGS LTD</t>
  </si>
  <si>
    <t>45,22</t>
  </si>
  <si>
    <t>9.209.032</t>
  </si>
  <si>
    <t>9.209.032,02</t>
  </si>
  <si>
    <t>JP3116000005</t>
  </si>
  <si>
    <t>B15T1R2</t>
  </si>
  <si>
    <t>NA</t>
  </si>
  <si>
    <t>NATIONAL BANK OF CANADA</t>
  </si>
  <si>
    <t>55,30</t>
  </si>
  <si>
    <t>9.183.614</t>
  </si>
  <si>
    <t>9.183.614,34</t>
  </si>
  <si>
    <t>CA6330671034</t>
  </si>
  <si>
    <t>B182BB2</t>
  </si>
  <si>
    <t>K</t>
  </si>
  <si>
    <t>KELLOGG</t>
  </si>
  <si>
    <t>69,27</t>
  </si>
  <si>
    <t>9.184.994</t>
  </si>
  <si>
    <t>9.184.994,19</t>
  </si>
  <si>
    <t>US4878361082</t>
  </si>
  <si>
    <t>B1GF9P3</t>
  </si>
  <si>
    <t>DNB</t>
  </si>
  <si>
    <t>18,63</t>
  </si>
  <si>
    <t>9.166.276</t>
  </si>
  <si>
    <t>9.166.275,63</t>
  </si>
  <si>
    <t>NO0010031479</t>
  </si>
  <si>
    <t>B62WZW2</t>
  </si>
  <si>
    <t>EFX</t>
  </si>
  <si>
    <t>EQUIFAX INC</t>
  </si>
  <si>
    <t>146,72</t>
  </si>
  <si>
    <t>9.152.394</t>
  </si>
  <si>
    <t>9.152.393,60</t>
  </si>
  <si>
    <t>US2944291051</t>
  </si>
  <si>
    <t>B8BSRY1</t>
  </si>
  <si>
    <t>MS&amp;AD INSURANCE GROUP HOLDINGS INC</t>
  </si>
  <si>
    <t>33,50</t>
  </si>
  <si>
    <t>9.149.039</t>
  </si>
  <si>
    <t>9.149.039,34</t>
  </si>
  <si>
    <t>JP3890310000</t>
  </si>
  <si>
    <t>B8RBZV7</t>
  </si>
  <si>
    <t>EXAS</t>
  </si>
  <si>
    <t>EXACT SCIENCES CORP</t>
  </si>
  <si>
    <t>104,44</t>
  </si>
  <si>
    <t>9.147.064</t>
  </si>
  <si>
    <t>9.147.064,08</t>
  </si>
  <si>
    <t>US30063P1057</t>
  </si>
  <si>
    <t>BMJJVS6</t>
  </si>
  <si>
    <t>PEAK</t>
  </si>
  <si>
    <t>HEALTHPEAK PROPERTIES INC</t>
  </si>
  <si>
    <t>34,93</t>
  </si>
  <si>
    <t>9.118.232</t>
  </si>
  <si>
    <t>9.118.231,99</t>
  </si>
  <si>
    <t>US42250P1030</t>
  </si>
  <si>
    <t>B5143W8</t>
  </si>
  <si>
    <t>NTAP</t>
  </si>
  <si>
    <t>NETAPP INC</t>
  </si>
  <si>
    <t>63,13</t>
  </si>
  <si>
    <t>9.111.553</t>
  </si>
  <si>
    <t>9.111.552,90</t>
  </si>
  <si>
    <t>US64110D1046</t>
  </si>
  <si>
    <t>B24HH65</t>
  </si>
  <si>
    <t>DBK</t>
  </si>
  <si>
    <t>DEUTSCHE BANK AG</t>
  </si>
  <si>
    <t>8,55</t>
  </si>
  <si>
    <t>1.064.579</t>
  </si>
  <si>
    <t>9.104.107</t>
  </si>
  <si>
    <t>9.104.107,41</t>
  </si>
  <si>
    <t>DE0005140008</t>
  </si>
  <si>
    <t>BD8Q486</t>
  </si>
  <si>
    <t>STM</t>
  </si>
  <si>
    <t>STMICROELECTRONICS NV</t>
  </si>
  <si>
    <t>27,48</t>
  </si>
  <si>
    <t>9.080.335</t>
  </si>
  <si>
    <t>9.080.334,85</t>
  </si>
  <si>
    <t>NL0000226223</t>
  </si>
  <si>
    <t>LEN</t>
  </si>
  <si>
    <t>LENNAR A CORP</t>
  </si>
  <si>
    <t>59,72</t>
  </si>
  <si>
    <t>9.071.587</t>
  </si>
  <si>
    <t>9.071.587,44</t>
  </si>
  <si>
    <t>US5260571048</t>
  </si>
  <si>
    <t>MXIM</t>
  </si>
  <si>
    <t>MAXIM INTEGRATED PRODUCTS INC</t>
  </si>
  <si>
    <t>61,45</t>
  </si>
  <si>
    <t>9.070.512</t>
  </si>
  <si>
    <t>9.070.511,60</t>
  </si>
  <si>
    <t>US57772K1016</t>
  </si>
  <si>
    <t>CK ASSET HOLDINGS LTD</t>
  </si>
  <si>
    <t>7,19</t>
  </si>
  <si>
    <t>1.261.040</t>
  </si>
  <si>
    <t>9.068.259</t>
  </si>
  <si>
    <t>9.068.258,62</t>
  </si>
  <si>
    <t>KYG2177B1014</t>
  </si>
  <si>
    <t>WPP</t>
  </si>
  <si>
    <t>WPP PLC</t>
  </si>
  <si>
    <t>9.012.149</t>
  </si>
  <si>
    <t>9.012.148,56</t>
  </si>
  <si>
    <t>JE00B8KF9B49</t>
  </si>
  <si>
    <t>DAI-ICHI LIFE HOLDINGS INC</t>
  </si>
  <si>
    <t>16,08</t>
  </si>
  <si>
    <t>9.005.259</t>
  </si>
  <si>
    <t>9.005.258,76</t>
  </si>
  <si>
    <t>JP3476480003</t>
  </si>
  <si>
    <t>B00STP1</t>
  </si>
  <si>
    <t>MAS</t>
  </si>
  <si>
    <t>MASCO CORP</t>
  </si>
  <si>
    <t>47,28</t>
  </si>
  <si>
    <t>8.993.885</t>
  </si>
  <si>
    <t>8.993.885,28</t>
  </si>
  <si>
    <t>US5745991068</t>
  </si>
  <si>
    <t>B0XZXV3</t>
  </si>
  <si>
    <t>TTWO</t>
  </si>
  <si>
    <t>TAKE TWO INTERACTIVE SOFTWARE INC</t>
  </si>
  <si>
    <t>126,76</t>
  </si>
  <si>
    <t>8.988.932</t>
  </si>
  <si>
    <t>8.988.931,88</t>
  </si>
  <si>
    <t>US8740541094</t>
  </si>
  <si>
    <t>B1530B1</t>
  </si>
  <si>
    <t>NUE</t>
  </si>
  <si>
    <t>NUCOR CORP</t>
  </si>
  <si>
    <t>52,77</t>
  </si>
  <si>
    <t>8.960.346</t>
  </si>
  <si>
    <t>8.960.346,00</t>
  </si>
  <si>
    <t>US6703461052</t>
  </si>
  <si>
    <t>B2455Y3</t>
  </si>
  <si>
    <t>FME</t>
  </si>
  <si>
    <t>FRESENIUS MEDICAL CARE AG</t>
  </si>
  <si>
    <t>73,64</t>
  </si>
  <si>
    <t>8.939.512</t>
  </si>
  <si>
    <t>8.939.512,12</t>
  </si>
  <si>
    <t>DE0005785802</t>
  </si>
  <si>
    <t>B9GS088</t>
  </si>
  <si>
    <t>AMCR</t>
  </si>
  <si>
    <t>AMCOR PLC</t>
  </si>
  <si>
    <t>10,45</t>
  </si>
  <si>
    <t>8.924.990</t>
  </si>
  <si>
    <t>8.924.989,70</t>
  </si>
  <si>
    <t>JE00BJ1F3079</t>
  </si>
  <si>
    <t>BFSSCF9</t>
  </si>
  <si>
    <t>CAG</t>
  </si>
  <si>
    <t>CONAGRA BRANDS INC</t>
  </si>
  <si>
    <t>31,83</t>
  </si>
  <si>
    <t>8.923.604</t>
  </si>
  <si>
    <t>8.923.604,16</t>
  </si>
  <si>
    <t>US2058871029</t>
  </si>
  <si>
    <t>BG49KP9</t>
  </si>
  <si>
    <t>KMX</t>
  </si>
  <si>
    <t>CARMAX INC</t>
  </si>
  <si>
    <t>89,09</t>
  </si>
  <si>
    <t>8.864.366</t>
  </si>
  <si>
    <t>8.864.365,91</t>
  </si>
  <si>
    <t>US1431301027</t>
  </si>
  <si>
    <t>BMJ71D5</t>
  </si>
  <si>
    <t>SHB A</t>
  </si>
  <si>
    <t>SVENSKA HANDELSBANKEN-A SHS</t>
  </si>
  <si>
    <t>10,57</t>
  </si>
  <si>
    <t>8.848.136</t>
  </si>
  <si>
    <t>8.848.136,22</t>
  </si>
  <si>
    <t>SE0007100599</t>
  </si>
  <si>
    <t>BNGNB77</t>
  </si>
  <si>
    <t>EXPD</t>
  </si>
  <si>
    <t>EXPEDITORS INTERNATIONAL OF WASHIN</t>
  </si>
  <si>
    <t>77,21</t>
  </si>
  <si>
    <t>8.833.905</t>
  </si>
  <si>
    <t>8.833.904,94</t>
  </si>
  <si>
    <t>US3021301094</t>
  </si>
  <si>
    <t>BXRTX56</t>
  </si>
  <si>
    <t>UG</t>
  </si>
  <si>
    <t>PEUGEOT SA</t>
  </si>
  <si>
    <t>23,19</t>
  </si>
  <si>
    <t>8.792.195</t>
  </si>
  <si>
    <t>8.792.194,78</t>
  </si>
  <si>
    <t>FR0000121501</t>
  </si>
  <si>
    <t>BYYTSK6</t>
  </si>
  <si>
    <t>NESTE</t>
  </si>
  <si>
    <t>35,26</t>
  </si>
  <si>
    <t>8.789.301</t>
  </si>
  <si>
    <t>8.789.301,26</t>
  </si>
  <si>
    <t>FI0009013296</t>
  </si>
  <si>
    <t>JP3048180008</t>
  </si>
  <si>
    <t>GMAB</t>
  </si>
  <si>
    <t>GENMAB</t>
  </si>
  <si>
    <t>225,60</t>
  </si>
  <si>
    <t>8.777.116</t>
  </si>
  <si>
    <t>8.777.116,30</t>
  </si>
  <si>
    <t>DK0010272202</t>
  </si>
  <si>
    <t>US55303A1051</t>
  </si>
  <si>
    <t>CMS</t>
  </si>
  <si>
    <t>CMS ENERGY CORP</t>
  </si>
  <si>
    <t>63,06</t>
  </si>
  <si>
    <t>8.766.853</t>
  </si>
  <si>
    <t>8.766.853,44</t>
  </si>
  <si>
    <t>US1258961002</t>
  </si>
  <si>
    <t>US93964W1080</t>
  </si>
  <si>
    <t>GARTNER INC</t>
  </si>
  <si>
    <t>159,39</t>
  </si>
  <si>
    <t>8.735.688</t>
  </si>
  <si>
    <t>8.735.687,73</t>
  </si>
  <si>
    <t>US3666511072</t>
  </si>
  <si>
    <t>BYMYV82</t>
  </si>
  <si>
    <t>TFX</t>
  </si>
  <si>
    <t>TELEFLEX INC</t>
  </si>
  <si>
    <t>378,70</t>
  </si>
  <si>
    <t>8.676.017</t>
  </si>
  <si>
    <t>8.676.017,00</t>
  </si>
  <si>
    <t>US8793691069</t>
  </si>
  <si>
    <t>BD0PJ08</t>
  </si>
  <si>
    <t>NCM</t>
  </si>
  <si>
    <t>NEWCREST MINING LTD</t>
  </si>
  <si>
    <t>21,23</t>
  </si>
  <si>
    <t>8.673.390</t>
  </si>
  <si>
    <t>8.673.389,54</t>
  </si>
  <si>
    <t>AU000000NCM7</t>
  </si>
  <si>
    <t>BD3BX01</t>
  </si>
  <si>
    <t>SUI</t>
  </si>
  <si>
    <t>SUN COMMUNITIES REIT INC</t>
  </si>
  <si>
    <t>149,87</t>
  </si>
  <si>
    <t>8.606.584</t>
  </si>
  <si>
    <t>8.606.584,49</t>
  </si>
  <si>
    <t>US8666741041</t>
  </si>
  <si>
    <t>BZ6F133</t>
  </si>
  <si>
    <t>MKL</t>
  </si>
  <si>
    <t>MARKEL CORP</t>
  </si>
  <si>
    <t>1.162,21</t>
  </si>
  <si>
    <t>8.594.543</t>
  </si>
  <si>
    <t>8.594.542,95</t>
  </si>
  <si>
    <t>US5705351048</t>
  </si>
  <si>
    <t>BZ9NZY3</t>
  </si>
  <si>
    <t>CE</t>
  </si>
  <si>
    <t>CELANESE CORP</t>
  </si>
  <si>
    <t>117,01</t>
  </si>
  <si>
    <t>8.592.044</t>
  </si>
  <si>
    <t>8.592.044,30</t>
  </si>
  <si>
    <t>US1508701034</t>
  </si>
  <si>
    <t>BYW0PQ6</t>
  </si>
  <si>
    <t>CAH</t>
  </si>
  <si>
    <t>CARDINAL HEALTH INC</t>
  </si>
  <si>
    <t>50,63</t>
  </si>
  <si>
    <t>8.587.506</t>
  </si>
  <si>
    <t>8.587.506,19</t>
  </si>
  <si>
    <t>US14149Y1082</t>
  </si>
  <si>
    <t>CT SP</t>
  </si>
  <si>
    <t>ARISTOCRAT LEISURE LTD</t>
  </si>
  <si>
    <t>24,40</t>
  </si>
  <si>
    <t>8.541.753</t>
  </si>
  <si>
    <t>8.541.752,90</t>
  </si>
  <si>
    <t>AU000000ALL7</t>
  </si>
  <si>
    <t>GNL US</t>
  </si>
  <si>
    <t>FCA</t>
  </si>
  <si>
    <t>FIAT CHRYSLER AUTOMOBILES NV</t>
  </si>
  <si>
    <t>14,26</t>
  </si>
  <si>
    <t>8.535.153</t>
  </si>
  <si>
    <t>8.535.153,20</t>
  </si>
  <si>
    <t>NL0010877643</t>
  </si>
  <si>
    <t>GPOR LN</t>
  </si>
  <si>
    <t>FTNT</t>
  </si>
  <si>
    <t>FORTINET INC</t>
  </si>
  <si>
    <t>114,32</t>
  </si>
  <si>
    <t>8.522.785</t>
  </si>
  <si>
    <t>8.522.784,64</t>
  </si>
  <si>
    <t>US34959E1091</t>
  </si>
  <si>
    <t>LPT US</t>
  </si>
  <si>
    <t>SEB A</t>
  </si>
  <si>
    <t>SKANDINAVISKA ENSKILDA BANKEN</t>
  </si>
  <si>
    <t>9,44</t>
  </si>
  <si>
    <t>8.519.064</t>
  </si>
  <si>
    <t>8.519.063,61</t>
  </si>
  <si>
    <t>SE0000148884</t>
  </si>
  <si>
    <t>LSI US</t>
  </si>
  <si>
    <t>SUZUKI MOTOR CORP</t>
  </si>
  <si>
    <t>0,03</t>
  </si>
  <si>
    <t>41,79</t>
  </si>
  <si>
    <t>8.511.837</t>
  </si>
  <si>
    <t>8.511.837,46</t>
  </si>
  <si>
    <t>JP3397200001</t>
  </si>
  <si>
    <t>NRE US</t>
  </si>
  <si>
    <t>MRVL</t>
  </si>
  <si>
    <t>MARVELL TECHNOLOGY GROUP LTD</t>
  </si>
  <si>
    <t>26,50</t>
  </si>
  <si>
    <t>8.502.870</t>
  </si>
  <si>
    <t>8.502.869,50</t>
  </si>
  <si>
    <t>BMG5876H1051</t>
  </si>
  <si>
    <t>NSA US</t>
  </si>
  <si>
    <t>RR.</t>
  </si>
  <si>
    <t>ROLLS-ROYCE HOLDINGS PLC</t>
  </si>
  <si>
    <t>8,92</t>
  </si>
  <si>
    <t>8.458.582</t>
  </si>
  <si>
    <t>8.458.581,91</t>
  </si>
  <si>
    <t>GB00B63H8491</t>
  </si>
  <si>
    <t>QCP US</t>
  </si>
  <si>
    <t>SUBARU CORP</t>
  </si>
  <si>
    <t>24,53</t>
  </si>
  <si>
    <t>8.457.043</t>
  </si>
  <si>
    <t>8.457.042,72</t>
  </si>
  <si>
    <t>JP3814800003</t>
  </si>
  <si>
    <t>SRG US</t>
  </si>
  <si>
    <t>KUBOTA CORP</t>
  </si>
  <si>
    <t>15,57</t>
  </si>
  <si>
    <t>8.454.806</t>
  </si>
  <si>
    <t>8.454.805,82</t>
  </si>
  <si>
    <t>JP3266400005</t>
  </si>
  <si>
    <t>J055</t>
  </si>
  <si>
    <t>MNK</t>
  </si>
  <si>
    <t>INVH</t>
  </si>
  <si>
    <t>INVITATION HOMES INC</t>
  </si>
  <si>
    <t>30,06</t>
  </si>
  <si>
    <t>8.337.772</t>
  </si>
  <si>
    <t>8.337.772,26</t>
  </si>
  <si>
    <t>US46187W1071</t>
  </si>
  <si>
    <t>J135</t>
  </si>
  <si>
    <t>AFE</t>
  </si>
  <si>
    <t>BURL</t>
  </si>
  <si>
    <t>BURLINGTON STORES INC</t>
  </si>
  <si>
    <t>231,33</t>
  </si>
  <si>
    <t>8.329.962</t>
  </si>
  <si>
    <t>8.329.961,97</t>
  </si>
  <si>
    <t>US1220171060</t>
  </si>
  <si>
    <t>AFX</t>
  </si>
  <si>
    <t>GALAXY ENTERTAINMENT GROUP LTD</t>
  </si>
  <si>
    <t>7,91</t>
  </si>
  <si>
    <t>1.052.368</t>
  </si>
  <si>
    <t>8.319.704</t>
  </si>
  <si>
    <t>8.319.703,76</t>
  </si>
  <si>
    <t>HK0027032686</t>
  </si>
  <si>
    <t>OMN</t>
  </si>
  <si>
    <t>SUMITOMO CORP</t>
  </si>
  <si>
    <t>14,73</t>
  </si>
  <si>
    <t>8.315.503</t>
  </si>
  <si>
    <t>8.315.503,01</t>
  </si>
  <si>
    <t>JP3404600003</t>
  </si>
  <si>
    <t>SOL</t>
  </si>
  <si>
    <t>EXPE</t>
  </si>
  <si>
    <t>EXPEDIA GROUP INC</t>
  </si>
  <si>
    <t>110,69</t>
  </si>
  <si>
    <t>8.309.609</t>
  </si>
  <si>
    <t>8.309.608,99</t>
  </si>
  <si>
    <t>US30212P3038</t>
  </si>
  <si>
    <t>J150</t>
  </si>
  <si>
    <t>ANG</t>
  </si>
  <si>
    <t>ACGL</t>
  </si>
  <si>
    <t>ARCH CAPITAL GROUP LTD</t>
  </si>
  <si>
    <t>43,53</t>
  </si>
  <si>
    <t>8.296.818</t>
  </si>
  <si>
    <t>8.296.818,00</t>
  </si>
  <si>
    <t>BMG0450A1053</t>
  </si>
  <si>
    <t>GFI</t>
  </si>
  <si>
    <t>TWLO</t>
  </si>
  <si>
    <t>TWILIO INC CLASS A</t>
  </si>
  <si>
    <t>115,74</t>
  </si>
  <si>
    <t>8.293.465</t>
  </si>
  <si>
    <t>8.293.465,44</t>
  </si>
  <si>
    <t>US90138F1021</t>
  </si>
  <si>
    <t>HAR</t>
  </si>
  <si>
    <t>QRVO</t>
  </si>
  <si>
    <t>QUORVO INC</t>
  </si>
  <si>
    <t>113,42</t>
  </si>
  <si>
    <t>8.289.301</t>
  </si>
  <si>
    <t>8.289.300,70</t>
  </si>
  <si>
    <t>US74736K1016</t>
  </si>
  <si>
    <t>PAN</t>
  </si>
  <si>
    <t>LNT</t>
  </si>
  <si>
    <t>ALLIANT ENERGY CORP</t>
  </si>
  <si>
    <t>55,07</t>
  </si>
  <si>
    <t>8.246.237</t>
  </si>
  <si>
    <t>8.246.236,87</t>
  </si>
  <si>
    <t>US0188021085</t>
  </si>
  <si>
    <t>SGL</t>
  </si>
  <si>
    <t>MERCK</t>
  </si>
  <si>
    <t>126,36</t>
  </si>
  <si>
    <t>8.227.205</t>
  </si>
  <si>
    <t>8.227.205,47</t>
  </si>
  <si>
    <t>DE0006599905</t>
  </si>
  <si>
    <t>J151</t>
  </si>
  <si>
    <t>EXX</t>
  </si>
  <si>
    <t>CTXS</t>
  </si>
  <si>
    <t>CITRIX SYSTEMS INC</t>
  </si>
  <si>
    <t>113,74</t>
  </si>
  <si>
    <t>8.219.876</t>
  </si>
  <si>
    <t>8.219.876,06</t>
  </si>
  <si>
    <t>US1773761002</t>
  </si>
  <si>
    <t>J152</t>
  </si>
  <si>
    <t>TSX</t>
  </si>
  <si>
    <t>BMRN</t>
  </si>
  <si>
    <t>BIOMARIN PHARMACEUTICAL INC</t>
  </si>
  <si>
    <t>91,10</t>
  </si>
  <si>
    <t>8.219.771</t>
  </si>
  <si>
    <t>8.219.770,80</t>
  </si>
  <si>
    <t>US09061G1013</t>
  </si>
  <si>
    <t>J153</t>
  </si>
  <si>
    <t>KSU</t>
  </si>
  <si>
    <t>KANSAS CITY SOUTHERN</t>
  </si>
  <si>
    <t>158,25</t>
  </si>
  <si>
    <t>8.201.465</t>
  </si>
  <si>
    <t>8.201.464,50</t>
  </si>
  <si>
    <t>US4851703029</t>
  </si>
  <si>
    <t>IMP</t>
  </si>
  <si>
    <t>QSR</t>
  </si>
  <si>
    <t>RESTAURANTS BRANDS INTERNATIONAL I</t>
  </si>
  <si>
    <t>62,56</t>
  </si>
  <si>
    <t>8.195.717</t>
  </si>
  <si>
    <t>8.195.716,89</t>
  </si>
  <si>
    <t>CA76131D1033</t>
  </si>
  <si>
    <t>LON</t>
  </si>
  <si>
    <t>TRI</t>
  </si>
  <si>
    <t>THOMSON REUTERS CORP</t>
  </si>
  <si>
    <t>75,16</t>
  </si>
  <si>
    <t>8.185.102</t>
  </si>
  <si>
    <t>8.185.101,88</t>
  </si>
  <si>
    <t>CA8849037095</t>
  </si>
  <si>
    <t>NHM</t>
  </si>
  <si>
    <t>HBAN</t>
  </si>
  <si>
    <t>HUNTINGTON BANCSHARES INC</t>
  </si>
  <si>
    <t>14,38</t>
  </si>
  <si>
    <t>8.183.342</t>
  </si>
  <si>
    <t>8.183.341,64</t>
  </si>
  <si>
    <t>US4461501045</t>
  </si>
  <si>
    <t>RBP</t>
  </si>
  <si>
    <t>ATO</t>
  </si>
  <si>
    <t>ATMOS ENERGY CORP</t>
  </si>
  <si>
    <t>111,39</t>
  </si>
  <si>
    <t>8.176.360</t>
  </si>
  <si>
    <t>8.176.360,17</t>
  </si>
  <si>
    <t>US0495601058</t>
  </si>
  <si>
    <t>J154</t>
  </si>
  <si>
    <t>AGL</t>
  </si>
  <si>
    <t>COL</t>
  </si>
  <si>
    <t>COLES GROUP LTD</t>
  </si>
  <si>
    <t>10,81</t>
  </si>
  <si>
    <t>8.155.193</t>
  </si>
  <si>
    <t>8.155.193,25</t>
  </si>
  <si>
    <t>AU0000030678</t>
  </si>
  <si>
    <t>ARI</t>
  </si>
  <si>
    <t>MLM</t>
  </si>
  <si>
    <t>MARTIN MARIETTA MATERIALS INC</t>
  </si>
  <si>
    <t>276,87</t>
  </si>
  <si>
    <t>8.096.509</t>
  </si>
  <si>
    <t>8.096.509,41</t>
  </si>
  <si>
    <t>US5732841060</t>
  </si>
  <si>
    <t>BIL</t>
  </si>
  <si>
    <t>TECHTRONIC INDUSTRIES LTD</t>
  </si>
  <si>
    <t>8,16</t>
  </si>
  <si>
    <t>8.087.442</t>
  </si>
  <si>
    <t>8.087.442,30</t>
  </si>
  <si>
    <t>HK0669013440</t>
  </si>
  <si>
    <t>ASR</t>
  </si>
  <si>
    <t>AKAM</t>
  </si>
  <si>
    <t>AKAMAI TECHNOLOGIES INC</t>
  </si>
  <si>
    <t>93,53</t>
  </si>
  <si>
    <t>8.078.467</t>
  </si>
  <si>
    <t>8.078.466,69</t>
  </si>
  <si>
    <t>US00971T1016</t>
  </si>
  <si>
    <t>GLN</t>
  </si>
  <si>
    <t>LNG</t>
  </si>
  <si>
    <t>CHENIERE ENERGY INC</t>
  </si>
  <si>
    <t>63,73</t>
  </si>
  <si>
    <t>8.034.122</t>
  </si>
  <si>
    <t>8.034.122,45</t>
  </si>
  <si>
    <t>US16411R2085</t>
  </si>
  <si>
    <t>Nyse Mkt Llc</t>
  </si>
  <si>
    <t>S32</t>
  </si>
  <si>
    <t>JXTG HOLDINGS INC</t>
  </si>
  <si>
    <t>4,59</t>
  </si>
  <si>
    <t>1.748.528</t>
  </si>
  <si>
    <t>8.024.460</t>
  </si>
  <si>
    <t>8.024.460,37</t>
  </si>
  <si>
    <t>JP3386450005</t>
  </si>
  <si>
    <t>J173</t>
  </si>
  <si>
    <t>MND</t>
  </si>
  <si>
    <t>ABC</t>
  </si>
  <si>
    <t>AMERISOURCEBERGEN CORP</t>
  </si>
  <si>
    <t>87,04</t>
  </si>
  <si>
    <t>8.007.767</t>
  </si>
  <si>
    <t>8.007.767,04</t>
  </si>
  <si>
    <t>US03073E1055</t>
  </si>
  <si>
    <t>MNP</t>
  </si>
  <si>
    <t>L</t>
  </si>
  <si>
    <t>LOEWS CORP</t>
  </si>
  <si>
    <t>7.989.933</t>
  </si>
  <si>
    <t>7.989.933,22</t>
  </si>
  <si>
    <t>US5404241086</t>
  </si>
  <si>
    <t>ASAHI KASEI CORP</t>
  </si>
  <si>
    <t>10,90</t>
  </si>
  <si>
    <t>7.968.305</t>
  </si>
  <si>
    <t>7.968.304,97</t>
  </si>
  <si>
    <t>JP3111200006</t>
  </si>
  <si>
    <t>J175</t>
  </si>
  <si>
    <t>KIO</t>
  </si>
  <si>
    <t>SOON</t>
  </si>
  <si>
    <t>SONOVA HOLDING AG</t>
  </si>
  <si>
    <t>230,26</t>
  </si>
  <si>
    <t>7.961.220</t>
  </si>
  <si>
    <t>7.961.220,14</t>
  </si>
  <si>
    <t>CH0012549785</t>
  </si>
  <si>
    <t>ACL</t>
  </si>
  <si>
    <t>ACA</t>
  </si>
  <si>
    <t>CREDIT AGRICOLE SA</t>
  </si>
  <si>
    <t>14,31</t>
  </si>
  <si>
    <t>7.958.418</t>
  </si>
  <si>
    <t>7.958.417,78</t>
  </si>
  <si>
    <t>FR0000045072</t>
  </si>
  <si>
    <t>J177</t>
  </si>
  <si>
    <t>MTX</t>
  </si>
  <si>
    <t>MTU AERO ENGINES HOLDING AG</t>
  </si>
  <si>
    <t>298,73</t>
  </si>
  <si>
    <t>7.956.996</t>
  </si>
  <si>
    <t>7.956.995,72</t>
  </si>
  <si>
    <t>DE000A0D9PT0</t>
  </si>
  <si>
    <t>MITSUBISHI HEAVY INDUSTRIES LTD</t>
  </si>
  <si>
    <t>39,28</t>
  </si>
  <si>
    <t>7.940.636</t>
  </si>
  <si>
    <t>7.940.636,44</t>
  </si>
  <si>
    <t>JP3900000005</t>
  </si>
  <si>
    <t>CBOE</t>
  </si>
  <si>
    <t>CBOE GLOBAL MARKETS INC</t>
  </si>
  <si>
    <t>115,85</t>
  </si>
  <si>
    <t>7.933.176</t>
  </si>
  <si>
    <t>7.933.176,30</t>
  </si>
  <si>
    <t>US12503M1080</t>
  </si>
  <si>
    <t>Cboe BZX formerly known as BATS</t>
  </si>
  <si>
    <t>DGX</t>
  </si>
  <si>
    <t>QUEST DIAGNOSTICS INC</t>
  </si>
  <si>
    <t>106,85</t>
  </si>
  <si>
    <t>7.933.185</t>
  </si>
  <si>
    <t>7.933.185,10</t>
  </si>
  <si>
    <t>US74834L1008</t>
  </si>
  <si>
    <t>SUMITOMO MITSUI TRUST HOLDINGS INC</t>
  </si>
  <si>
    <t>39,04</t>
  </si>
  <si>
    <t>7.923.654</t>
  </si>
  <si>
    <t>7.923.653,90</t>
  </si>
  <si>
    <t>JP3892100003</t>
  </si>
  <si>
    <t>MOWI</t>
  </si>
  <si>
    <t>25,69</t>
  </si>
  <si>
    <t>7.882.791</t>
  </si>
  <si>
    <t>7.882.791,44</t>
  </si>
  <si>
    <t>NO0003054108</t>
  </si>
  <si>
    <t>SRG</t>
  </si>
  <si>
    <t>SNAM</t>
  </si>
  <si>
    <t>5,31</t>
  </si>
  <si>
    <t>1.481.238</t>
  </si>
  <si>
    <t>7.858.834</t>
  </si>
  <si>
    <t>7.858.833,97</t>
  </si>
  <si>
    <t>IT0003153415</t>
  </si>
  <si>
    <t>SGRO</t>
  </si>
  <si>
    <t>SEGRO REIT PLC</t>
  </si>
  <si>
    <t>11,37</t>
  </si>
  <si>
    <t>7.856.761</t>
  </si>
  <si>
    <t>7.856.761,22</t>
  </si>
  <si>
    <t>GB00B5ZN1N88</t>
  </si>
  <si>
    <t>KKR</t>
  </si>
  <si>
    <t>KKR AND CO INC CLASS A</t>
  </si>
  <si>
    <t>29,98</t>
  </si>
  <si>
    <t>7.840.040</t>
  </si>
  <si>
    <t>7.840.039,82</t>
  </si>
  <si>
    <t>US48251W1045</t>
  </si>
  <si>
    <t>PAYC</t>
  </si>
  <si>
    <t>PAYCOM SOFTWARE INC</t>
  </si>
  <si>
    <t>285,58</t>
  </si>
  <si>
    <t>7.826.605</t>
  </si>
  <si>
    <t>7.826.605,48</t>
  </si>
  <si>
    <t>US70432V1026</t>
  </si>
  <si>
    <t>HOLX</t>
  </si>
  <si>
    <t>HOLOGIC INC</t>
  </si>
  <si>
    <t>53,17</t>
  </si>
  <si>
    <t>7.820.244</t>
  </si>
  <si>
    <t>7.820.243,60</t>
  </si>
  <si>
    <t>US4364401012</t>
  </si>
  <si>
    <t>SOMPO HOLDINGS INC</t>
  </si>
  <si>
    <t>38,69</t>
  </si>
  <si>
    <t>7.806.709</t>
  </si>
  <si>
    <t>7.806.708,93</t>
  </si>
  <si>
    <t>JP3165000005</t>
  </si>
  <si>
    <t>STX</t>
  </si>
  <si>
    <t>SEAGATE TECHNOLOGY PLC</t>
  </si>
  <si>
    <t>59,98</t>
  </si>
  <si>
    <t>7.804.718</t>
  </si>
  <si>
    <t>7.804.717,56</t>
  </si>
  <si>
    <t>IE00B58JVZ52</t>
  </si>
  <si>
    <t>MRO</t>
  </si>
  <si>
    <t>MELROSE INDUSTRIES PLC</t>
  </si>
  <si>
    <t>3,10</t>
  </si>
  <si>
    <t>2.515.643</t>
  </si>
  <si>
    <t>7.796.623</t>
  </si>
  <si>
    <t>7.796.623,30</t>
  </si>
  <si>
    <t>GB00BZ1G4322</t>
  </si>
  <si>
    <t>BR</t>
  </si>
  <si>
    <t>BROADRIDGE FINANCIAL SOLUTIONS INC</t>
  </si>
  <si>
    <t>127,59</t>
  </si>
  <si>
    <t>7.787.711</t>
  </si>
  <si>
    <t>7.787.710,83</t>
  </si>
  <si>
    <t>US11133T1034</t>
  </si>
  <si>
    <t>AHT</t>
  </si>
  <si>
    <t>ASHTEAD GROUP PLC</t>
  </si>
  <si>
    <t>32,02</t>
  </si>
  <si>
    <t>7.779.963</t>
  </si>
  <si>
    <t>7.779.962,59</t>
  </si>
  <si>
    <t>GB0000536739</t>
  </si>
  <si>
    <t>TDK CORP</t>
  </si>
  <si>
    <t>114,55</t>
  </si>
  <si>
    <t>7.777.884</t>
  </si>
  <si>
    <t>7.777.884,26</t>
  </si>
  <si>
    <t>JP3538800008</t>
  </si>
  <si>
    <t>J200</t>
  </si>
  <si>
    <t>SANDS CHINA LTD</t>
  </si>
  <si>
    <t>5,58</t>
  </si>
  <si>
    <t>1.382.670</t>
  </si>
  <si>
    <t>7.717.551</t>
  </si>
  <si>
    <t>7.717.550,84</t>
  </si>
  <si>
    <t>KYG7800X1079</t>
  </si>
  <si>
    <t>FNF</t>
  </si>
  <si>
    <t>FIDELITY NATIONAL FINANCIAL INC</t>
  </si>
  <si>
    <t>45,77</t>
  </si>
  <si>
    <t>7.685.286</t>
  </si>
  <si>
    <t>7.685.286,47</t>
  </si>
  <si>
    <t>US31620R3030</t>
  </si>
  <si>
    <t>APN</t>
  </si>
  <si>
    <t>LDOS</t>
  </si>
  <si>
    <t>LEIDOS HOLDINGS INC</t>
  </si>
  <si>
    <t>101,02</t>
  </si>
  <si>
    <t>7.679.641</t>
  </si>
  <si>
    <t>7.679.641,42</t>
  </si>
  <si>
    <t>US5253271028</t>
  </si>
  <si>
    <t>RBS</t>
  </si>
  <si>
    <t>ROYAL BANK OF SCOTLAND GROUP PLC</t>
  </si>
  <si>
    <t>3,07</t>
  </si>
  <si>
    <t>2.497.935</t>
  </si>
  <si>
    <t>7.676.493</t>
  </si>
  <si>
    <t>7.676.493,10</t>
  </si>
  <si>
    <t>GB00B7T77214</t>
  </si>
  <si>
    <t>BVT</t>
  </si>
  <si>
    <t>SSNC</t>
  </si>
  <si>
    <t>SS AND C TECHNOLOGIES HOLDINGS INC</t>
  </si>
  <si>
    <t>62,19</t>
  </si>
  <si>
    <t>7.645.141</t>
  </si>
  <si>
    <t>7.645.141,08</t>
  </si>
  <si>
    <t>US78467J1007</t>
  </si>
  <si>
    <t>CPI</t>
  </si>
  <si>
    <t>WEST JAPAN RAILWAY</t>
  </si>
  <si>
    <t>86,26</t>
  </si>
  <si>
    <t>7.629.034</t>
  </si>
  <si>
    <t>7.629.034,22</t>
  </si>
  <si>
    <t>JP3659000008</t>
  </si>
  <si>
    <t>VIE</t>
  </si>
  <si>
    <t>VEOLIA ENVIRON. SA</t>
  </si>
  <si>
    <t>27,06</t>
  </si>
  <si>
    <t>7.627.221</t>
  </si>
  <si>
    <t>7.627.220,78</t>
  </si>
  <si>
    <t>FR0000124141</t>
  </si>
  <si>
    <t>FSR</t>
  </si>
  <si>
    <t>FANG</t>
  </si>
  <si>
    <t>DIAMONDBACK ENERGY INC</t>
  </si>
  <si>
    <t>92,26</t>
  </si>
  <si>
    <t>7.615.417</t>
  </si>
  <si>
    <t>7.615.417,18</t>
  </si>
  <si>
    <t>US25278X1090</t>
  </si>
  <si>
    <t>SGEN</t>
  </si>
  <si>
    <t>SEATTLE GENETICS INC</t>
  </si>
  <si>
    <t>112,44</t>
  </si>
  <si>
    <t>7.611.513</t>
  </si>
  <si>
    <t>7.611.513,36</t>
  </si>
  <si>
    <t>US8125781026</t>
  </si>
  <si>
    <t>INL</t>
  </si>
  <si>
    <t>GPC</t>
  </si>
  <si>
    <t>GENUINE PARTS</t>
  </si>
  <si>
    <t>98,90</t>
  </si>
  <si>
    <t>7.608.575</t>
  </si>
  <si>
    <t>7.608.574,80</t>
  </si>
  <si>
    <t>US3724601055</t>
  </si>
  <si>
    <t>INP</t>
  </si>
  <si>
    <t>DWNI</t>
  </si>
  <si>
    <t>DEUTSCHE WOHNEN</t>
  </si>
  <si>
    <t>40,26</t>
  </si>
  <si>
    <t>7.601.279</t>
  </si>
  <si>
    <t>7.601.278,98</t>
  </si>
  <si>
    <t>DE000A0HN5C6</t>
  </si>
  <si>
    <t>CHKP</t>
  </si>
  <si>
    <t>CHECK POINT SOFTWARE TECHNOLOGIES</t>
  </si>
  <si>
    <t>112,62</t>
  </si>
  <si>
    <t>7.598.471</t>
  </si>
  <si>
    <t>7.598.471,40</t>
  </si>
  <si>
    <t>IL0010824113</t>
  </si>
  <si>
    <t>Israel</t>
  </si>
  <si>
    <t>NVR</t>
  </si>
  <si>
    <t>NVR INC</t>
  </si>
  <si>
    <t>3.781,31</t>
  </si>
  <si>
    <t>7.592.870</t>
  </si>
  <si>
    <t>7.592.870,48</t>
  </si>
  <si>
    <t>US62944T1051</t>
  </si>
  <si>
    <t>MTN</t>
  </si>
  <si>
    <t>WPC</t>
  </si>
  <si>
    <t>W. P. CAREY REIT INC</t>
  </si>
  <si>
    <t>82,08</t>
  </si>
  <si>
    <t>7.567.201</t>
  </si>
  <si>
    <t>7.567.201,44</t>
  </si>
  <si>
    <t>US92936U1097</t>
  </si>
  <si>
    <t>NED</t>
  </si>
  <si>
    <t>STE</t>
  </si>
  <si>
    <t>STERIS</t>
  </si>
  <si>
    <t>151,01</t>
  </si>
  <si>
    <t>7.566.507</t>
  </si>
  <si>
    <t>7.566.507,06</t>
  </si>
  <si>
    <t>IE00BFY8C754</t>
  </si>
  <si>
    <t>NPN</t>
  </si>
  <si>
    <t>WAB</t>
  </si>
  <si>
    <t>WESTINGHOUSE AIR BRAKE TECHNOLOGIE</t>
  </si>
  <si>
    <t>77,69</t>
  </si>
  <si>
    <t>7.553.721</t>
  </si>
  <si>
    <t>7.553.721,01</t>
  </si>
  <si>
    <t>US9297401088</t>
  </si>
  <si>
    <t>NTC</t>
  </si>
  <si>
    <t>HANG SENG BANK LTD</t>
  </si>
  <si>
    <t>21,24</t>
  </si>
  <si>
    <t>7.544.402</t>
  </si>
  <si>
    <t>7.544.401,95</t>
  </si>
  <si>
    <t>HK0011000095</t>
  </si>
  <si>
    <t>IFC</t>
  </si>
  <si>
    <t>INTACT FINANCIAL CORP</t>
  </si>
  <si>
    <t>7.527.701</t>
  </si>
  <si>
    <t>7.527.700,72</t>
  </si>
  <si>
    <t>CA45823T1066</t>
  </si>
  <si>
    <t>REM</t>
  </si>
  <si>
    <t>POWER ASSETS HOLDINGS LTD</t>
  </si>
  <si>
    <t>7,44</t>
  </si>
  <si>
    <t>1.010.865</t>
  </si>
  <si>
    <t>7.523.031</t>
  </si>
  <si>
    <t>7.523.031,08</t>
  </si>
  <si>
    <t>HK0006000050</t>
  </si>
  <si>
    <t>RMH</t>
  </si>
  <si>
    <t>EPAM</t>
  </si>
  <si>
    <t>EPAM SYSTEMS INC</t>
  </si>
  <si>
    <t>223,08</t>
  </si>
  <si>
    <t>7.496.603</t>
  </si>
  <si>
    <t>7.496.603,40</t>
  </si>
  <si>
    <t>US29414B1044</t>
  </si>
  <si>
    <t>EXR</t>
  </si>
  <si>
    <t>EXTRA SPACE STORAGE REIT INC</t>
  </si>
  <si>
    <t>107,77</t>
  </si>
  <si>
    <t>7.452.942</t>
  </si>
  <si>
    <t>7.452.942,12</t>
  </si>
  <si>
    <t>US30225T1025</t>
  </si>
  <si>
    <t>SBK</t>
  </si>
  <si>
    <t>WDI</t>
  </si>
  <si>
    <t>WIRECARD AG</t>
  </si>
  <si>
    <t>123,25</t>
  </si>
  <si>
    <t>7.419.819</t>
  </si>
  <si>
    <t>7.419.819,14</t>
  </si>
  <si>
    <t>DE0007472060</t>
  </si>
  <si>
    <t>SHP</t>
  </si>
  <si>
    <t>COLO B</t>
  </si>
  <si>
    <t>COLOPLAST B</t>
  </si>
  <si>
    <t>120,90</t>
  </si>
  <si>
    <t>7.416.728</t>
  </si>
  <si>
    <t>7.416.727,56</t>
  </si>
  <si>
    <t>DK0060448595</t>
  </si>
  <si>
    <t>SLM</t>
  </si>
  <si>
    <t>DRI</t>
  </si>
  <si>
    <t>DARDEN RESTAURANTS INC</t>
  </si>
  <si>
    <t>7.412.760</t>
  </si>
  <si>
    <t>7.412.759,60</t>
  </si>
  <si>
    <t>US2371941053</t>
  </si>
  <si>
    <t>EDEN</t>
  </si>
  <si>
    <t>EDENRED SA</t>
  </si>
  <si>
    <t>52,36</t>
  </si>
  <si>
    <t>7.411.473</t>
  </si>
  <si>
    <t>7.411.472,68</t>
  </si>
  <si>
    <t>FR0010908533</t>
  </si>
  <si>
    <t>SPP</t>
  </si>
  <si>
    <t>WYNN</t>
  </si>
  <si>
    <t>WYNN RESORTS LTD</t>
  </si>
  <si>
    <t>143,01</t>
  </si>
  <si>
    <t>7.410.778</t>
  </si>
  <si>
    <t>7.410.778,20</t>
  </si>
  <si>
    <t>US9831341071</t>
  </si>
  <si>
    <t>TBS</t>
  </si>
  <si>
    <t>JAPAN POST HOLDINGS LTD</t>
  </si>
  <si>
    <t>9,32</t>
  </si>
  <si>
    <t>7.406.816</t>
  </si>
  <si>
    <t>7.406.816,36</t>
  </si>
  <si>
    <t>JP3752900005</t>
  </si>
  <si>
    <t>CON</t>
  </si>
  <si>
    <t>CONTINENTAL AG</t>
  </si>
  <si>
    <t>132,25</t>
  </si>
  <si>
    <t>7.400.085</t>
  </si>
  <si>
    <t>7.400.085,12</t>
  </si>
  <si>
    <t>DE0005439004</t>
  </si>
  <si>
    <t>WHL</t>
  </si>
  <si>
    <t>WPM</t>
  </si>
  <si>
    <t>WHEATON PRECIOUS METALS CORP</t>
  </si>
  <si>
    <t>27,79</t>
  </si>
  <si>
    <t>7.389.365</t>
  </si>
  <si>
    <t>7.389.364,65</t>
  </si>
  <si>
    <t>CA9628791027</t>
  </si>
  <si>
    <t>ULTA</t>
  </si>
  <si>
    <t>ULTA BEAUTY INC</t>
  </si>
  <si>
    <t>267,28</t>
  </si>
  <si>
    <t>7.381.204</t>
  </si>
  <si>
    <t>7.381.204,48</t>
  </si>
  <si>
    <t>US90384S3031</t>
  </si>
  <si>
    <t>BTI</t>
  </si>
  <si>
    <t>XYL</t>
  </si>
  <si>
    <t>XYLEM INC</t>
  </si>
  <si>
    <t>79,94</t>
  </si>
  <si>
    <t>7.376.543</t>
  </si>
  <si>
    <t>7.376.543,44</t>
  </si>
  <si>
    <t>US98419M1009</t>
  </si>
  <si>
    <t>WAT</t>
  </si>
  <si>
    <t>WATER CORP</t>
  </si>
  <si>
    <t>230,88</t>
  </si>
  <si>
    <t>7.374.769</t>
  </si>
  <si>
    <t>7.374.768,96</t>
  </si>
  <si>
    <t>US9418481035</t>
  </si>
  <si>
    <t>CLS</t>
  </si>
  <si>
    <t>IFF</t>
  </si>
  <si>
    <t>INTERNATIONAL FLAVORS &amp; FRAGRANCES</t>
  </si>
  <si>
    <t>125,99</t>
  </si>
  <si>
    <t>7.366.005</t>
  </si>
  <si>
    <t>7.366.005,35</t>
  </si>
  <si>
    <t>US4595061015</t>
  </si>
  <si>
    <t>LHC</t>
  </si>
  <si>
    <t>AEM</t>
  </si>
  <si>
    <t>AGNICO EAGLE MINES LTD</t>
  </si>
  <si>
    <t>59,33</t>
  </si>
  <si>
    <t>7.351.504</t>
  </si>
  <si>
    <t>7.351.504,42</t>
  </si>
  <si>
    <t>CA0084741085</t>
  </si>
  <si>
    <t>TFG</t>
  </si>
  <si>
    <t>UNICHARM CORP</t>
  </si>
  <si>
    <t>34,26</t>
  </si>
  <si>
    <t>7.329.140</t>
  </si>
  <si>
    <t>7.329.140,20</t>
  </si>
  <si>
    <t>JP3951600000</t>
  </si>
  <si>
    <t>MRP</t>
  </si>
  <si>
    <t>VAR</t>
  </si>
  <si>
    <t>VARIAN MEDICAL SYSTEMS INC</t>
  </si>
  <si>
    <t>146,62</t>
  </si>
  <si>
    <t>7.326.162</t>
  </si>
  <si>
    <t>7.326.161,54</t>
  </si>
  <si>
    <t>US92220P1057</t>
  </si>
  <si>
    <t>MEI</t>
  </si>
  <si>
    <t>EMA</t>
  </si>
  <si>
    <t>EMERA INC</t>
  </si>
  <si>
    <t>43,38</t>
  </si>
  <si>
    <t>7.307.522</t>
  </si>
  <si>
    <t>7.307.522,14</t>
  </si>
  <si>
    <t>CA2908761018</t>
  </si>
  <si>
    <t>BID</t>
  </si>
  <si>
    <t>UDR</t>
  </si>
  <si>
    <t>UDR REIT INC</t>
  </si>
  <si>
    <t>46,05</t>
  </si>
  <si>
    <t>7.302.931</t>
  </si>
  <si>
    <t>7.302.931,35</t>
  </si>
  <si>
    <t>US9026531049</t>
  </si>
  <si>
    <t>NRP</t>
  </si>
  <si>
    <t>OKTA</t>
  </si>
  <si>
    <t>OKTA INC CLASS A</t>
  </si>
  <si>
    <t>129,39</t>
  </si>
  <si>
    <t>7.304.324</t>
  </si>
  <si>
    <t>7.304.324,28</t>
  </si>
  <si>
    <t>US6792951054</t>
  </si>
  <si>
    <t>RNI</t>
  </si>
  <si>
    <t>SCHP</t>
  </si>
  <si>
    <t>SCHINDLER HOLDING PAR AG</t>
  </si>
  <si>
    <t>250,71</t>
  </si>
  <si>
    <t>7.272.742</t>
  </si>
  <si>
    <t>7.272.741,84</t>
  </si>
  <si>
    <t>CH0024638196</t>
  </si>
  <si>
    <t>OMU</t>
  </si>
  <si>
    <t>SGSN</t>
  </si>
  <si>
    <t>SGS SA</t>
  </si>
  <si>
    <t>2.687,90</t>
  </si>
  <si>
    <t>7.270.773</t>
  </si>
  <si>
    <t>7.270.773,18</t>
  </si>
  <si>
    <t>CH0002497458</t>
  </si>
  <si>
    <t>ABG</t>
  </si>
  <si>
    <t>FOXA</t>
  </si>
  <si>
    <t>FOX CORP CLASS A</t>
  </si>
  <si>
    <t>36,72</t>
  </si>
  <si>
    <t>7.270.266</t>
  </si>
  <si>
    <t>7.270.266,24</t>
  </si>
  <si>
    <t>US35137L1052</t>
  </si>
  <si>
    <t>J201</t>
  </si>
  <si>
    <t>TEP</t>
  </si>
  <si>
    <t>TELEPERFORMANCE</t>
  </si>
  <si>
    <t>246,50</t>
  </si>
  <si>
    <t>7.268.223</t>
  </si>
  <si>
    <t>7.268.223,22</t>
  </si>
  <si>
    <t>FR0000051807</t>
  </si>
  <si>
    <t>DRE</t>
  </si>
  <si>
    <t>DUKE REALTY REIT CORP</t>
  </si>
  <si>
    <t>34,92</t>
  </si>
  <si>
    <t>7.265.979</t>
  </si>
  <si>
    <t>7.265.979,00</t>
  </si>
  <si>
    <t>US2644115055</t>
  </si>
  <si>
    <t>YASKAWA ELECTRIC CORP</t>
  </si>
  <si>
    <t>40,30</t>
  </si>
  <si>
    <t>7.261.619</t>
  </si>
  <si>
    <t>7.261.619,20</t>
  </si>
  <si>
    <t>JP3932000007</t>
  </si>
  <si>
    <t>AVI</t>
  </si>
  <si>
    <t>MKTX</t>
  </si>
  <si>
    <t>MARKETAXESS HOLDINGS INC</t>
  </si>
  <si>
    <t>363,07</t>
  </si>
  <si>
    <t>7.256.680</t>
  </si>
  <si>
    <t>7.256.680,09</t>
  </si>
  <si>
    <t>US57060D1081</t>
  </si>
  <si>
    <t>BAT</t>
  </si>
  <si>
    <t>URI</t>
  </si>
  <si>
    <t>UNITED RENTALS INC</t>
  </si>
  <si>
    <t>159,47</t>
  </si>
  <si>
    <t>7.205.014</t>
  </si>
  <si>
    <t>7.205.014,07</t>
  </si>
  <si>
    <t>US9113631090</t>
  </si>
  <si>
    <t>BAW</t>
  </si>
  <si>
    <t>SWED A</t>
  </si>
  <si>
    <t>SWEDBANK</t>
  </si>
  <si>
    <t>14,37</t>
  </si>
  <si>
    <t>7.203.796</t>
  </si>
  <si>
    <t>7.203.795,75</t>
  </si>
  <si>
    <t>SE0000242455</t>
  </si>
  <si>
    <t>CML</t>
  </si>
  <si>
    <t>VNO</t>
  </si>
  <si>
    <t>VORNADO REALTY TRUST REIT</t>
  </si>
  <si>
    <t>66,43</t>
  </si>
  <si>
    <t>7.188.324</t>
  </si>
  <si>
    <t>7.188.323,87</t>
  </si>
  <si>
    <t>US9290421091</t>
  </si>
  <si>
    <t>DVN</t>
  </si>
  <si>
    <t>DEVON ENERGY CORP</t>
  </si>
  <si>
    <t>25,10</t>
  </si>
  <si>
    <t>7.136.382</t>
  </si>
  <si>
    <t>7.136.381,80</t>
  </si>
  <si>
    <t>US25179M1036</t>
  </si>
  <si>
    <t>FBR</t>
  </si>
  <si>
    <t>LBRDK</t>
  </si>
  <si>
    <t>LIBERTY BROADBAND CORP SERIES C</t>
  </si>
  <si>
    <t>128,62</t>
  </si>
  <si>
    <t>7.126.706</t>
  </si>
  <si>
    <t>7.126.705,58</t>
  </si>
  <si>
    <t>US5303073051</t>
  </si>
  <si>
    <t>SUMITOMO REALTY &amp; DEVELOPMENT LTD</t>
  </si>
  <si>
    <t>34,99</t>
  </si>
  <si>
    <t>7.111.342</t>
  </si>
  <si>
    <t>7.111.342,11</t>
  </si>
  <si>
    <t>JP3409000001</t>
  </si>
  <si>
    <t>LW</t>
  </si>
  <si>
    <t>LAMB WESTON HOLDINGS INC</t>
  </si>
  <si>
    <t>90,48</t>
  </si>
  <si>
    <t>7.099.061</t>
  </si>
  <si>
    <t>7.099.060,80</t>
  </si>
  <si>
    <t>US5132721045</t>
  </si>
  <si>
    <t>ORG</t>
  </si>
  <si>
    <t>ORIGIN ENERGY LTD</t>
  </si>
  <si>
    <t>6,03</t>
  </si>
  <si>
    <t>1.177.280</t>
  </si>
  <si>
    <t>7.097.234</t>
  </si>
  <si>
    <t>7.097.234,25</t>
  </si>
  <si>
    <t>AU000000ORG5</t>
  </si>
  <si>
    <t>AEON LTD</t>
  </si>
  <si>
    <t>20,81</t>
  </si>
  <si>
    <t>7.096.386</t>
  </si>
  <si>
    <t>7.096.385,54</t>
  </si>
  <si>
    <t>JP3388200002</t>
  </si>
  <si>
    <t>IPL</t>
  </si>
  <si>
    <t>INF</t>
  </si>
  <si>
    <t>INFORMA PLC</t>
  </si>
  <si>
    <t>7.072.491</t>
  </si>
  <si>
    <t>7.072.490,53</t>
  </si>
  <si>
    <t>GB00BMJ6DW54</t>
  </si>
  <si>
    <t>JSE</t>
  </si>
  <si>
    <t>HANKYU HANSHIN HOLDINGS INC</t>
  </si>
  <si>
    <t>43,04</t>
  </si>
  <si>
    <t>7.057.868</t>
  </si>
  <si>
    <t>7.057.867,83</t>
  </si>
  <si>
    <t>JP3774200004</t>
  </si>
  <si>
    <t>KAP</t>
  </si>
  <si>
    <t>SCMN</t>
  </si>
  <si>
    <t>SWISSCOM AG</t>
  </si>
  <si>
    <t>533,06</t>
  </si>
  <si>
    <t>7.056.106</t>
  </si>
  <si>
    <t>7.056.106,45</t>
  </si>
  <si>
    <t>CH0008742519</t>
  </si>
  <si>
    <t>LBH</t>
  </si>
  <si>
    <t>TIF</t>
  </si>
  <si>
    <t>TIFFANY</t>
  </si>
  <si>
    <t>133,83</t>
  </si>
  <si>
    <t>7.047.622</t>
  </si>
  <si>
    <t>7.047.621,63</t>
  </si>
  <si>
    <t>US8865471085</t>
  </si>
  <si>
    <t>MSM</t>
  </si>
  <si>
    <t>APA</t>
  </si>
  <si>
    <t>APA GROUP UNITS</t>
  </si>
  <si>
    <t>7,87</t>
  </si>
  <si>
    <t>7.046.643</t>
  </si>
  <si>
    <t>7.046.642,98</t>
  </si>
  <si>
    <t>AU000000APA1</t>
  </si>
  <si>
    <t>SEKISUI HOUSE LTD</t>
  </si>
  <si>
    <t>21,67</t>
  </si>
  <si>
    <t>7.016.539</t>
  </si>
  <si>
    <t>7.016.539,45</t>
  </si>
  <si>
    <t>JP3420600003</t>
  </si>
  <si>
    <t>NPK</t>
  </si>
  <si>
    <t>HST</t>
  </si>
  <si>
    <t>HOST HOTELS &amp; RESORTS REIT INC</t>
  </si>
  <si>
    <t>17,52</t>
  </si>
  <si>
    <t>7.003.883</t>
  </si>
  <si>
    <t>7.003.882,80</t>
  </si>
  <si>
    <t>US44107P1049</t>
  </si>
  <si>
    <t>FMC</t>
  </si>
  <si>
    <t>FMC CORP</t>
  </si>
  <si>
    <t>98,00</t>
  </si>
  <si>
    <t>6.987.988</t>
  </si>
  <si>
    <t>6.987.988,00</t>
  </si>
  <si>
    <t>US3024913036</t>
  </si>
  <si>
    <t>OCE</t>
  </si>
  <si>
    <t>LNC</t>
  </si>
  <si>
    <t>LINCOLN NATIONAL CORP</t>
  </si>
  <si>
    <t>58,98</t>
  </si>
  <si>
    <t>6.985.945</t>
  </si>
  <si>
    <t>6.985.945,08</t>
  </si>
  <si>
    <t>US5341871094</t>
  </si>
  <si>
    <t>PIK</t>
  </si>
  <si>
    <t>CCEP</t>
  </si>
  <si>
    <t>COCA COLA EUROPEAN PARTNERS PLC</t>
  </si>
  <si>
    <t>51,06</t>
  </si>
  <si>
    <t>6.983.272</t>
  </si>
  <si>
    <t>6.983.271,96</t>
  </si>
  <si>
    <t>GB00BDCPN049</t>
  </si>
  <si>
    <t>HEXA B</t>
  </si>
  <si>
    <t>HEXAGON B</t>
  </si>
  <si>
    <t>55,83</t>
  </si>
  <si>
    <t>6.977.845</t>
  </si>
  <si>
    <t>6.977.845,26</t>
  </si>
  <si>
    <t>SE0000103699</t>
  </si>
  <si>
    <t>RLO</t>
  </si>
  <si>
    <t>VMW</t>
  </si>
  <si>
    <t>VMWARE CLASS A INC</t>
  </si>
  <si>
    <t>6.965.508</t>
  </si>
  <si>
    <t>6.965.507,99</t>
  </si>
  <si>
    <t>US9285634021</t>
  </si>
  <si>
    <t>SAC</t>
  </si>
  <si>
    <t>AES</t>
  </si>
  <si>
    <t>AES CORP</t>
  </si>
  <si>
    <t>20,18</t>
  </si>
  <si>
    <t>6.939.559</t>
  </si>
  <si>
    <t>6.939.558,94</t>
  </si>
  <si>
    <t>US00130H1059</t>
  </si>
  <si>
    <t>SNT</t>
  </si>
  <si>
    <t>EDP</t>
  </si>
  <si>
    <t>EDP ENERGIAS DE PORTUGAL SA</t>
  </si>
  <si>
    <t>4,30</t>
  </si>
  <si>
    <t>1.607.251</t>
  </si>
  <si>
    <t>6.912.665</t>
  </si>
  <si>
    <t>6.912.665,20</t>
  </si>
  <si>
    <t>PTEDP0AM0009</t>
  </si>
  <si>
    <t>Nyse Euronext - Euronext Lisbon</t>
  </si>
  <si>
    <t>Portugal</t>
  </si>
  <si>
    <t>CNP</t>
  </si>
  <si>
    <t>CENTERPOINT ENERGY INC</t>
  </si>
  <si>
    <t>26,30</t>
  </si>
  <si>
    <t>6.905.933</t>
  </si>
  <si>
    <t>6.905.932,90</t>
  </si>
  <si>
    <t>US15189T1079</t>
  </si>
  <si>
    <t>FFH</t>
  </si>
  <si>
    <t>FAIRFAX FINANCIAL HOLDINGS SUB VOT</t>
  </si>
  <si>
    <t>465,54</t>
  </si>
  <si>
    <t>6.902.101</t>
  </si>
  <si>
    <t>6.902.101,37</t>
  </si>
  <si>
    <t>CA3039011026</t>
  </si>
  <si>
    <t>TKG</t>
  </si>
  <si>
    <t>INCY</t>
  </si>
  <si>
    <t>INCYTE CORP</t>
  </si>
  <si>
    <t>76,47</t>
  </si>
  <si>
    <t>6.893.006</t>
  </si>
  <si>
    <t>6.893.005,80</t>
  </si>
  <si>
    <t>US45337C1027</t>
  </si>
  <si>
    <t>TON</t>
  </si>
  <si>
    <t>IEX</t>
  </si>
  <si>
    <t>IDEX CORP</t>
  </si>
  <si>
    <t>172,07</t>
  </si>
  <si>
    <t>6.888.995</t>
  </si>
  <si>
    <t>6.888.994,52</t>
  </si>
  <si>
    <t>US45167R1041</t>
  </si>
  <si>
    <t>SIVB</t>
  </si>
  <si>
    <t>SVB FINANCIAL GROUP</t>
  </si>
  <si>
    <t>251,73</t>
  </si>
  <si>
    <t>6.887.836</t>
  </si>
  <si>
    <t>6.887.836,26</t>
  </si>
  <si>
    <t>US78486Q1013</t>
  </si>
  <si>
    <t>VKE</t>
  </si>
  <si>
    <t>AMTD</t>
  </si>
  <si>
    <t>TD AMERITRADE HOLDING CORP</t>
  </si>
  <si>
    <t>50,01</t>
  </si>
  <si>
    <t>6.875.387</t>
  </si>
  <si>
    <t>6.875.387,47</t>
  </si>
  <si>
    <t>US87236Y1082</t>
  </si>
  <si>
    <t>HCI</t>
  </si>
  <si>
    <t>LOBLAW COMPANIES LTD</t>
  </si>
  <si>
    <t>51,99</t>
  </si>
  <si>
    <t>6.853.310</t>
  </si>
  <si>
    <t>6.853.310,08</t>
  </si>
  <si>
    <t>CA5394811015</t>
  </si>
  <si>
    <t>AENA</t>
  </si>
  <si>
    <t>AENA SME SA</t>
  </si>
  <si>
    <t>190,71</t>
  </si>
  <si>
    <t>6.817.036</t>
  </si>
  <si>
    <t>6.817.036,01</t>
  </si>
  <si>
    <t>ES0105046009</t>
  </si>
  <si>
    <t>TELENOR</t>
  </si>
  <si>
    <t>17,81</t>
  </si>
  <si>
    <t>6.792.707</t>
  </si>
  <si>
    <t>6.792.706,80</t>
  </si>
  <si>
    <t>NO0010063308</t>
  </si>
  <si>
    <t>III</t>
  </si>
  <si>
    <t>3I GROUP PLC</t>
  </si>
  <si>
    <t>14,22</t>
  </si>
  <si>
    <t>6.776.339</t>
  </si>
  <si>
    <t>6.776.338,98</t>
  </si>
  <si>
    <t>GB00B1YW4409</t>
  </si>
  <si>
    <t>ITE</t>
  </si>
  <si>
    <t>NITORI HOLDINGS LTD</t>
  </si>
  <si>
    <t>158,82</t>
  </si>
  <si>
    <t>6.753.538</t>
  </si>
  <si>
    <t>6.753.537,79</t>
  </si>
  <si>
    <t>JP3756100008</t>
  </si>
  <si>
    <t>FFA</t>
  </si>
  <si>
    <t>CMA</t>
  </si>
  <si>
    <t>COMERICA INC</t>
  </si>
  <si>
    <t>68,42</t>
  </si>
  <si>
    <t>6.740.602</t>
  </si>
  <si>
    <t>6.740.601,56</t>
  </si>
  <si>
    <t>US2003401070</t>
  </si>
  <si>
    <t>CCO</t>
  </si>
  <si>
    <t>NEC CORP</t>
  </si>
  <si>
    <t>46,00</t>
  </si>
  <si>
    <t>6.725.520</t>
  </si>
  <si>
    <t>6.725.520,26</t>
  </si>
  <si>
    <t>JP3733000008</t>
  </si>
  <si>
    <t>GL</t>
  </si>
  <si>
    <t>GLOBE LIFE INC</t>
  </si>
  <si>
    <t>104,25</t>
  </si>
  <si>
    <t>6.704.005</t>
  </si>
  <si>
    <t>6.704.004,75</t>
  </si>
  <si>
    <t>US37959E1029</t>
  </si>
  <si>
    <t>ETFC</t>
  </si>
  <si>
    <t>E TRADE FINANCIAL CORP</t>
  </si>
  <si>
    <t>46,30</t>
  </si>
  <si>
    <t>6.685.952</t>
  </si>
  <si>
    <t>6.685.951,50</t>
  </si>
  <si>
    <t>US2692464017</t>
  </si>
  <si>
    <t>MMI</t>
  </si>
  <si>
    <t>ALLY</t>
  </si>
  <si>
    <t>ALLY FINANCIAL INC</t>
  </si>
  <si>
    <t>29,95</t>
  </si>
  <si>
    <t>6.672.381</t>
  </si>
  <si>
    <t>6.672.380,80</t>
  </si>
  <si>
    <t>US02005N1000</t>
  </si>
  <si>
    <t>TSH</t>
  </si>
  <si>
    <t>RNG</t>
  </si>
  <si>
    <t>RINGCENTRAL INC CLASS A</t>
  </si>
  <si>
    <t>183,48</t>
  </si>
  <si>
    <t>6.664.177</t>
  </si>
  <si>
    <t>6.664.177,08</t>
  </si>
  <si>
    <t>US76680R2067</t>
  </si>
  <si>
    <t>COH</t>
  </si>
  <si>
    <t>BKR</t>
  </si>
  <si>
    <t>BAKER HUGHES CLASS A</t>
  </si>
  <si>
    <t>24,86</t>
  </si>
  <si>
    <t>6.639.037</t>
  </si>
  <si>
    <t>6.639.037,02</t>
  </si>
  <si>
    <t>US05722G1004</t>
  </si>
  <si>
    <t>HEIO</t>
  </si>
  <si>
    <t>HEINEKEN HOLDING NV</t>
  </si>
  <si>
    <t>98,52</t>
  </si>
  <si>
    <t>6.633.037</t>
  </si>
  <si>
    <t>6.633.036,80</t>
  </si>
  <si>
    <t>NL0000008977</t>
  </si>
  <si>
    <t>NISSAN MOTOR LTD</t>
  </si>
  <si>
    <t>5,81</t>
  </si>
  <si>
    <t>1.138.026</t>
  </si>
  <si>
    <t>6.615.633</t>
  </si>
  <si>
    <t>6.615.633,07</t>
  </si>
  <si>
    <t>JP3672400003</t>
  </si>
  <si>
    <t>ITU</t>
  </si>
  <si>
    <t>NCLH</t>
  </si>
  <si>
    <t>NORWEGIAN CRUISE LINE HOLDINGS LTD</t>
  </si>
  <si>
    <t>57,96</t>
  </si>
  <si>
    <t>6.600.601</t>
  </si>
  <si>
    <t>6.600.600,72</t>
  </si>
  <si>
    <t>BMG667211046</t>
  </si>
  <si>
    <t>Z HOLDINGS CORP</t>
  </si>
  <si>
    <t>4,39</t>
  </si>
  <si>
    <t>1.502.300</t>
  </si>
  <si>
    <t>6.595.530</t>
  </si>
  <si>
    <t>6.595.530,30</t>
  </si>
  <si>
    <t>JP3933800009</t>
  </si>
  <si>
    <t>ATT</t>
  </si>
  <si>
    <t>SYSMEX CORP</t>
  </si>
  <si>
    <t>69,88</t>
  </si>
  <si>
    <t>6.590.128</t>
  </si>
  <si>
    <t>6.590.127,71</t>
  </si>
  <si>
    <t>JP3351100007</t>
  </si>
  <si>
    <t>RPL</t>
  </si>
  <si>
    <t>GRMN</t>
  </si>
  <si>
    <t>GARMIN LTD</t>
  </si>
  <si>
    <t>96,50</t>
  </si>
  <si>
    <t>6.575.124</t>
  </si>
  <si>
    <t>6.575.124,00</t>
  </si>
  <si>
    <t>CH0114405324</t>
  </si>
  <si>
    <t>KST</t>
  </si>
  <si>
    <t>ACS</t>
  </si>
  <si>
    <t>ACS ACTIVIDADES DE CONSTRUCCION Y</t>
  </si>
  <si>
    <t>37,92</t>
  </si>
  <si>
    <t>6.545.964</t>
  </si>
  <si>
    <t>6.545.964,28</t>
  </si>
  <si>
    <t>ES0167050915</t>
  </si>
  <si>
    <t>SNH</t>
  </si>
  <si>
    <t>ATCO B</t>
  </si>
  <si>
    <t>ATLAS COPCO CLASS B</t>
  </si>
  <si>
    <t>34,81</t>
  </si>
  <si>
    <t>6.543.315</t>
  </si>
  <si>
    <t>6.543.314,66</t>
  </si>
  <si>
    <t>SE0011166628</t>
  </si>
  <si>
    <t>GRP</t>
  </si>
  <si>
    <t>HII</t>
  </si>
  <si>
    <t>HUNTINGTON INGALLS INDUSTRIES INC</t>
  </si>
  <si>
    <t>270,94</t>
  </si>
  <si>
    <t>6.542.388</t>
  </si>
  <si>
    <t>6.542.388,18</t>
  </si>
  <si>
    <t>US4464131063</t>
  </si>
  <si>
    <t>EPP</t>
  </si>
  <si>
    <t>NLY</t>
  </si>
  <si>
    <t>ANNALY CAPITAL MANAGEMENT REIT INC</t>
  </si>
  <si>
    <t>9,54</t>
  </si>
  <si>
    <t>6.535.911</t>
  </si>
  <si>
    <t>6.535.911,24</t>
  </si>
  <si>
    <t>US0357104092</t>
  </si>
  <si>
    <t>DCP</t>
  </si>
  <si>
    <t>WU</t>
  </si>
  <si>
    <t>WESTERN UNION</t>
  </si>
  <si>
    <t>26,26</t>
  </si>
  <si>
    <t>6.485.012</t>
  </si>
  <si>
    <t>6.485.012,04</t>
  </si>
  <si>
    <t>US9598021098</t>
  </si>
  <si>
    <t>VVO</t>
  </si>
  <si>
    <t>ELISA</t>
  </si>
  <si>
    <t>55,26</t>
  </si>
  <si>
    <t>6.483.722</t>
  </si>
  <si>
    <t>6.483.721,57</t>
  </si>
  <si>
    <t>FI0009007884</t>
  </si>
  <si>
    <t>DGH</t>
  </si>
  <si>
    <t>ODFL</t>
  </si>
  <si>
    <t>OLD DOMINION FREIGHT LINE INC</t>
  </si>
  <si>
    <t>196,97</t>
  </si>
  <si>
    <t>6.468.298</t>
  </si>
  <si>
    <t>6.468.297,83</t>
  </si>
  <si>
    <t>US6795801009</t>
  </si>
  <si>
    <t>QLT</t>
  </si>
  <si>
    <t>ARNC</t>
  </si>
  <si>
    <t>ARCONIC INC</t>
  </si>
  <si>
    <t>28,85</t>
  </si>
  <si>
    <t>6.467.160</t>
  </si>
  <si>
    <t>6.467.160,25</t>
  </si>
  <si>
    <t>US03965L1008</t>
  </si>
  <si>
    <t>J202</t>
  </si>
  <si>
    <t>ACT</t>
  </si>
  <si>
    <t>RJF</t>
  </si>
  <si>
    <t>RAYMOND JAMES INC</t>
  </si>
  <si>
    <t>92,88</t>
  </si>
  <si>
    <t>6.445.872</t>
  </si>
  <si>
    <t>6.445.872,00</t>
  </si>
  <si>
    <t>US7547301090</t>
  </si>
  <si>
    <t>ADH</t>
  </si>
  <si>
    <t>OTEX</t>
  </si>
  <si>
    <t>OPEN TEXT CORP</t>
  </si>
  <si>
    <t>45,84</t>
  </si>
  <si>
    <t>6.434.951</t>
  </si>
  <si>
    <t>6.434.951,09</t>
  </si>
  <si>
    <t>CA6837151068</t>
  </si>
  <si>
    <t>AFT</t>
  </si>
  <si>
    <t>NXT</t>
  </si>
  <si>
    <t>NEXT PLC</t>
  </si>
  <si>
    <t>88,21</t>
  </si>
  <si>
    <t>6.429.231</t>
  </si>
  <si>
    <t>6.429.230,82</t>
  </si>
  <si>
    <t>GB0032089863</t>
  </si>
  <si>
    <t>UHS</t>
  </si>
  <si>
    <t>UNIVERSAL HEALTH SERVICES INC CLAS</t>
  </si>
  <si>
    <t>146,05</t>
  </si>
  <si>
    <t>6.427.222</t>
  </si>
  <si>
    <t>6.427.222,35</t>
  </si>
  <si>
    <t>US9139031002</t>
  </si>
  <si>
    <t>ARL</t>
  </si>
  <si>
    <t>ADEN</t>
  </si>
  <si>
    <t>ADECCO GROUP AG</t>
  </si>
  <si>
    <t>63,01</t>
  </si>
  <si>
    <t>6.427.936</t>
  </si>
  <si>
    <t>6.427.936,34</t>
  </si>
  <si>
    <t>CH0012138605</t>
  </si>
  <si>
    <t>BRN</t>
  </si>
  <si>
    <t>APACHE CORP</t>
  </si>
  <si>
    <t>32,38</t>
  </si>
  <si>
    <t>6.424.840</t>
  </si>
  <si>
    <t>6.424.839,60</t>
  </si>
  <si>
    <t>US0374111054</t>
  </si>
  <si>
    <t>CLH</t>
  </si>
  <si>
    <t>FORTUM</t>
  </si>
  <si>
    <t>23,77</t>
  </si>
  <si>
    <t>6.403.594</t>
  </si>
  <si>
    <t>6.403.593,61</t>
  </si>
  <si>
    <t>FI0009007132</t>
  </si>
  <si>
    <t>CSB</t>
  </si>
  <si>
    <t>BXB</t>
  </si>
  <si>
    <t>BRAMBLES LTD</t>
  </si>
  <si>
    <t>8,36</t>
  </si>
  <si>
    <t>6.396.755</t>
  </si>
  <si>
    <t>6.396.755,24</t>
  </si>
  <si>
    <t>AU000000BXB1</t>
  </si>
  <si>
    <t>DTC</t>
  </si>
  <si>
    <t>TELIA</t>
  </si>
  <si>
    <t>TELIA COMPANY</t>
  </si>
  <si>
    <t>1.480.375</t>
  </si>
  <si>
    <t>6.369.484</t>
  </si>
  <si>
    <t>6.369.483,92</t>
  </si>
  <si>
    <t>SE0000667925</t>
  </si>
  <si>
    <t>EMI</t>
  </si>
  <si>
    <t>J</t>
  </si>
  <si>
    <t>JACOBS ENGINEERING GROUP INC</t>
  </si>
  <si>
    <t>90,63</t>
  </si>
  <si>
    <t>6.355.701</t>
  </si>
  <si>
    <t>6.355.700,64</t>
  </si>
  <si>
    <t>US4698141078</t>
  </si>
  <si>
    <t>EOH</t>
  </si>
  <si>
    <t>XRAY</t>
  </si>
  <si>
    <t>DENTSPLY SIRONA INC</t>
  </si>
  <si>
    <t>57,79</t>
  </si>
  <si>
    <t>6.351.526</t>
  </si>
  <si>
    <t>6.351.525,53</t>
  </si>
  <si>
    <t>US24906P1093</t>
  </si>
  <si>
    <t>GND</t>
  </si>
  <si>
    <t>BOC HONG KONG HOLDINGS LTD</t>
  </si>
  <si>
    <t>3,59</t>
  </si>
  <si>
    <t>1.770.977</t>
  </si>
  <si>
    <t>6.350.530</t>
  </si>
  <si>
    <t>6.350.530,09</t>
  </si>
  <si>
    <t>HK2388011192</t>
  </si>
  <si>
    <t>HDC</t>
  </si>
  <si>
    <t>SHIMANO INC</t>
  </si>
  <si>
    <t>159,18</t>
  </si>
  <si>
    <t>6.350.573</t>
  </si>
  <si>
    <t>6.350.573,20</t>
  </si>
  <si>
    <t>JP3358000002</t>
  </si>
  <si>
    <t>HPB</t>
  </si>
  <si>
    <t>NDAQ</t>
  </si>
  <si>
    <t>NASDAQ INC</t>
  </si>
  <si>
    <t>106,84</t>
  </si>
  <si>
    <t>6.328.026</t>
  </si>
  <si>
    <t>6.328.026,36</t>
  </si>
  <si>
    <t>US6311031081</t>
  </si>
  <si>
    <t>IVT</t>
  </si>
  <si>
    <t>HRL</t>
  </si>
  <si>
    <t>HORMEL FOODS CORP</t>
  </si>
  <si>
    <t>44,90</t>
  </si>
  <si>
    <t>6.316.083</t>
  </si>
  <si>
    <t>6.316.083,00</t>
  </si>
  <si>
    <t>US4404521001</t>
  </si>
  <si>
    <t>LEW</t>
  </si>
  <si>
    <t>ELS</t>
  </si>
  <si>
    <t>EQUITY LIFESTYLE PROPERTIES REIT I</t>
  </si>
  <si>
    <t>69,81</t>
  </si>
  <si>
    <t>6.313.337</t>
  </si>
  <si>
    <t>6.313.337,16</t>
  </si>
  <si>
    <t>US29472R1086</t>
  </si>
  <si>
    <t>BEI</t>
  </si>
  <si>
    <t>BEIERSDORF AG</t>
  </si>
  <si>
    <t>119,69</t>
  </si>
  <si>
    <t>6.306.712</t>
  </si>
  <si>
    <t>6.306.711,98</t>
  </si>
  <si>
    <t>DE0005200000</t>
  </si>
  <si>
    <t>MTA</t>
  </si>
  <si>
    <t>CVE</t>
  </si>
  <si>
    <t>CENOVUS ENERGY INC</t>
  </si>
  <si>
    <t>9,90</t>
  </si>
  <si>
    <t>6.301.236</t>
  </si>
  <si>
    <t>6.301.235,90</t>
  </si>
  <si>
    <t>CA15135U1093</t>
  </si>
  <si>
    <t>MUR</t>
  </si>
  <si>
    <t>MYL</t>
  </si>
  <si>
    <t>MYLAN NV</t>
  </si>
  <si>
    <t>20,85</t>
  </si>
  <si>
    <t>6.291.925</t>
  </si>
  <si>
    <t>6.291.925,35</t>
  </si>
  <si>
    <t>NL0011031208</t>
  </si>
  <si>
    <t>OCT</t>
  </si>
  <si>
    <t>ABF</t>
  </si>
  <si>
    <t>ASSOCIATED BRITISH FOODS PLC</t>
  </si>
  <si>
    <t>34,23</t>
  </si>
  <si>
    <t>6.271.087</t>
  </si>
  <si>
    <t>6.271.086,79</t>
  </si>
  <si>
    <t>GB0006731235</t>
  </si>
  <si>
    <t>NBL</t>
  </si>
  <si>
    <t>NOBLE ENERGY INC</t>
  </si>
  <si>
    <t>22,26</t>
  </si>
  <si>
    <t>6.256.218</t>
  </si>
  <si>
    <t>6.256.217,52</t>
  </si>
  <si>
    <t>US6550441058</t>
  </si>
  <si>
    <t>BZFUT</t>
  </si>
  <si>
    <t>CASH COLLATERAL USD BZFUT</t>
  </si>
  <si>
    <t>Cash Collateral and Margins</t>
  </si>
  <si>
    <t>6.253.900</t>
  </si>
  <si>
    <t>6.253.900,00</t>
  </si>
  <si>
    <t>PPC</t>
  </si>
  <si>
    <t>VOYA</t>
  </si>
  <si>
    <t>VOYA FINANCIAL INC</t>
  </si>
  <si>
    <t>61,74</t>
  </si>
  <si>
    <t>6.242.778</t>
  </si>
  <si>
    <t>6.242.778,36</t>
  </si>
  <si>
    <t>US9290891004</t>
  </si>
  <si>
    <t>RBX</t>
  </si>
  <si>
    <t>CABK</t>
  </si>
  <si>
    <t>CAIXABANK SA</t>
  </si>
  <si>
    <t>2.017.620</t>
  </si>
  <si>
    <t>6.229.059</t>
  </si>
  <si>
    <t>6.229.059,36</t>
  </si>
  <si>
    <t>ES0140609019</t>
  </si>
  <si>
    <t>TRMB</t>
  </si>
  <si>
    <t>TRIMBLE INC</t>
  </si>
  <si>
    <t>42,10</t>
  </si>
  <si>
    <t>6.227.011</t>
  </si>
  <si>
    <t>6.227.011,00</t>
  </si>
  <si>
    <t>US8962391004</t>
  </si>
  <si>
    <t>SUR</t>
  </si>
  <si>
    <t>Y</t>
  </si>
  <si>
    <t>ALLEGHANY CORP</t>
  </si>
  <si>
    <t>788,86</t>
  </si>
  <si>
    <t>6.205.962</t>
  </si>
  <si>
    <t>6.205.961,62</t>
  </si>
  <si>
    <t>US0171751003</t>
  </si>
  <si>
    <t>TDH</t>
  </si>
  <si>
    <t>STO</t>
  </si>
  <si>
    <t>SANTOS LTD</t>
  </si>
  <si>
    <t>6,13</t>
  </si>
  <si>
    <t>1.009.835</t>
  </si>
  <si>
    <t>6.192.393</t>
  </si>
  <si>
    <t>6.192.393,05</t>
  </si>
  <si>
    <t>AU000000STO6</t>
  </si>
  <si>
    <t>TRE</t>
  </si>
  <si>
    <t>TXT</t>
  </si>
  <si>
    <t>TEXTRON INC</t>
  </si>
  <si>
    <t>44,29</t>
  </si>
  <si>
    <t>6.192.096</t>
  </si>
  <si>
    <t>6.192.096,32</t>
  </si>
  <si>
    <t>US8832031012</t>
  </si>
  <si>
    <t>WBO</t>
  </si>
  <si>
    <t>ANET</t>
  </si>
  <si>
    <t>ARISTA NETWORKS INC</t>
  </si>
  <si>
    <t>207,46</t>
  </si>
  <si>
    <t>6.189.777</t>
  </si>
  <si>
    <t>6.189.776,56</t>
  </si>
  <si>
    <t>US0404131064</t>
  </si>
  <si>
    <t>ZED</t>
  </si>
  <si>
    <t>CLNX</t>
  </si>
  <si>
    <t>CELLNEX TELECOM SA</t>
  </si>
  <si>
    <t>46,15</t>
  </si>
  <si>
    <t>6.133.684</t>
  </si>
  <si>
    <t>6.133.684,40</t>
  </si>
  <si>
    <t>ES0105066007</t>
  </si>
  <si>
    <t>ALLE</t>
  </si>
  <si>
    <t>ALLEGION PLC</t>
  </si>
  <si>
    <t>123,43</t>
  </si>
  <si>
    <t>6.103.860</t>
  </si>
  <si>
    <t>6.103.860,36</t>
  </si>
  <si>
    <t>IE00BFRT3W74</t>
  </si>
  <si>
    <t>MIX</t>
  </si>
  <si>
    <t>BAER</t>
  </si>
  <si>
    <t>JULIUS BAER GRUPPE AG</t>
  </si>
  <si>
    <t>51,31</t>
  </si>
  <si>
    <t>6.098.196</t>
  </si>
  <si>
    <t>6.098.196,11</t>
  </si>
  <si>
    <t>CH0102484968</t>
  </si>
  <si>
    <t>BLU</t>
  </si>
  <si>
    <t>IHG</t>
  </si>
  <si>
    <t>INTERCONTINENTAL HOTELS GROUP PLC</t>
  </si>
  <si>
    <t>65,56</t>
  </si>
  <si>
    <t>6.091.787</t>
  </si>
  <si>
    <t>6.091.786,55</t>
  </si>
  <si>
    <t>GB00BHJYC057</t>
  </si>
  <si>
    <t>AIP</t>
  </si>
  <si>
    <t>CTL</t>
  </si>
  <si>
    <t>CENTURYLINK INC</t>
  </si>
  <si>
    <t>0,02</t>
  </si>
  <si>
    <t>12,99</t>
  </si>
  <si>
    <t>6.069.928</t>
  </si>
  <si>
    <t>6.069.928,23</t>
  </si>
  <si>
    <t>US1567001060</t>
  </si>
  <si>
    <t>NT1</t>
  </si>
  <si>
    <t>JAPAN EXCHANGE GROUP INC</t>
  </si>
  <si>
    <t>18,19</t>
  </si>
  <si>
    <t>6.070.319</t>
  </si>
  <si>
    <t>6.070.318,55</t>
  </si>
  <si>
    <t>JP3183200009</t>
  </si>
  <si>
    <t>NN</t>
  </si>
  <si>
    <t>NN GROUP NV</t>
  </si>
  <si>
    <t>37,74</t>
  </si>
  <si>
    <t>6.051.237</t>
  </si>
  <si>
    <t>6.051.237,00</t>
  </si>
  <si>
    <t>NL0010773842</t>
  </si>
  <si>
    <t>BRBY</t>
  </si>
  <si>
    <t>BURBERRY GROUP PLC</t>
  </si>
  <si>
    <t>28,96</t>
  </si>
  <si>
    <t>6.046.613</t>
  </si>
  <si>
    <t>6.046.612,62</t>
  </si>
  <si>
    <t>GB0031743007</t>
  </si>
  <si>
    <t>CLR</t>
  </si>
  <si>
    <t>SKF B</t>
  </si>
  <si>
    <t>19,62</t>
  </si>
  <si>
    <t>6.046.042</t>
  </si>
  <si>
    <t>6.046.042,22</t>
  </si>
  <si>
    <t>SE0000108227</t>
  </si>
  <si>
    <t>IPF</t>
  </si>
  <si>
    <t>IAG</t>
  </si>
  <si>
    <t>INSURANCE AUSTRALIA GROUP LTD</t>
  </si>
  <si>
    <t>1.142.777</t>
  </si>
  <si>
    <t>6.036.957</t>
  </si>
  <si>
    <t>6.036.956,63</t>
  </si>
  <si>
    <t>AU000000IAG3</t>
  </si>
  <si>
    <t>REB</t>
  </si>
  <si>
    <t>SNAP</t>
  </si>
  <si>
    <t>SNAP INC CLASS A</t>
  </si>
  <si>
    <t>17,41</t>
  </si>
  <si>
    <t>6.005.632</t>
  </si>
  <si>
    <t>6.005.631,73</t>
  </si>
  <si>
    <t>US83304A1060</t>
  </si>
  <si>
    <t>MPT</t>
  </si>
  <si>
    <t>SY1</t>
  </si>
  <si>
    <t>SYMRISE AG</t>
  </si>
  <si>
    <t>100,07</t>
  </si>
  <si>
    <t>5.989.448</t>
  </si>
  <si>
    <t>5.989.447,68</t>
  </si>
  <si>
    <t>DE000SYM9999</t>
  </si>
  <si>
    <t>AWA</t>
  </si>
  <si>
    <t>CHRW</t>
  </si>
  <si>
    <t>CH ROBINSON WORLDWIDE INC</t>
  </si>
  <si>
    <t>80,12</t>
  </si>
  <si>
    <t>5.970.863</t>
  </si>
  <si>
    <t>5.970.862,88</t>
  </si>
  <si>
    <t>US12541W2098</t>
  </si>
  <si>
    <t>MSP</t>
  </si>
  <si>
    <t>GRF</t>
  </si>
  <si>
    <t>GRIFOLS SA CLASS A</t>
  </si>
  <si>
    <t>36,47</t>
  </si>
  <si>
    <t>5.955.667</t>
  </si>
  <si>
    <t>5.955.666,93</t>
  </si>
  <si>
    <t>ES0171996087</t>
  </si>
  <si>
    <t>TCP</t>
  </si>
  <si>
    <t>MTR CORPORATION CORP LTD</t>
  </si>
  <si>
    <t>5,97</t>
  </si>
  <si>
    <t>5.944.467</t>
  </si>
  <si>
    <t>5.944.466,98</t>
  </si>
  <si>
    <t>HK0066009694</t>
  </si>
  <si>
    <t>DLT</t>
  </si>
  <si>
    <t>RAND</t>
  </si>
  <si>
    <t>RANDSTAD HOLDING</t>
  </si>
  <si>
    <t>61,41</t>
  </si>
  <si>
    <t>5.932.147</t>
  </si>
  <si>
    <t>5.932.146,74</t>
  </si>
  <si>
    <t>NL0000379121</t>
  </si>
  <si>
    <t>IAP</t>
  </si>
  <si>
    <t>JKHY</t>
  </si>
  <si>
    <t>JACK HENRY ANS ASSOCIATES INC</t>
  </si>
  <si>
    <t>5.931.424</t>
  </si>
  <si>
    <t>5.931.424,13</t>
  </si>
  <si>
    <t>US4262811015</t>
  </si>
  <si>
    <t>ASC</t>
  </si>
  <si>
    <t>SIRI</t>
  </si>
  <si>
    <t>SIRIUS XM HOLDINGS INC</t>
  </si>
  <si>
    <t>7,00</t>
  </si>
  <si>
    <t>5.912.298</t>
  </si>
  <si>
    <t>5.912.298,00</t>
  </si>
  <si>
    <t>US82968B1035</t>
  </si>
  <si>
    <t>APF</t>
  </si>
  <si>
    <t>LUMI</t>
  </si>
  <si>
    <t>BANK LEUMI LE ISRAEL</t>
  </si>
  <si>
    <t>7,17</t>
  </si>
  <si>
    <t>5.905.604</t>
  </si>
  <si>
    <t>5.905.604,35</t>
  </si>
  <si>
    <t>IL0006046119</t>
  </si>
  <si>
    <t>Tel Aviv Stock Exchange</t>
  </si>
  <si>
    <t>ILS</t>
  </si>
  <si>
    <t>AFH</t>
  </si>
  <si>
    <t>MRU</t>
  </si>
  <si>
    <t>METRO INC</t>
  </si>
  <si>
    <t>41,45</t>
  </si>
  <si>
    <t>5.898.088</t>
  </si>
  <si>
    <t>5.898.087,58</t>
  </si>
  <si>
    <t>CA59162N1096</t>
  </si>
  <si>
    <t>TEX</t>
  </si>
  <si>
    <t>AVY</t>
  </si>
  <si>
    <t>AVERY DENNISON CORP</t>
  </si>
  <si>
    <t>128,51</t>
  </si>
  <si>
    <t>5.881.132</t>
  </si>
  <si>
    <t>5.881.131,64</t>
  </si>
  <si>
    <t>US0536111091</t>
  </si>
  <si>
    <t>EQU</t>
  </si>
  <si>
    <t>AAP</t>
  </si>
  <si>
    <t>ADVANCE AUTO PARTS INC</t>
  </si>
  <si>
    <t>149,01</t>
  </si>
  <si>
    <t>5.880.233</t>
  </si>
  <si>
    <t>5.880.232,62</t>
  </si>
  <si>
    <t>US00751Y1064</t>
  </si>
  <si>
    <t>AEL</t>
  </si>
  <si>
    <t>LKQ</t>
  </si>
  <si>
    <t>LKQ CORP</t>
  </si>
  <si>
    <t>34,09</t>
  </si>
  <si>
    <t>5.869.241</t>
  </si>
  <si>
    <t>5.869.241,21</t>
  </si>
  <si>
    <t>US5018892084</t>
  </si>
  <si>
    <t>RFG</t>
  </si>
  <si>
    <t>CNHI</t>
  </si>
  <si>
    <t>CNH INDUSTRIAL NV</t>
  </si>
  <si>
    <t>10,98</t>
  </si>
  <si>
    <t>5.868.966</t>
  </si>
  <si>
    <t>5.868.966,25</t>
  </si>
  <si>
    <t>NL0010545661</t>
  </si>
  <si>
    <t>DPZ</t>
  </si>
  <si>
    <t>DOMINOS PIZZA INC</t>
  </si>
  <si>
    <t>289,09</t>
  </si>
  <si>
    <t>5.845.689</t>
  </si>
  <si>
    <t>5.845.688,89</t>
  </si>
  <si>
    <t>US25754A2015</t>
  </si>
  <si>
    <t>STP</t>
  </si>
  <si>
    <t>ROKU</t>
  </si>
  <si>
    <t>ROKU INC CLASS A</t>
  </si>
  <si>
    <t>128,40</t>
  </si>
  <si>
    <t>5.840.788</t>
  </si>
  <si>
    <t>5.840.787,60</t>
  </si>
  <si>
    <t>US77543R1023</t>
  </si>
  <si>
    <t>MB</t>
  </si>
  <si>
    <t>MEDIOBANCA BANCA DI CREDITO FINANZ</t>
  </si>
  <si>
    <t>11,00</t>
  </si>
  <si>
    <t>5.833.210</t>
  </si>
  <si>
    <t>5.833.210,46</t>
  </si>
  <si>
    <t>IT0000062957</t>
  </si>
  <si>
    <t>CRP</t>
  </si>
  <si>
    <t>SJM</t>
  </si>
  <si>
    <t>JM SMUCKER</t>
  </si>
  <si>
    <t>104,38</t>
  </si>
  <si>
    <t>5.818.872</t>
  </si>
  <si>
    <t>5.818.871,86</t>
  </si>
  <si>
    <t>US8326964058</t>
  </si>
  <si>
    <t>CTK</t>
  </si>
  <si>
    <t>DANSKE</t>
  </si>
  <si>
    <t>DANSKE BANK</t>
  </si>
  <si>
    <t>16,22</t>
  </si>
  <si>
    <t>5.815.497</t>
  </si>
  <si>
    <t>5.815.497,27</t>
  </si>
  <si>
    <t>DK0010274414</t>
  </si>
  <si>
    <t>L2D</t>
  </si>
  <si>
    <t>ZBRA</t>
  </si>
  <si>
    <t>ZEBRA TECHNOLOGIES CORP CLASS A</t>
  </si>
  <si>
    <t>246,27</t>
  </si>
  <si>
    <t>5.814.927</t>
  </si>
  <si>
    <t>5.814.927,24</t>
  </si>
  <si>
    <t>US9892071054</t>
  </si>
  <si>
    <t>L4L</t>
  </si>
  <si>
    <t>MT</t>
  </si>
  <si>
    <t>ARCELORMITTAL SA</t>
  </si>
  <si>
    <t>16,58</t>
  </si>
  <si>
    <t>5.808.262</t>
  </si>
  <si>
    <t>5.808.261,71</t>
  </si>
  <si>
    <t>LU1598757687</t>
  </si>
  <si>
    <t>AIL</t>
  </si>
  <si>
    <t>HAS</t>
  </si>
  <si>
    <t>HASBRO INC</t>
  </si>
  <si>
    <t>101,68</t>
  </si>
  <si>
    <t>5.801.962</t>
  </si>
  <si>
    <t>5.801.962,48</t>
  </si>
  <si>
    <t>US4180561072</t>
  </si>
  <si>
    <t>SDO</t>
  </si>
  <si>
    <t>MARUBENI CORP</t>
  </si>
  <si>
    <t>7,49</t>
  </si>
  <si>
    <t>5.792.801</t>
  </si>
  <si>
    <t>5.792.800,95</t>
  </si>
  <si>
    <t>JP3877600001</t>
  </si>
  <si>
    <t>LBR</t>
  </si>
  <si>
    <t>ITRK</t>
  </si>
  <si>
    <t>INTERTEK GROUP PLC</t>
  </si>
  <si>
    <t>75,10</t>
  </si>
  <si>
    <t>5.792.675</t>
  </si>
  <si>
    <t>5.792.674,59</t>
  </si>
  <si>
    <t>GB0031638363</t>
  </si>
  <si>
    <t>J203</t>
  </si>
  <si>
    <t>NPN SJ Equity</t>
  </si>
  <si>
    <t>Naspers Ltd</t>
  </si>
  <si>
    <t>LBTYK</t>
  </si>
  <si>
    <t>LIBERTY GLOBAL PLC CLASS C</t>
  </si>
  <si>
    <t>19,86</t>
  </si>
  <si>
    <t>5.771.654</t>
  </si>
  <si>
    <t>5.771.653,62</t>
  </si>
  <si>
    <t>GB00B8W67B19</t>
  </si>
  <si>
    <t>BHP SJ Equity</t>
  </si>
  <si>
    <t>BHP Group PLC</t>
  </si>
  <si>
    <t>EMN</t>
  </si>
  <si>
    <t>EASTMAN CHEMICAL</t>
  </si>
  <si>
    <t>74,79</t>
  </si>
  <si>
    <t>5.743.573</t>
  </si>
  <si>
    <t>5.743.572,84</t>
  </si>
  <si>
    <t>US2774321002</t>
  </si>
  <si>
    <t>CFR SJ Equity</t>
  </si>
  <si>
    <t>Cie Financiere Richemont SA</t>
  </si>
  <si>
    <t>RE</t>
  </si>
  <si>
    <t>EVEREST RE GROUP LTD</t>
  </si>
  <si>
    <t>274,83</t>
  </si>
  <si>
    <t>5.729.931</t>
  </si>
  <si>
    <t>5.729.930,67</t>
  </si>
  <si>
    <t>BMG3223R1088</t>
  </si>
  <si>
    <t>AGL SJ Equity</t>
  </si>
  <si>
    <t>Anglo American PLC</t>
  </si>
  <si>
    <t>MARATHON OIL CORP</t>
  </si>
  <si>
    <t>13,18</t>
  </si>
  <si>
    <t>5.726.183</t>
  </si>
  <si>
    <t>5.726.182,80</t>
  </si>
  <si>
    <t>US5658491064</t>
  </si>
  <si>
    <t>SBK SJ Equity</t>
  </si>
  <si>
    <t>Standard Bank Group Ltd</t>
  </si>
  <si>
    <t>NZYM B</t>
  </si>
  <si>
    <t>NOVOZYMES B</t>
  </si>
  <si>
    <t>47,89</t>
  </si>
  <si>
    <t>5.724.875</t>
  </si>
  <si>
    <t>5.724.875,42</t>
  </si>
  <si>
    <t>DK0060336014</t>
  </si>
  <si>
    <t>FSR SJ Equity</t>
  </si>
  <si>
    <t>FirstRand Ltd</t>
  </si>
  <si>
    <t>EBS</t>
  </si>
  <si>
    <t>ERSTE GROUP BANK AG</t>
  </si>
  <si>
    <t>38,12</t>
  </si>
  <si>
    <t>5.715.914</t>
  </si>
  <si>
    <t>5.715.913,55</t>
  </si>
  <si>
    <t>AT0000652011</t>
  </si>
  <si>
    <t>Wiener Boerse Ag</t>
  </si>
  <si>
    <t>Österreich</t>
  </si>
  <si>
    <t>SOL SJ Equity</t>
  </si>
  <si>
    <t>Sasol Ltd</t>
  </si>
  <si>
    <t>MITSUBISHI CHEMICAL CORP</t>
  </si>
  <si>
    <t>7,40</t>
  </si>
  <si>
    <t>5.713.570</t>
  </si>
  <si>
    <t>5.713.569,77</t>
  </si>
  <si>
    <t>JP3897700005</t>
  </si>
  <si>
    <t>MTN SJ Equity</t>
  </si>
  <si>
    <t>MTN Group Ltd</t>
  </si>
  <si>
    <t>ATL</t>
  </si>
  <si>
    <t>ATLANTIA</t>
  </si>
  <si>
    <t>23,85</t>
  </si>
  <si>
    <t>5.686.382</t>
  </si>
  <si>
    <t>5.686.381,66</t>
  </si>
  <si>
    <t>IT0003506190</t>
  </si>
  <si>
    <t>BTI SJ Equity</t>
  </si>
  <si>
    <t>British American Tobacco PLC</t>
  </si>
  <si>
    <t>QBE</t>
  </si>
  <si>
    <t>QBE INSURANCE GROUP LTD</t>
  </si>
  <si>
    <t>9,11</t>
  </si>
  <si>
    <t>5.678.549</t>
  </si>
  <si>
    <t>5.678.548,96</t>
  </si>
  <si>
    <t>AU000000QBE9</t>
  </si>
  <si>
    <t>SLM SJ Equity</t>
  </si>
  <si>
    <t>Sanlam Ltd</t>
  </si>
  <si>
    <t>MNDI</t>
  </si>
  <si>
    <t>MONDI PLC</t>
  </si>
  <si>
    <t>21,92</t>
  </si>
  <si>
    <t>5.675.615</t>
  </si>
  <si>
    <t>5.675.615,36</t>
  </si>
  <si>
    <t>GB00B1CRLC47</t>
  </si>
  <si>
    <t>ABG SJ Equity</t>
  </si>
  <si>
    <t>Absa Group Ltd</t>
  </si>
  <si>
    <t>AGS</t>
  </si>
  <si>
    <t>AGEAS SA</t>
  </si>
  <si>
    <t>58,39</t>
  </si>
  <si>
    <t>5.673.730</t>
  </si>
  <si>
    <t>5.673.729,88</t>
  </si>
  <si>
    <t>BE0974264930</t>
  </si>
  <si>
    <t>MNP SJ Equity</t>
  </si>
  <si>
    <t>Mondi PLC</t>
  </si>
  <si>
    <t>CARNIVAL PLC</t>
  </si>
  <si>
    <t>46,12</t>
  </si>
  <si>
    <t>5.659.663</t>
  </si>
  <si>
    <t>5.659.662,86</t>
  </si>
  <si>
    <t>GB0031215220</t>
  </si>
  <si>
    <t>OMU SJ Equity</t>
  </si>
  <si>
    <t>Old Mutual Ltd</t>
  </si>
  <si>
    <t>SOLB</t>
  </si>
  <si>
    <t>SOLVAY SA</t>
  </si>
  <si>
    <t>113,25</t>
  </si>
  <si>
    <t>5.651.910</t>
  </si>
  <si>
    <t>5.651.909,57</t>
  </si>
  <si>
    <t>BE0003470755</t>
  </si>
  <si>
    <t>ANG SJ Equity</t>
  </si>
  <si>
    <t>AngloGold Ashanti Ltd</t>
  </si>
  <si>
    <t>SJR.B</t>
  </si>
  <si>
    <t>SHAW COMMUNICATIONS INC CLASS B</t>
  </si>
  <si>
    <t>20,30</t>
  </si>
  <si>
    <t>5.651.161</t>
  </si>
  <si>
    <t>5.651.160,79</t>
  </si>
  <si>
    <t>CA82028K2002</t>
  </si>
  <si>
    <t>ANH</t>
  </si>
  <si>
    <t>BID SJ Equity</t>
  </si>
  <si>
    <t>Bid Corp Ltd</t>
  </si>
  <si>
    <t>HEN</t>
  </si>
  <si>
    <t>HENKEL AG</t>
  </si>
  <si>
    <t>95,13</t>
  </si>
  <si>
    <t>5.644.917</t>
  </si>
  <si>
    <t>5.644.916,51</t>
  </si>
  <si>
    <t>DE0006048408</t>
  </si>
  <si>
    <t>NED SJ Equity</t>
  </si>
  <si>
    <t>Nedbank Group Ltd</t>
  </si>
  <si>
    <t>ON</t>
  </si>
  <si>
    <t>ON SEMICONDUCTOR CORP</t>
  </si>
  <si>
    <t>24,58</t>
  </si>
  <si>
    <t>5.639.783</t>
  </si>
  <si>
    <t>5.639.782,68</t>
  </si>
  <si>
    <t>US6821891057</t>
  </si>
  <si>
    <t>REM SJ Equity</t>
  </si>
  <si>
    <t>Remgro Ltd</t>
  </si>
  <si>
    <t>GDDY</t>
  </si>
  <si>
    <t>GODADDY INC CLASS A</t>
  </si>
  <si>
    <t>70,74</t>
  </si>
  <si>
    <t>5.629.843</t>
  </si>
  <si>
    <t>5.629.842,90</t>
  </si>
  <si>
    <t>US3802371076</t>
  </si>
  <si>
    <t>SHP SJ Equity</t>
  </si>
  <si>
    <t>Shoprite Holdings Ltd</t>
  </si>
  <si>
    <t>INPEX CORP</t>
  </si>
  <si>
    <t>10,68</t>
  </si>
  <si>
    <t>5.626.348</t>
  </si>
  <si>
    <t>5.626.348,03</t>
  </si>
  <si>
    <t>JP3294460005</t>
  </si>
  <si>
    <t>GRT SJ Equity</t>
  </si>
  <si>
    <t>Growthpoint Properties Ltd</t>
  </si>
  <si>
    <t>ALNY</t>
  </si>
  <si>
    <t>ALNYLAM PHARMACEUTICALS INC</t>
  </si>
  <si>
    <t>119,25</t>
  </si>
  <si>
    <t>5.611.786</t>
  </si>
  <si>
    <t>5.611.785,75</t>
  </si>
  <si>
    <t>US02043Q1076</t>
  </si>
  <si>
    <t>VOD SJ Equity</t>
  </si>
  <si>
    <t>Vodacom Group Ltd</t>
  </si>
  <si>
    <t>SUNCORP GROUP LTD</t>
  </si>
  <si>
    <t>9,16</t>
  </si>
  <si>
    <t>5.599.600</t>
  </si>
  <si>
    <t>5.599.600,14</t>
  </si>
  <si>
    <t>AU000000SUN6</t>
  </si>
  <si>
    <t>CPI SJ Equity</t>
  </si>
  <si>
    <t>Capitec Bank Holdings Ltd</t>
  </si>
  <si>
    <t>PUB</t>
  </si>
  <si>
    <t>PUBLICIS GROUPE SA</t>
  </si>
  <si>
    <t>46,59</t>
  </si>
  <si>
    <t>5.593.656</t>
  </si>
  <si>
    <t>5.593.656,42</t>
  </si>
  <si>
    <t>FR0000130577</t>
  </si>
  <si>
    <t>BVT SJ Equity</t>
  </si>
  <si>
    <t>Bidvest Group Ltd/The</t>
  </si>
  <si>
    <t>BCE</t>
  </si>
  <si>
    <t>BCE INC</t>
  </si>
  <si>
    <t>46,37</t>
  </si>
  <si>
    <t>5.590.756</t>
  </si>
  <si>
    <t>5.590.756,13</t>
  </si>
  <si>
    <t>CA05534B7604</t>
  </si>
  <si>
    <t>RMH SJ Equity</t>
  </si>
  <si>
    <t>RMB Holdings Ltd</t>
  </si>
  <si>
    <t>OMRON CORP</t>
  </si>
  <si>
    <t>59,24</t>
  </si>
  <si>
    <t>5.586.044</t>
  </si>
  <si>
    <t>5.586.044,18</t>
  </si>
  <si>
    <t>JP3197800000</t>
  </si>
  <si>
    <t>INP SJ Equity</t>
  </si>
  <si>
    <t>Investec PLC</t>
  </si>
  <si>
    <t>HEI</t>
  </si>
  <si>
    <t>HEIDELBERGCEMENT AG</t>
  </si>
  <si>
    <t>71,19</t>
  </si>
  <si>
    <t>5.583.389</t>
  </si>
  <si>
    <t>5.583.388,57</t>
  </si>
  <si>
    <t>DE0006047004</t>
  </si>
  <si>
    <t>GFI SJ Equity</t>
  </si>
  <si>
    <t>Gold Fields Ltd</t>
  </si>
  <si>
    <t>NIPPON BUILDING FUND REIT INC</t>
  </si>
  <si>
    <t>7.329,32</t>
  </si>
  <si>
    <t>5.570.281</t>
  </si>
  <si>
    <t>5.570.281,12</t>
  </si>
  <si>
    <t>JP3027670003</t>
  </si>
  <si>
    <t>MCG SJ Equity</t>
  </si>
  <si>
    <t>MultiChoice Group Ltd</t>
  </si>
  <si>
    <t>TLS</t>
  </si>
  <si>
    <t>TELSTRA CORPORATION LTD</t>
  </si>
  <si>
    <t>2,66</t>
  </si>
  <si>
    <t>2.082.579</t>
  </si>
  <si>
    <t>5.536.781</t>
  </si>
  <si>
    <t>5.536.780,97</t>
  </si>
  <si>
    <t>AU000000TLS2</t>
  </si>
  <si>
    <t>DSY SJ Equity</t>
  </si>
  <si>
    <t>Discovery Ltd</t>
  </si>
  <si>
    <t>SWMA</t>
  </si>
  <si>
    <t>SWEDISH MATCH</t>
  </si>
  <si>
    <t>55,49</t>
  </si>
  <si>
    <t>5.525.743</t>
  </si>
  <si>
    <t>5.525.743,35</t>
  </si>
  <si>
    <t>SE0000310336</t>
  </si>
  <si>
    <t>CLS SJ Equity</t>
  </si>
  <si>
    <t>Clicks Group Ltd</t>
  </si>
  <si>
    <t>PODD</t>
  </si>
  <si>
    <t>INSULET CORP</t>
  </si>
  <si>
    <t>182,53</t>
  </si>
  <si>
    <t>5.525.183</t>
  </si>
  <si>
    <t>5.525.183,10</t>
  </si>
  <si>
    <t>US45784P1012</t>
  </si>
  <si>
    <t>RDF SJ Equity</t>
  </si>
  <si>
    <t>Redefine Properties Ltd</t>
  </si>
  <si>
    <t>AUD CASH</t>
  </si>
  <si>
    <t>69,06</t>
  </si>
  <si>
    <t>7.995.941</t>
  </si>
  <si>
    <t>5.521.597</t>
  </si>
  <si>
    <t>5.521.596,93</t>
  </si>
  <si>
    <t>MRP SJ Equity</t>
  </si>
  <si>
    <t>Mr Price Group Ltd</t>
  </si>
  <si>
    <t>LYV</t>
  </si>
  <si>
    <t>LIVE NATION ENTERTAINMENT INC</t>
  </si>
  <si>
    <t>71,28</t>
  </si>
  <si>
    <t>5.514.078</t>
  </si>
  <si>
    <t>5.514.078,24</t>
  </si>
  <si>
    <t>US5380341090</t>
  </si>
  <si>
    <t>IMP SJ Equity</t>
  </si>
  <si>
    <t>Impala Platinum Holdings Ltd</t>
  </si>
  <si>
    <t>CAD CASH</t>
  </si>
  <si>
    <t>76,62</t>
  </si>
  <si>
    <t>7.181.466</t>
  </si>
  <si>
    <t>5.502.407</t>
  </si>
  <si>
    <t>5.502.406,80</t>
  </si>
  <si>
    <t>AMS SJ Equity</t>
  </si>
  <si>
    <t>Anglo American Platinum Ltd</t>
  </si>
  <si>
    <t>NRG</t>
  </si>
  <si>
    <t>NRG ENERGY INC</t>
  </si>
  <si>
    <t>37,31</t>
  </si>
  <si>
    <t>5.497.255</t>
  </si>
  <si>
    <t>5.497.255,40</t>
  </si>
  <si>
    <t>US6293775085</t>
  </si>
  <si>
    <t>NRP SJ Equity</t>
  </si>
  <si>
    <t>NEPI Rockcastle PLC</t>
  </si>
  <si>
    <t>IRM</t>
  </si>
  <si>
    <t>IRON MOUNTAIN INC</t>
  </si>
  <si>
    <t>30,66</t>
  </si>
  <si>
    <t>5.496.020</t>
  </si>
  <si>
    <t>5.496.019,62</t>
  </si>
  <si>
    <t>US46284V1017</t>
  </si>
  <si>
    <t>WHL SJ Equity</t>
  </si>
  <si>
    <t>Woolworths Holdings Ltd/South Africa</t>
  </si>
  <si>
    <t>UU.</t>
  </si>
  <si>
    <t>UNITED UTILITIES GROUP PLC</t>
  </si>
  <si>
    <t>12,37</t>
  </si>
  <si>
    <t>5.481.937</t>
  </si>
  <si>
    <t>5.481.936,89</t>
  </si>
  <si>
    <t>GB00B39J2M42</t>
  </si>
  <si>
    <t>EXX SJ Equity</t>
  </si>
  <si>
    <t>Exxaro Resources Ltd</t>
  </si>
  <si>
    <t>ZION</t>
  </si>
  <si>
    <t>ZIONS BANCORPORATION</t>
  </si>
  <si>
    <t>50,67</t>
  </si>
  <si>
    <t>5.450.471</t>
  </si>
  <si>
    <t>5.450.470,56</t>
  </si>
  <si>
    <t>US9897011071</t>
  </si>
  <si>
    <t>TFG SJ Equity</t>
  </si>
  <si>
    <t>Foschini Group Ltd/The</t>
  </si>
  <si>
    <t>UCB</t>
  </si>
  <si>
    <t>UCB SA</t>
  </si>
  <si>
    <t>86,04</t>
  </si>
  <si>
    <t>5.434.160</t>
  </si>
  <si>
    <t>5.434.159,60</t>
  </si>
  <si>
    <t>BE0003739530</t>
  </si>
  <si>
    <t>PSG SJ Equity</t>
  </si>
  <si>
    <t>PSG Group Ltd</t>
  </si>
  <si>
    <t>F34</t>
  </si>
  <si>
    <t>WILMAR INTERNATIONAL LTD</t>
  </si>
  <si>
    <t>3,22</t>
  </si>
  <si>
    <t>1.688.297</t>
  </si>
  <si>
    <t>5.434.003</t>
  </si>
  <si>
    <t>5.434.002,51</t>
  </si>
  <si>
    <t>SG1T56930848</t>
  </si>
  <si>
    <t>TBS SJ Equity</t>
  </si>
  <si>
    <t>Tiger Brands Ltd</t>
  </si>
  <si>
    <t>JBHT</t>
  </si>
  <si>
    <t>JB HUNT TRANSPORT SERVICES INC</t>
  </si>
  <si>
    <t>119,08</t>
  </si>
  <si>
    <t>5.431.953</t>
  </si>
  <si>
    <t>5.431.953,28</t>
  </si>
  <si>
    <t>US4456581077</t>
  </si>
  <si>
    <t>APN SJ Equity</t>
  </si>
  <si>
    <t>Aspen Pharmacare Holdings Ltd</t>
  </si>
  <si>
    <t>DISCK</t>
  </si>
  <si>
    <t>DISCOVERY INC SERIES C</t>
  </si>
  <si>
    <t>29,88</t>
  </si>
  <si>
    <t>5.431.168</t>
  </si>
  <si>
    <t>5.431.168,08</t>
  </si>
  <si>
    <t>US25470F3029</t>
  </si>
  <si>
    <t>MND SJ Equity</t>
  </si>
  <si>
    <t>Mondi Ltd</t>
  </si>
  <si>
    <t>BNZL</t>
  </si>
  <si>
    <t>BUNZL</t>
  </si>
  <si>
    <t>26,64</t>
  </si>
  <si>
    <t>5.429.689</t>
  </si>
  <si>
    <t>5.429.689,21</t>
  </si>
  <si>
    <t>GB00B0744B38</t>
  </si>
  <si>
    <t>SPP SJ Equity</t>
  </si>
  <si>
    <t>SPAR Group Ltd/The</t>
  </si>
  <si>
    <t>PAH3</t>
  </si>
  <si>
    <t>PORSCHE AUTOMOBIL HOLDING PREF</t>
  </si>
  <si>
    <t>77,64</t>
  </si>
  <si>
    <t>5.427.892</t>
  </si>
  <si>
    <t>5.427.891,55</t>
  </si>
  <si>
    <t>DE000PAH0038</t>
  </si>
  <si>
    <t>RNI SJ Equity</t>
  </si>
  <si>
    <t>Reinet Investments SCA</t>
  </si>
  <si>
    <t>AGNC</t>
  </si>
  <si>
    <t>AGNC INVESTMENT REIT CORP</t>
  </si>
  <si>
    <t>17,96</t>
  </si>
  <si>
    <t>5.423.220</t>
  </si>
  <si>
    <t>5.423.219,56</t>
  </si>
  <si>
    <t>US00123Q1040</t>
  </si>
  <si>
    <t>SGL SJ Equity</t>
  </si>
  <si>
    <t>Sibanye Gold Ltd</t>
  </si>
  <si>
    <t>KINTETSU GROUP HOLDINGS LTD</t>
  </si>
  <si>
    <t>54,49</t>
  </si>
  <si>
    <t>5.416.375</t>
  </si>
  <si>
    <t>5.416.374,59</t>
  </si>
  <si>
    <t>JP3260800002</t>
  </si>
  <si>
    <t>QLT SJ Equity</t>
  </si>
  <si>
    <t>Quilter PLC</t>
  </si>
  <si>
    <t>PHM</t>
  </si>
  <si>
    <t>PULTEGROUP INC</t>
  </si>
  <si>
    <t>39,99</t>
  </si>
  <si>
    <t>5.412.607</t>
  </si>
  <si>
    <t>5.412.606,51</t>
  </si>
  <si>
    <t>US7458671010</t>
  </si>
  <si>
    <t>LHC SJ Equity</t>
  </si>
  <si>
    <t>Life Healthcare Group Holdings Ltd</t>
  </si>
  <si>
    <t>FBHS</t>
  </si>
  <si>
    <t>FORTUNE BRANDS HOME AND SECURITY I</t>
  </si>
  <si>
    <t>66,96</t>
  </si>
  <si>
    <t>5.412.779</t>
  </si>
  <si>
    <t>5.412.778,56</t>
  </si>
  <si>
    <t>US34964C1062</t>
  </si>
  <si>
    <t>AVI SJ Equity</t>
  </si>
  <si>
    <t>AVI Ltd</t>
  </si>
  <si>
    <t>KPN</t>
  </si>
  <si>
    <t>KONINKLIJKE KPN NV</t>
  </si>
  <si>
    <t>2,96</t>
  </si>
  <si>
    <t>1.824.494</t>
  </si>
  <si>
    <t>5.407.746</t>
  </si>
  <si>
    <t>5.407.746,30</t>
  </si>
  <si>
    <t>NL0000009082</t>
  </si>
  <si>
    <t>SAP SJ Equity</t>
  </si>
  <si>
    <t>Sappi Ltd</t>
  </si>
  <si>
    <t>J36</t>
  </si>
  <si>
    <t>JARDINE MATHESON HOLDINGS LTD</t>
  </si>
  <si>
    <t>56,06</t>
  </si>
  <si>
    <t>5.387.534</t>
  </si>
  <si>
    <t>5.387.534,18</t>
  </si>
  <si>
    <t>BMG507361001</t>
  </si>
  <si>
    <t>ANH SJ Equity</t>
  </si>
  <si>
    <t>Anheuser-Busch InBev SA/NV</t>
  </si>
  <si>
    <t>NIPPON STEEL CORP</t>
  </si>
  <si>
    <t>15,00</t>
  </si>
  <si>
    <t>5.380.690</t>
  </si>
  <si>
    <t>5.380.690,03</t>
  </si>
  <si>
    <t>JP3381000003</t>
  </si>
  <si>
    <t>TRU SJ Equity</t>
  </si>
  <si>
    <t>Truworths International Ltd</t>
  </si>
  <si>
    <t>BNR</t>
  </si>
  <si>
    <t>BRENNTAG AG</t>
  </si>
  <si>
    <t>55,13</t>
  </si>
  <si>
    <t>5.378.770</t>
  </si>
  <si>
    <t>5.378.769,94</t>
  </si>
  <si>
    <t>DE000A1DAHH0</t>
  </si>
  <si>
    <t>INL SJ Equity</t>
  </si>
  <si>
    <t>Investec Ltd</t>
  </si>
  <si>
    <t>HO</t>
  </si>
  <si>
    <t>THALES SA</t>
  </si>
  <si>
    <t>106,60</t>
  </si>
  <si>
    <t>5.373.847</t>
  </si>
  <si>
    <t>5.373.847,48</t>
  </si>
  <si>
    <t>FR0000121329</t>
  </si>
  <si>
    <t>BAW SJ Equity</t>
  </si>
  <si>
    <t>Barloworld Ltd</t>
  </si>
  <si>
    <t>FMG</t>
  </si>
  <si>
    <t>FORTESCUE METALS GROUP LTD</t>
  </si>
  <si>
    <t>7,39</t>
  </si>
  <si>
    <t>5.374.276</t>
  </si>
  <si>
    <t>5.374.275,95</t>
  </si>
  <si>
    <t>AU000000FMG4</t>
  </si>
  <si>
    <t>TKG SJ Equity</t>
  </si>
  <si>
    <t>Telkom SA SOC Ltd</t>
  </si>
  <si>
    <t>SUMITOMO ELECTRIC INDUSTRIES LTD</t>
  </si>
  <si>
    <t>14,95</t>
  </si>
  <si>
    <t>5.368.756</t>
  </si>
  <si>
    <t>5.368.755,81</t>
  </si>
  <si>
    <t>JP3407400005</t>
  </si>
  <si>
    <t>GLN SJ Equity</t>
  </si>
  <si>
    <t>Glencore PLC</t>
  </si>
  <si>
    <t>AEGON NV</t>
  </si>
  <si>
    <t>4,47</t>
  </si>
  <si>
    <t>1.200.443</t>
  </si>
  <si>
    <t>5.367.134</t>
  </si>
  <si>
    <t>5.367.133,90</t>
  </si>
  <si>
    <t>NL0000303709</t>
  </si>
  <si>
    <t>RMI SJ Equity</t>
  </si>
  <si>
    <t>Rand Merchant Investment Holdings Ltd</t>
  </si>
  <si>
    <t>TOKYO GAS LTD</t>
  </si>
  <si>
    <t>24,03</t>
  </si>
  <si>
    <t>5.362.755</t>
  </si>
  <si>
    <t>5.362.754,82</t>
  </si>
  <si>
    <t>JP3573000001</t>
  </si>
  <si>
    <t>FFA SJ Equity</t>
  </si>
  <si>
    <t>Fortress REIT Ltd</t>
  </si>
  <si>
    <t>DXC</t>
  </si>
  <si>
    <t>DXC TECHNOLOGY</t>
  </si>
  <si>
    <t>35,74</t>
  </si>
  <si>
    <t>5.363.430</t>
  </si>
  <si>
    <t>5.363.430,32</t>
  </si>
  <si>
    <t>US23355L1061</t>
  </si>
  <si>
    <t>KIO SJ Equity</t>
  </si>
  <si>
    <t>Kumba Iron Ore Ltd</t>
  </si>
  <si>
    <t>WHR</t>
  </si>
  <si>
    <t>WHIRLPOOL CORP</t>
  </si>
  <si>
    <t>149,68</t>
  </si>
  <si>
    <t>5.348.964</t>
  </si>
  <si>
    <t>5.348.964,48</t>
  </si>
  <si>
    <t>US9633201069</t>
  </si>
  <si>
    <t>NTC SJ Equity</t>
  </si>
  <si>
    <t>Netcare Ltd</t>
  </si>
  <si>
    <t>HSIC</t>
  </si>
  <si>
    <t>HENRY SCHEIN INC</t>
  </si>
  <si>
    <t>66,62</t>
  </si>
  <si>
    <t>5.343.657</t>
  </si>
  <si>
    <t>5.343.656,82</t>
  </si>
  <si>
    <t>US8064071025</t>
  </si>
  <si>
    <t>PIK SJ Equity</t>
  </si>
  <si>
    <t>Pick n Pay Stores Ltd</t>
  </si>
  <si>
    <t>DOL</t>
  </si>
  <si>
    <t>DOLLARAMA INC</t>
  </si>
  <si>
    <t>34,71</t>
  </si>
  <si>
    <t>5.342.773</t>
  </si>
  <si>
    <t>5.342.772,55</t>
  </si>
  <si>
    <t>CA25675T1075</t>
  </si>
  <si>
    <t>MEI SJ Equity</t>
  </si>
  <si>
    <t>Mediclinic International PLC</t>
  </si>
  <si>
    <t>SUMITOMO METAL MINING LTD</t>
  </si>
  <si>
    <t>31,96</t>
  </si>
  <si>
    <t>5.327.860</t>
  </si>
  <si>
    <t>5.327.860,20</t>
  </si>
  <si>
    <t>JP3402600005</t>
  </si>
  <si>
    <t>NHM SJ Equity</t>
  </si>
  <si>
    <t>Northam Platinum Ltd</t>
  </si>
  <si>
    <t>TAP</t>
  </si>
  <si>
    <t>MOLSON COORS BREWING CLASS B</t>
  </si>
  <si>
    <t>5.322.571</t>
  </si>
  <si>
    <t>5.322.570,57</t>
  </si>
  <si>
    <t>US60871R2094</t>
  </si>
  <si>
    <t>ARI SJ Equity</t>
  </si>
  <si>
    <t>African Rainbow Minerals Ltd</t>
  </si>
  <si>
    <t>ASX</t>
  </si>
  <si>
    <t>ASX LTD</t>
  </si>
  <si>
    <t>56,74</t>
  </si>
  <si>
    <t>5.300.316</t>
  </si>
  <si>
    <t>5.300.316,32</t>
  </si>
  <si>
    <t>AU000000ASX7</t>
  </si>
  <si>
    <t>MMI SJ Equity</t>
  </si>
  <si>
    <t>MMI Holdings Ltd/South Africa</t>
  </si>
  <si>
    <t>WIX</t>
  </si>
  <si>
    <t>WIX.COM LTD</t>
  </si>
  <si>
    <t>140,26</t>
  </si>
  <si>
    <t>5.297.901</t>
  </si>
  <si>
    <t>5.297.900,72</t>
  </si>
  <si>
    <t>IL0011301780</t>
  </si>
  <si>
    <t>HYP SJ Equity</t>
  </si>
  <si>
    <t>Hyprop Investments Ltd</t>
  </si>
  <si>
    <t>BANDAI NAMCO HOLDINGS INC</t>
  </si>
  <si>
    <t>59,96</t>
  </si>
  <si>
    <t>5.282.301</t>
  </si>
  <si>
    <t>5.282.301,02</t>
  </si>
  <si>
    <t>JP3778630008</t>
  </si>
  <si>
    <t>HMN</t>
  </si>
  <si>
    <t>RES SJ Equity</t>
  </si>
  <si>
    <t>Resilient REIT Ltd</t>
  </si>
  <si>
    <t>PNW</t>
  </si>
  <si>
    <t>PINNACLE WEST CORP</t>
  </si>
  <si>
    <t>90,56</t>
  </si>
  <si>
    <t>5.263.257</t>
  </si>
  <si>
    <t>5.263.256,64</t>
  </si>
  <si>
    <t>US7234841010</t>
  </si>
  <si>
    <t>VKE SJ Equity</t>
  </si>
  <si>
    <t>Vukile Property Fund Ltd</t>
  </si>
  <si>
    <t>SVT</t>
  </si>
  <si>
    <t>SEVERN TRENT PLC</t>
  </si>
  <si>
    <t>32,12</t>
  </si>
  <si>
    <t>5.262.779</t>
  </si>
  <si>
    <t>5.262.779,03</t>
  </si>
  <si>
    <t>GB00B1FH8J72</t>
  </si>
  <si>
    <t>KAP SJ Equity</t>
  </si>
  <si>
    <t>KAP Industrial Holdings Ltd</t>
  </si>
  <si>
    <t>CF</t>
  </si>
  <si>
    <t>CF INDUSTRIES HOLDINGS INC</t>
  </si>
  <si>
    <t>44,77</t>
  </si>
  <si>
    <t>5.246.910</t>
  </si>
  <si>
    <t>5.246.909,69</t>
  </si>
  <si>
    <t>US1252691001</t>
  </si>
  <si>
    <t>HAR SJ Equity</t>
  </si>
  <si>
    <t>Harmony Gold Mining Co Ltd</t>
  </si>
  <si>
    <t>QIA</t>
  </si>
  <si>
    <t>QIAGEN NV</t>
  </si>
  <si>
    <t>35,01</t>
  </si>
  <si>
    <t>5.246.088</t>
  </si>
  <si>
    <t>5.246.087,67</t>
  </si>
  <si>
    <t>NL0012169213</t>
  </si>
  <si>
    <t>MTH SJ Equity</t>
  </si>
  <si>
    <t>Motus Holdings Ltd</t>
  </si>
  <si>
    <t>VAIL RESORTS INC</t>
  </si>
  <si>
    <t>251,40</t>
  </si>
  <si>
    <t>5.247.472</t>
  </si>
  <si>
    <t>5.247.472,20</t>
  </si>
  <si>
    <t>US91879Q1094</t>
  </si>
  <si>
    <t>SNT SJ Equity</t>
  </si>
  <si>
    <t>Santam Ltd</t>
  </si>
  <si>
    <t>NICE</t>
  </si>
  <si>
    <t>NICE LTD</t>
  </si>
  <si>
    <t>163,67</t>
  </si>
  <si>
    <t>5.233.838</t>
  </si>
  <si>
    <t>5.233.837,57</t>
  </si>
  <si>
    <t>IL0002730112</t>
  </si>
  <si>
    <t>CCO SJ Equity</t>
  </si>
  <si>
    <t>Capital &amp; Counties Properties PLC</t>
  </si>
  <si>
    <t>SHIMADZU CORP</t>
  </si>
  <si>
    <t>31,12</t>
  </si>
  <si>
    <t>5.233.615</t>
  </si>
  <si>
    <t>5.233.615,46</t>
  </si>
  <si>
    <t>JP3357200009</t>
  </si>
  <si>
    <t>LBH SJ Equity</t>
  </si>
  <si>
    <t>Liberty Holdings Ltd</t>
  </si>
  <si>
    <t>NOV</t>
  </si>
  <si>
    <t>NATIONAL OILWELL VARCO INC</t>
  </si>
  <si>
    <t>23,84</t>
  </si>
  <si>
    <t>5.233.142</t>
  </si>
  <si>
    <t>5.233.142,24</t>
  </si>
  <si>
    <t>US6370711011</t>
  </si>
  <si>
    <t>ITU SJ Equity</t>
  </si>
  <si>
    <t>Intu Properties PLC</t>
  </si>
  <si>
    <t>PKG</t>
  </si>
  <si>
    <t>PACKAGING CORP OF AMERICA</t>
  </si>
  <si>
    <t>105,68</t>
  </si>
  <si>
    <t>5.229.680</t>
  </si>
  <si>
    <t>5.229.680,48</t>
  </si>
  <si>
    <t>US6951561090</t>
  </si>
  <si>
    <t>PPH SJ Equity</t>
  </si>
  <si>
    <t>Pepkor Holdings Ltd</t>
  </si>
  <si>
    <t>STMN</t>
  </si>
  <si>
    <t>STRAUMANN HOLDING AG</t>
  </si>
  <si>
    <t>1.016,39</t>
  </si>
  <si>
    <t>5.229.318</t>
  </si>
  <si>
    <t>5.229.318,26</t>
  </si>
  <si>
    <t>CH0012280076</t>
  </si>
  <si>
    <t>SIX Swiss Exchange</t>
  </si>
  <si>
    <t>CML SJ Equity</t>
  </si>
  <si>
    <t>Coronation Fund Managers Ltd</t>
  </si>
  <si>
    <t>RTO</t>
  </si>
  <si>
    <t>RENTOKIL INITIAL PLC</t>
  </si>
  <si>
    <t>5,95</t>
  </si>
  <si>
    <t>5.226.800</t>
  </si>
  <si>
    <t>5.226.800,27</t>
  </si>
  <si>
    <t>GB00B082RF11</t>
  </si>
  <si>
    <t>ASR SJ Equity</t>
  </si>
  <si>
    <t>Assore Ltd</t>
  </si>
  <si>
    <t>HNR1</t>
  </si>
  <si>
    <t>HANNOVER RUECK</t>
  </si>
  <si>
    <t>192,60</t>
  </si>
  <si>
    <t>5.225.348</t>
  </si>
  <si>
    <t>5.225.347,99</t>
  </si>
  <si>
    <t>DE0008402215</t>
  </si>
  <si>
    <t>SPG SJ Equity</t>
  </si>
  <si>
    <t>Super Group Ltd/South Africa</t>
  </si>
  <si>
    <t>LISN</t>
  </si>
  <si>
    <t>CHOCOLADEFABRIKEN LINDT &amp; SPRUENGL</t>
  </si>
  <si>
    <t>90.007,71</t>
  </si>
  <si>
    <t>5.220.447</t>
  </si>
  <si>
    <t>5.220.446,96</t>
  </si>
  <si>
    <t>CH0010570759</t>
  </si>
  <si>
    <t>RLO SJ Equity</t>
  </si>
  <si>
    <t>Reunert Ltd</t>
  </si>
  <si>
    <t>ARMK</t>
  </si>
  <si>
    <t>ARAMARK</t>
  </si>
  <si>
    <t>5.209.612</t>
  </si>
  <si>
    <t>5.209.612,30</t>
  </si>
  <si>
    <t>US03852U1060</t>
  </si>
  <si>
    <t>JSE SJ Equity</t>
  </si>
  <si>
    <t>JSE Ltd</t>
  </si>
  <si>
    <t>TECK.B</t>
  </si>
  <si>
    <t>TECK RESOURCES SUBORDINATE VOTING</t>
  </si>
  <si>
    <t>15,84</t>
  </si>
  <si>
    <t>5.205.215</t>
  </si>
  <si>
    <t>5.205.215,34</t>
  </si>
  <si>
    <t>CA8787422044</t>
  </si>
  <si>
    <t>DGH SJ Equity</t>
  </si>
  <si>
    <t>Distell Group Holdings Ltd</t>
  </si>
  <si>
    <t>GALP</t>
  </si>
  <si>
    <t>GALP ENERGIA SGPS SA</t>
  </si>
  <si>
    <t>17,40</t>
  </si>
  <si>
    <t>5.203.153</t>
  </si>
  <si>
    <t>5.203.153,18</t>
  </si>
  <si>
    <t>PTGAL0AM0009</t>
  </si>
  <si>
    <t>FFB SJ Equity</t>
  </si>
  <si>
    <t>TEVA</t>
  </si>
  <si>
    <t>TEVA PHARMACEUTICAL INDUSTRIES LTD</t>
  </si>
  <si>
    <t>8,90</t>
  </si>
  <si>
    <t>5.178.136</t>
  </si>
  <si>
    <t>5.178.136,49</t>
  </si>
  <si>
    <t>IL0006290147</t>
  </si>
  <si>
    <t>AFE SJ Equity</t>
  </si>
  <si>
    <t>AECI Ltd</t>
  </si>
  <si>
    <t>IVZ</t>
  </si>
  <si>
    <t>INVESCO LTD</t>
  </si>
  <si>
    <t>17,70</t>
  </si>
  <si>
    <t>5.168.559</t>
  </si>
  <si>
    <t>5.168.559,30</t>
  </si>
  <si>
    <t>BMG491BT1088</t>
  </si>
  <si>
    <t>PFG SJ Equity</t>
  </si>
  <si>
    <t>Pioneer Foods Group Ltd</t>
  </si>
  <si>
    <t>SRPT</t>
  </si>
  <si>
    <t>SAREPTA THERAPEUTICS INC</t>
  </si>
  <si>
    <t>129,02</t>
  </si>
  <si>
    <t>5.168.025</t>
  </si>
  <si>
    <t>5.168.025,12</t>
  </si>
  <si>
    <t>US8036071004</t>
  </si>
  <si>
    <t>DCP SJ Equity</t>
  </si>
  <si>
    <t>Dis-Chem Pharmacies Ltd</t>
  </si>
  <si>
    <t>ONO PHARMACEUTICAL LTD</t>
  </si>
  <si>
    <t>23,60</t>
  </si>
  <si>
    <t>5.155.005</t>
  </si>
  <si>
    <t>5.155.005,48</t>
  </si>
  <si>
    <t>JP3197600004</t>
  </si>
  <si>
    <t>ATT SJ Equity</t>
  </si>
  <si>
    <t>Attacq Ltd</t>
  </si>
  <si>
    <t>TRACTOR SUPPLY</t>
  </si>
  <si>
    <t>91,27</t>
  </si>
  <si>
    <t>5.145.711</t>
  </si>
  <si>
    <t>5.145.711,33</t>
  </si>
  <si>
    <t>US8923561067</t>
  </si>
  <si>
    <t>EPP SJ Equity</t>
  </si>
  <si>
    <t>EPP NV</t>
  </si>
  <si>
    <t>LEA</t>
  </si>
  <si>
    <t>LEAR CORP</t>
  </si>
  <si>
    <t>136,41</t>
  </si>
  <si>
    <t>5.126.151</t>
  </si>
  <si>
    <t>5.126.151,39</t>
  </si>
  <si>
    <t>US5218652049</t>
  </si>
  <si>
    <t>LTE</t>
  </si>
  <si>
    <t>MSP SJ Equity</t>
  </si>
  <si>
    <t>MAS Real Estate Inc</t>
  </si>
  <si>
    <t>ATOS</t>
  </si>
  <si>
    <t>88,04</t>
  </si>
  <si>
    <t>5.114.310</t>
  </si>
  <si>
    <t>5.114.310,23</t>
  </si>
  <si>
    <t>FR0000051732</t>
  </si>
  <si>
    <t>MCG</t>
  </si>
  <si>
    <t>TCP SJ Equity</t>
  </si>
  <si>
    <t>Transaction Capital Ltd</t>
  </si>
  <si>
    <t>CA</t>
  </si>
  <si>
    <t>CARREFOUR SA</t>
  </si>
  <si>
    <t>16,69</t>
  </si>
  <si>
    <t>5.104.879</t>
  </si>
  <si>
    <t>5.104.879,33</t>
  </si>
  <si>
    <t>FR0000120172</t>
  </si>
  <si>
    <t>EQU SJ Equity</t>
  </si>
  <si>
    <t>Equites Property Fund Ltd</t>
  </si>
  <si>
    <t>SOUTH32 LTD</t>
  </si>
  <si>
    <t>1,93</t>
  </si>
  <si>
    <t>2.637.041</t>
  </si>
  <si>
    <t>5.098.824</t>
  </si>
  <si>
    <t>5.098.824,26</t>
  </si>
  <si>
    <t>AU000000S320</t>
  </si>
  <si>
    <t>IPL SJ Equity</t>
  </si>
  <si>
    <t>Imperial Logistics Ltd</t>
  </si>
  <si>
    <t>SGE</t>
  </si>
  <si>
    <t>SAGE GROUP PLC</t>
  </si>
  <si>
    <t>9,66</t>
  </si>
  <si>
    <t>5.095.247</t>
  </si>
  <si>
    <t>5.095.247,41</t>
  </si>
  <si>
    <t>GB00B8C3BL03</t>
  </si>
  <si>
    <t>FBR SJ Equity</t>
  </si>
  <si>
    <t>Famous Brands Ltd</t>
  </si>
  <si>
    <t>CGNX</t>
  </si>
  <si>
    <t>COGNEX CORP</t>
  </si>
  <si>
    <t>55,17</t>
  </si>
  <si>
    <t>5.092.191</t>
  </si>
  <si>
    <t>5.092.191,00</t>
  </si>
  <si>
    <t>US1924221039</t>
  </si>
  <si>
    <t>SAC SJ Equity</t>
  </si>
  <si>
    <t>SA Corporate Real Estate Ltd</t>
  </si>
  <si>
    <t>GLPG</t>
  </si>
  <si>
    <t>GALAPAGOS NV</t>
  </si>
  <si>
    <t>213,27</t>
  </si>
  <si>
    <t>5.075.353</t>
  </si>
  <si>
    <t>5.075.353,41</t>
  </si>
  <si>
    <t>BE0003818359</t>
  </si>
  <si>
    <t>PPC SJ Equity</t>
  </si>
  <si>
    <t>PPC Ltd</t>
  </si>
  <si>
    <t>FDS</t>
  </si>
  <si>
    <t>FACTSET RESEARCH SYSTEMS INC</t>
  </si>
  <si>
    <t>264,88</t>
  </si>
  <si>
    <t>5.075.101</t>
  </si>
  <si>
    <t>5.075.100,80</t>
  </si>
  <si>
    <t>US3030751057</t>
  </si>
  <si>
    <t>IPF SJ Equity</t>
  </si>
  <si>
    <t>Investec Property Fund Ltd</t>
  </si>
  <si>
    <t>RNO</t>
  </si>
  <si>
    <t>RENAULT SA</t>
  </si>
  <si>
    <t>46,50</t>
  </si>
  <si>
    <t>5.069.680</t>
  </si>
  <si>
    <t>5.069.680,32</t>
  </si>
  <si>
    <t>FR0000131906</t>
  </si>
  <si>
    <t>TSH SJ Equity</t>
  </si>
  <si>
    <t>Tsogo Sun Holdings Ltd</t>
  </si>
  <si>
    <t>HLMA</t>
  </si>
  <si>
    <t>HALMA PLC</t>
  </si>
  <si>
    <t>27,32</t>
  </si>
  <si>
    <t>5.066.341</t>
  </si>
  <si>
    <t>5.066.341,45</t>
  </si>
  <si>
    <t>GB0004052071</t>
  </si>
  <si>
    <t>NPK SJ Equity</t>
  </si>
  <si>
    <t>Nampak Ltd</t>
  </si>
  <si>
    <t>TRN</t>
  </si>
  <si>
    <t>TERNA RETE ELETTRICA NAZIONALE</t>
  </si>
  <si>
    <t>6,72</t>
  </si>
  <si>
    <t>5.044.028</t>
  </si>
  <si>
    <t>5.044.028,12</t>
  </si>
  <si>
    <t>IT0003242622</t>
  </si>
  <si>
    <t>ADH SJ Equity</t>
  </si>
  <si>
    <t>Advtech Ltd</t>
  </si>
  <si>
    <t>FTI</t>
  </si>
  <si>
    <t>TECHNIPFMC PLC</t>
  </si>
  <si>
    <t>21,01</t>
  </si>
  <si>
    <t>5.040.698</t>
  </si>
  <si>
    <t>5.040.698,19</t>
  </si>
  <si>
    <t>GB00BDSFG982</t>
  </si>
  <si>
    <t>S32 SJ Equity</t>
  </si>
  <si>
    <t>South32 Ltd</t>
  </si>
  <si>
    <t>WRK</t>
  </si>
  <si>
    <t>WESTROCK</t>
  </si>
  <si>
    <t>42,16</t>
  </si>
  <si>
    <t>5.031.585</t>
  </si>
  <si>
    <t>5.031.585,20</t>
  </si>
  <si>
    <t>US96145D1054</t>
  </si>
  <si>
    <t>MTH</t>
  </si>
  <si>
    <t>ITE SJ Equity</t>
  </si>
  <si>
    <t>Italtile Ltd</t>
  </si>
  <si>
    <t>DVA</t>
  </si>
  <si>
    <t>DAVITA INC</t>
  </si>
  <si>
    <t>75,95</t>
  </si>
  <si>
    <t>5.019.763</t>
  </si>
  <si>
    <t>5.019.763,35</t>
  </si>
  <si>
    <t>US23918K1088</t>
  </si>
  <si>
    <t>DTC SJ Equity</t>
  </si>
  <si>
    <t>DataTec Ltd</t>
  </si>
  <si>
    <t>NITTO DENKO CORP</t>
  </si>
  <si>
    <t>56,32</t>
  </si>
  <si>
    <t>5.019.517</t>
  </si>
  <si>
    <t>5.019.516,89</t>
  </si>
  <si>
    <t>JP3684000007</t>
  </si>
  <si>
    <t>MSM SJ Equity</t>
  </si>
  <si>
    <t>Massmart Holdings Ltd</t>
  </si>
  <si>
    <t>TEMN</t>
  </si>
  <si>
    <t>TEMENOS AG</t>
  </si>
  <si>
    <t>158,28</t>
  </si>
  <si>
    <t>5.021.405</t>
  </si>
  <si>
    <t>5.021.404,78</t>
  </si>
  <si>
    <t>CH0012453913</t>
  </si>
  <si>
    <t>ARL SJ Equity</t>
  </si>
  <si>
    <t>Astral Foods Ltd</t>
  </si>
  <si>
    <t>PSN</t>
  </si>
  <si>
    <t>PERSIMMON PLC</t>
  </si>
  <si>
    <t>35,34</t>
  </si>
  <si>
    <t>5.006.896</t>
  </si>
  <si>
    <t>5.006.895,82</t>
  </si>
  <si>
    <t>GB0006825383</t>
  </si>
  <si>
    <t>BAT SJ Equity</t>
  </si>
  <si>
    <t>Brait SE</t>
  </si>
  <si>
    <t>LII</t>
  </si>
  <si>
    <t>LENNOX INTERNATIONAL INC</t>
  </si>
  <si>
    <t>247,51</t>
  </si>
  <si>
    <t>4.988.812</t>
  </si>
  <si>
    <t>4.988.811,56</t>
  </si>
  <si>
    <t>US5261071071</t>
  </si>
  <si>
    <t>WBO SJ Equity</t>
  </si>
  <si>
    <t>Wilson Bayly Holmes-Ovcon Ltd</t>
  </si>
  <si>
    <t>EN</t>
  </si>
  <si>
    <t>BOUYGUES SA</t>
  </si>
  <si>
    <t>41,82</t>
  </si>
  <si>
    <t>4.980.188</t>
  </si>
  <si>
    <t>4.980.188,49</t>
  </si>
  <si>
    <t>FR0000120503</t>
  </si>
  <si>
    <t>HMN SJ Equity</t>
  </si>
  <si>
    <t>Hammerson PLC</t>
  </si>
  <si>
    <t>XPO</t>
  </si>
  <si>
    <t>XPO LOGISTICS INC</t>
  </si>
  <si>
    <t>78,06</t>
  </si>
  <si>
    <t>4.974.295</t>
  </si>
  <si>
    <t>4.974.295,44</t>
  </si>
  <si>
    <t>US9837931008</t>
  </si>
  <si>
    <t>AEL SJ Equity</t>
  </si>
  <si>
    <t>Allied Electronics Corp Ltd</t>
  </si>
  <si>
    <t>WH GROUP LTD</t>
  </si>
  <si>
    <t>1,12</t>
  </si>
  <si>
    <t>4.420.500</t>
  </si>
  <si>
    <t>4.968.868</t>
  </si>
  <si>
    <t>4.968.868,42</t>
  </si>
  <si>
    <t>KYG960071028</t>
  </si>
  <si>
    <t>CSB SJ Equity</t>
  </si>
  <si>
    <t>Cashbuild Ltd</t>
  </si>
  <si>
    <t>TORAY INDUSTRIES INC</t>
  </si>
  <si>
    <t>6,73</t>
  </si>
  <si>
    <t>4.952.025</t>
  </si>
  <si>
    <t>4.952.025,31</t>
  </si>
  <si>
    <t>JP3621000003</t>
  </si>
  <si>
    <t>OCE SJ Equity</t>
  </si>
  <si>
    <t>Oceana Group Ltd</t>
  </si>
  <si>
    <t>CCK</t>
  </si>
  <si>
    <t>CROWN HOLDINGS INC</t>
  </si>
  <si>
    <t>71,09</t>
  </si>
  <si>
    <t>4.949.641</t>
  </si>
  <si>
    <t>4.949.641,25</t>
  </si>
  <si>
    <t>US2283681060</t>
  </si>
  <si>
    <t>EMI SJ Equity</t>
  </si>
  <si>
    <t>Emira Property Fund Ltd</t>
  </si>
  <si>
    <t>GET</t>
  </si>
  <si>
    <t>GETLINK</t>
  </si>
  <si>
    <t>17,11</t>
  </si>
  <si>
    <t>4.946.636</t>
  </si>
  <si>
    <t>4.946.636,41</t>
  </si>
  <si>
    <t>FR0010533075</t>
  </si>
  <si>
    <t>SUI SJ Equity</t>
  </si>
  <si>
    <t>Sun International Ltd/South Africa</t>
  </si>
  <si>
    <t>COCHLEAR LTD</t>
  </si>
  <si>
    <t>160,68</t>
  </si>
  <si>
    <t>4.947.302</t>
  </si>
  <si>
    <t>4.947.302,12</t>
  </si>
  <si>
    <t>AU000000COH5</t>
  </si>
  <si>
    <t>HCI SJ Equity</t>
  </si>
  <si>
    <t>Hosken Consolidated Investments Ltd</t>
  </si>
  <si>
    <t>Z</t>
  </si>
  <si>
    <t>ZILLOW GROUP INC CLASS C</t>
  </si>
  <si>
    <t>45,59</t>
  </si>
  <si>
    <t>4.939.494</t>
  </si>
  <si>
    <t>4.939.494,14</t>
  </si>
  <si>
    <t>US98954M2008</t>
  </si>
  <si>
    <t>SRE SJ Equity</t>
  </si>
  <si>
    <t>Sirius Real Estate Ltd</t>
  </si>
  <si>
    <t>SLA</t>
  </si>
  <si>
    <t>STANDARD LIFE ABERDEEN PLC</t>
  </si>
  <si>
    <t>4,07</t>
  </si>
  <si>
    <t>1.210.184</t>
  </si>
  <si>
    <t>4.928.189</t>
  </si>
  <si>
    <t>4.928.188,62</t>
  </si>
  <si>
    <t>GB00BF8Q6K64</t>
  </si>
  <si>
    <t>SSS SJ Equity</t>
  </si>
  <si>
    <t>Stor-Age Property REIT Ltd</t>
  </si>
  <si>
    <t>CPB</t>
  </si>
  <si>
    <t>CAMPBELL SOUP</t>
  </si>
  <si>
    <t>47,73</t>
  </si>
  <si>
    <t>4.913.326</t>
  </si>
  <si>
    <t>4.913.326,20</t>
  </si>
  <si>
    <t>US1344291091</t>
  </si>
  <si>
    <t>MTA SJ Equity</t>
  </si>
  <si>
    <t>Metair Investments Ltd</t>
  </si>
  <si>
    <t>LPT</t>
  </si>
  <si>
    <t>LIBERTY PROPERTY REIT TRUST</t>
  </si>
  <si>
    <t>60,25</t>
  </si>
  <si>
    <t>4.904.290</t>
  </si>
  <si>
    <t>4.904.289,75</t>
  </si>
  <si>
    <t>US5311721048</t>
  </si>
  <si>
    <t>AIP SJ Equity</t>
  </si>
  <si>
    <t>Adcock Ingram Holdings Ltd</t>
  </si>
  <si>
    <t>UMI</t>
  </si>
  <si>
    <t>UMICORE SA</t>
  </si>
  <si>
    <t>48,18</t>
  </si>
  <si>
    <t>4.903.168</t>
  </si>
  <si>
    <t>4.903.168,29</t>
  </si>
  <si>
    <t>BE0974320526</t>
  </si>
  <si>
    <t>RBP SJ Equity</t>
  </si>
  <si>
    <t>Royal Bafokeng Platinum Ltd</t>
  </si>
  <si>
    <t>FLTR</t>
  </si>
  <si>
    <t>FLUTTER ENTERTAINMENT PLC</t>
  </si>
  <si>
    <t>122,69</t>
  </si>
  <si>
    <t>4.904.777</t>
  </si>
  <si>
    <t>4.904.776,97</t>
  </si>
  <si>
    <t>IE00BWT6H894</t>
  </si>
  <si>
    <t>PPH</t>
  </si>
  <si>
    <t>IAP SJ Equity</t>
  </si>
  <si>
    <t>Investec Australia Property Fund</t>
  </si>
  <si>
    <t>FWONK</t>
  </si>
  <si>
    <t>LIBERTY MEDIA FORMULA ONE CORP SER</t>
  </si>
  <si>
    <t>45,65</t>
  </si>
  <si>
    <t>4.900.208</t>
  </si>
  <si>
    <t>4.900.207,95</t>
  </si>
  <si>
    <t>US5312298541</t>
  </si>
  <si>
    <t>PSG</t>
  </si>
  <si>
    <t>COH SJ Equity</t>
  </si>
  <si>
    <t>Curro Holdings Ltd</t>
  </si>
  <si>
    <t>DAL</t>
  </si>
  <si>
    <t>DELTA AIR LINES INC</t>
  </si>
  <si>
    <t>4.899.089</t>
  </si>
  <si>
    <t>4.899.088,76</t>
  </si>
  <si>
    <t>US2473617023</t>
  </si>
  <si>
    <t>AFH SJ Equity</t>
  </si>
  <si>
    <t>Alexander Forbes Group Holdings Ltd</t>
  </si>
  <si>
    <t>ADYEN</t>
  </si>
  <si>
    <t>ADYEN NV</t>
  </si>
  <si>
    <t>832,40</t>
  </si>
  <si>
    <t>4.894.519</t>
  </si>
  <si>
    <t>4.894.518,76</t>
  </si>
  <si>
    <t>NL0012969182</t>
  </si>
  <si>
    <t>L4L SJ Equity</t>
  </si>
  <si>
    <t>Long4Life Ltd</t>
  </si>
  <si>
    <t>NLSN</t>
  </si>
  <si>
    <t>NIELSEN HOLDINGS PLC</t>
  </si>
  <si>
    <t>19,98</t>
  </si>
  <si>
    <t>4.886.309</t>
  </si>
  <si>
    <t>4.886.308,80</t>
  </si>
  <si>
    <t>GB00BWFY5505</t>
  </si>
  <si>
    <t>TRE SJ Equity</t>
  </si>
  <si>
    <t>Trencor Ltd</t>
  </si>
  <si>
    <t>KRX</t>
  </si>
  <si>
    <t>KINGSPAN GROUP PLC</t>
  </si>
  <si>
    <t>60,29</t>
  </si>
  <si>
    <t>4.886.745</t>
  </si>
  <si>
    <t>4.886.745,15</t>
  </si>
  <si>
    <t>IE0004927939</t>
  </si>
  <si>
    <t>MPT SJ Equity</t>
  </si>
  <si>
    <t>Mpact Ltd</t>
  </si>
  <si>
    <t>ADVANTEST CORP</t>
  </si>
  <si>
    <t>4.885.953</t>
  </si>
  <si>
    <t>4.885.952,90</t>
  </si>
  <si>
    <t>JP3122400009</t>
  </si>
  <si>
    <t>KST SJ Equity</t>
  </si>
  <si>
    <t>PSG Konsult Ltd</t>
  </si>
  <si>
    <t>SNA</t>
  </si>
  <si>
    <t>SNAP ON INC</t>
  </si>
  <si>
    <t>166,55</t>
  </si>
  <si>
    <t>4.878.749</t>
  </si>
  <si>
    <t>4.878.749,15</t>
  </si>
  <si>
    <t>US8330341012</t>
  </si>
  <si>
    <t>HDC SJ Equity</t>
  </si>
  <si>
    <t>Hudaco Industries Ltd</t>
  </si>
  <si>
    <t>REG</t>
  </si>
  <si>
    <t>REGENCY CENTERS REIT CORP</t>
  </si>
  <si>
    <t>61,92</t>
  </si>
  <si>
    <t>4.875.890</t>
  </si>
  <si>
    <t>4.875.890,40</t>
  </si>
  <si>
    <t>US7588491032</t>
  </si>
  <si>
    <t>CLH SJ Equity</t>
  </si>
  <si>
    <t>City Lodge Hotels Ltd</t>
  </si>
  <si>
    <t>SLG</t>
  </si>
  <si>
    <t>SL GREEN REALTY REIT CORP</t>
  </si>
  <si>
    <t>4.867.018</t>
  </si>
  <si>
    <t>4.867.017,50</t>
  </si>
  <si>
    <t>US78440X1019</t>
  </si>
  <si>
    <t>AWA SJ Equity</t>
  </si>
  <si>
    <t>Arrowhead Properties Ltd</t>
  </si>
  <si>
    <t>AGL ENERGY LTD</t>
  </si>
  <si>
    <t>14,14</t>
  </si>
  <si>
    <t>4.853.783</t>
  </si>
  <si>
    <t>4.853.783,26</t>
  </si>
  <si>
    <t>AU000000AGL7</t>
  </si>
  <si>
    <t>PGR SJ Equity</t>
  </si>
  <si>
    <t>Peregrine Holdings Ltd</t>
  </si>
  <si>
    <t>TRGP</t>
  </si>
  <si>
    <t>TARGA RESOURCES CORP</t>
  </si>
  <si>
    <t>39,65</t>
  </si>
  <si>
    <t>4.853.081</t>
  </si>
  <si>
    <t>4.853.080,70</t>
  </si>
  <si>
    <t>US87612G1013</t>
  </si>
  <si>
    <t>RPL SJ Equity</t>
  </si>
  <si>
    <t>RDI REIT PLC</t>
  </si>
  <si>
    <t>CHUBU ELECTRIC POWER INC</t>
  </si>
  <si>
    <t>13,44</t>
  </si>
  <si>
    <t>4.840.424</t>
  </si>
  <si>
    <t>4.840.423,74</t>
  </si>
  <si>
    <t>JP3526600006</t>
  </si>
  <si>
    <t>ZED SJ Equity</t>
  </si>
  <si>
    <t>Zeder Investments Ltd</t>
  </si>
  <si>
    <t>HANG LUNG PROPERTIES LTD</t>
  </si>
  <si>
    <t>2,39</t>
  </si>
  <si>
    <t>2.020.119</t>
  </si>
  <si>
    <t>4.832.752</t>
  </si>
  <si>
    <t>4.832.752,13</t>
  </si>
  <si>
    <t>HK0101000591</t>
  </si>
  <si>
    <t>RMI</t>
  </si>
  <si>
    <t>CLR SJ Equity</t>
  </si>
  <si>
    <t>Clover Industries Ltd</t>
  </si>
  <si>
    <t>RESONA HOLDINGS INC</t>
  </si>
  <si>
    <t>4,31</t>
  </si>
  <si>
    <t>1.121.000</t>
  </si>
  <si>
    <t>4.830.450</t>
  </si>
  <si>
    <t>4.830.449,98</t>
  </si>
  <si>
    <t>JP3500610005</t>
  </si>
  <si>
    <t>PAN SJ Equity</t>
  </si>
  <si>
    <t>Pan African Resources PLC</t>
  </si>
  <si>
    <t>YAR</t>
  </si>
  <si>
    <t>YARA INTERNATIONAL</t>
  </si>
  <si>
    <t>39,73</t>
  </si>
  <si>
    <t>4.815.879</t>
  </si>
  <si>
    <t>4.815.879,20</t>
  </si>
  <si>
    <t>NO0010208051</t>
  </si>
  <si>
    <t>AFX SJ Equity</t>
  </si>
  <si>
    <t>African Oxygen Ltd</t>
  </si>
  <si>
    <t>PNR</t>
  </si>
  <si>
    <t>PENTAIR</t>
  </si>
  <si>
    <t>45,26</t>
  </si>
  <si>
    <t>4.798.375</t>
  </si>
  <si>
    <t>4.798.374,68</t>
  </si>
  <si>
    <t>IE00BLS09M33</t>
  </si>
  <si>
    <t>OCT SJ Equity</t>
  </si>
  <si>
    <t>Octodec Investments Ltd</t>
  </si>
  <si>
    <t>EXO</t>
  </si>
  <si>
    <t>EXOR NV</t>
  </si>
  <si>
    <t>77,91</t>
  </si>
  <si>
    <t>4.796.260</t>
  </si>
  <si>
    <t>4.796.260,42</t>
  </si>
  <si>
    <t>NL0012059018</t>
  </si>
  <si>
    <t>BLU SJ Equity</t>
  </si>
  <si>
    <t>Blue Label Telecoms Ltd</t>
  </si>
  <si>
    <t>CCH</t>
  </si>
  <si>
    <t>COCA COLA HBC AG</t>
  </si>
  <si>
    <t>34,75</t>
  </si>
  <si>
    <t>4.794.556</t>
  </si>
  <si>
    <t>4.794.556,27</t>
  </si>
  <si>
    <t>CH0198251305</t>
  </si>
  <si>
    <t>LBR SJ Equity</t>
  </si>
  <si>
    <t>Libstar Holdings Ltd</t>
  </si>
  <si>
    <t>RL</t>
  </si>
  <si>
    <t>RALPH LAUREN CORP CLASS A</t>
  </si>
  <si>
    <t>117,96</t>
  </si>
  <si>
    <t>4.785.991</t>
  </si>
  <si>
    <t>4.785.991,08</t>
  </si>
  <si>
    <t>US7512121010</t>
  </si>
  <si>
    <t>MIX SJ Equity</t>
  </si>
  <si>
    <t>MiX Telematics Ltd</t>
  </si>
  <si>
    <t>WRB</t>
  </si>
  <si>
    <t>WR BERKLEY CORP</t>
  </si>
  <si>
    <t>67,86</t>
  </si>
  <si>
    <t>4.783.926</t>
  </si>
  <si>
    <t>4.783.926,42</t>
  </si>
  <si>
    <t>US0844231029</t>
  </si>
  <si>
    <t>MUR SJ Equity</t>
  </si>
  <si>
    <t>Murray &amp; Roberts Holdings Ltd</t>
  </si>
  <si>
    <t>MGGT</t>
  </si>
  <si>
    <t>MEGGITT PLC</t>
  </si>
  <si>
    <t>4.768.665</t>
  </si>
  <si>
    <t>4.768.664,84</t>
  </si>
  <si>
    <t>GB0005758098</t>
  </si>
  <si>
    <t>RBX SJ Equity</t>
  </si>
  <si>
    <t>Raubex Group Ltd</t>
  </si>
  <si>
    <t>SW</t>
  </si>
  <si>
    <t>SODEXO SA</t>
  </si>
  <si>
    <t>111,91</t>
  </si>
  <si>
    <t>4.758.091</t>
  </si>
  <si>
    <t>4.758.090,77</t>
  </si>
  <si>
    <t>FR0000121220</t>
  </si>
  <si>
    <t>L2D SJ Equity</t>
  </si>
  <si>
    <t>Liberty Two Degrees</t>
  </si>
  <si>
    <t>BHC</t>
  </si>
  <si>
    <t>BAUSCH HEALTH COMPANIES INC</t>
  </si>
  <si>
    <t>27,68</t>
  </si>
  <si>
    <t>4.751.476</t>
  </si>
  <si>
    <t>4.751.476,33</t>
  </si>
  <si>
    <t>CA0717341071</t>
  </si>
  <si>
    <t>LEW SJ Equity</t>
  </si>
  <si>
    <t>Lewis Group Ltd</t>
  </si>
  <si>
    <t>KL</t>
  </si>
  <si>
    <t>KIRKLAND LAKE GOLD LTD</t>
  </si>
  <si>
    <t>44,69</t>
  </si>
  <si>
    <t>4.750.555</t>
  </si>
  <si>
    <t>4.750.555,38</t>
  </si>
  <si>
    <t>CA49741E1007</t>
  </si>
  <si>
    <t>RCL SJ Equity</t>
  </si>
  <si>
    <t>RCL Foods Ltd/South Africa</t>
  </si>
  <si>
    <t>TYL</t>
  </si>
  <si>
    <t>TYLER TECHNOLOGIES INC</t>
  </si>
  <si>
    <t>310,23</t>
  </si>
  <si>
    <t>4.750.862</t>
  </si>
  <si>
    <t>4.750.862,22</t>
  </si>
  <si>
    <t>US9022521051</t>
  </si>
  <si>
    <t>GND SJ Equity</t>
  </si>
  <si>
    <t>Grindrod Ltd</t>
  </si>
  <si>
    <t>MGR</t>
  </si>
  <si>
    <t>MIRVAC GROUP STAPLED UNITS</t>
  </si>
  <si>
    <t>2,26</t>
  </si>
  <si>
    <t>2.097.361</t>
  </si>
  <si>
    <t>4.736.048</t>
  </si>
  <si>
    <t>4.736.047,73</t>
  </si>
  <si>
    <t>AU000000MGR9</t>
  </si>
  <si>
    <t>AFT SJ Equity</t>
  </si>
  <si>
    <t>Afrimat Ltd</t>
  </si>
  <si>
    <t>SEV</t>
  </si>
  <si>
    <t>SUEZ SA</t>
  </si>
  <si>
    <t>15,31</t>
  </si>
  <si>
    <t>4.724.785</t>
  </si>
  <si>
    <t>4.724.784,53</t>
  </si>
  <si>
    <t>FR0010613471</t>
  </si>
  <si>
    <t>EOH SJ Equity</t>
  </si>
  <si>
    <t>EOH Holdings Ltd</t>
  </si>
  <si>
    <t>SMIN</t>
  </si>
  <si>
    <t>SMITHS GROUP PLC</t>
  </si>
  <si>
    <t>22,77</t>
  </si>
  <si>
    <t>4.726.983</t>
  </si>
  <si>
    <t>4.726.982,56</t>
  </si>
  <si>
    <t>GB00B1WY2338</t>
  </si>
  <si>
    <t>RFG SJ Equity</t>
  </si>
  <si>
    <t>Rhodes Food Group Pty Ltd</t>
  </si>
  <si>
    <t>WST</t>
  </si>
  <si>
    <t>WEST PHARMACEUTICAL SERVICES INC</t>
  </si>
  <si>
    <t>152,63</t>
  </si>
  <si>
    <t>4.705.583</t>
  </si>
  <si>
    <t>4.705.582,90</t>
  </si>
  <si>
    <t>US9553061055</t>
  </si>
  <si>
    <t>SNH SJ Equity</t>
  </si>
  <si>
    <t>Steinhoff International Holdings NV</t>
  </si>
  <si>
    <t>IPG</t>
  </si>
  <si>
    <t>INTERPUBLIC GROUP OF COMPANIES INC</t>
  </si>
  <si>
    <t>23,12</t>
  </si>
  <si>
    <t>4.705.267</t>
  </si>
  <si>
    <t>4.705.266,80</t>
  </si>
  <si>
    <t>US4606901001</t>
  </si>
  <si>
    <t>SSS</t>
  </si>
  <si>
    <t>TGO SJ Equity</t>
  </si>
  <si>
    <t>Tsogo Sun Hotels Ltd</t>
  </si>
  <si>
    <t>IMO</t>
  </si>
  <si>
    <t>IMPERIAL OIL LTD</t>
  </si>
  <si>
    <t>26,90</t>
  </si>
  <si>
    <t>4.698.550</t>
  </si>
  <si>
    <t>4.698.550,05</t>
  </si>
  <si>
    <t>CA4530384086</t>
  </si>
  <si>
    <t>OMN SJ Equity</t>
  </si>
  <si>
    <t>Omnia Holdings Ltd</t>
  </si>
  <si>
    <t>BDEV</t>
  </si>
  <si>
    <t>BARRATT DEVELOPMENTS PLC</t>
  </si>
  <si>
    <t>9,88</t>
  </si>
  <si>
    <t>4.696.244</t>
  </si>
  <si>
    <t>4.696.243,98</t>
  </si>
  <si>
    <t>GB0000811801</t>
  </si>
  <si>
    <t>APF SJ Equity</t>
  </si>
  <si>
    <t>Accelerate Property Fund Ltd</t>
  </si>
  <si>
    <t>SEIC</t>
  </si>
  <si>
    <t>SEI INVESTMENTS</t>
  </si>
  <si>
    <t>65,33</t>
  </si>
  <si>
    <t>4.690.237</t>
  </si>
  <si>
    <t>4.690.236,69</t>
  </si>
  <si>
    <t>US7841171033</t>
  </si>
  <si>
    <t>AIL SJ Equity</t>
  </si>
  <si>
    <t>African Rainbow Capital Investments Ltd</t>
  </si>
  <si>
    <t>VER</t>
  </si>
  <si>
    <t>VEREIT INC</t>
  </si>
  <si>
    <t>9,26</t>
  </si>
  <si>
    <t>4.683.893</t>
  </si>
  <si>
    <t>4.683.893,20</t>
  </si>
  <si>
    <t>US92339V1008</t>
  </si>
  <si>
    <t>HPB SJ Equity</t>
  </si>
  <si>
    <t>Hospitality Property Fund Ltd</t>
  </si>
  <si>
    <t>MISUMI GROUP INC</t>
  </si>
  <si>
    <t>26,54</t>
  </si>
  <si>
    <t>4.684.757</t>
  </si>
  <si>
    <t>4.684.757,21</t>
  </si>
  <si>
    <t>JP3885400006</t>
  </si>
  <si>
    <t>LTE SJ Equity</t>
  </si>
  <si>
    <t>Lighthouse Capital Ltd</t>
  </si>
  <si>
    <t>1COV</t>
  </si>
  <si>
    <t>COVESTRO AG</t>
  </si>
  <si>
    <t>45,17</t>
  </si>
  <si>
    <t>4.677.902</t>
  </si>
  <si>
    <t>4.677.901,89</t>
  </si>
  <si>
    <t>DE0006062144</t>
  </si>
  <si>
    <t>SUR SJ Equity</t>
  </si>
  <si>
    <t>Spur Corp Ltd</t>
  </si>
  <si>
    <t>AIZ</t>
  </si>
  <si>
    <t>ASSURANT INC</t>
  </si>
  <si>
    <t>132,44</t>
  </si>
  <si>
    <t>4.669.172</t>
  </si>
  <si>
    <t>4.669.172,20</t>
  </si>
  <si>
    <t>US04621X1081</t>
  </si>
  <si>
    <t>BRN SJ Equity</t>
  </si>
  <si>
    <t>Brimstone Investment Corp Ltd</t>
  </si>
  <si>
    <t>ZAYO</t>
  </si>
  <si>
    <t>ZAYO GROUP HOLDINGS INC</t>
  </si>
  <si>
    <t>34,69</t>
  </si>
  <si>
    <t>4.658.277</t>
  </si>
  <si>
    <t>4.658.277,27</t>
  </si>
  <si>
    <t>US98919V1052</t>
  </si>
  <si>
    <t>TGO</t>
  </si>
  <si>
    <t>TON SJ Equity</t>
  </si>
  <si>
    <t>Tongaat Hulett Ltd</t>
  </si>
  <si>
    <t>BWA</t>
  </si>
  <si>
    <t>BORGWARNER INC</t>
  </si>
  <si>
    <t>41,42</t>
  </si>
  <si>
    <t>4.649.975</t>
  </si>
  <si>
    <t>4.649.974,88</t>
  </si>
  <si>
    <t>US0997241064</t>
  </si>
  <si>
    <t>IVT SJ Equity</t>
  </si>
  <si>
    <t>Invicta Holdings Ltd</t>
  </si>
  <si>
    <t>SBNY</t>
  </si>
  <si>
    <t>SIGNATURE BANK</t>
  </si>
  <si>
    <t>137,72</t>
  </si>
  <si>
    <t>4.647.361</t>
  </si>
  <si>
    <t>4.647.361,40</t>
  </si>
  <si>
    <t>US82669G1040</t>
  </si>
  <si>
    <t>ASC SJ Equity</t>
  </si>
  <si>
    <t>Ascendis Health Ltd</t>
  </si>
  <si>
    <t>CTC.A</t>
  </si>
  <si>
    <t>CANADIAN TIRE LTD CLASS A</t>
  </si>
  <si>
    <t>109,11</t>
  </si>
  <si>
    <t>4.645.962</t>
  </si>
  <si>
    <t>4.645.961,61</t>
  </si>
  <si>
    <t>CA1366812024</t>
  </si>
  <si>
    <t>CTK SJ Equity</t>
  </si>
  <si>
    <t>Cartrack Holdings Ltd</t>
  </si>
  <si>
    <t>PKI</t>
  </si>
  <si>
    <t>PERKINELMER INC</t>
  </si>
  <si>
    <t>100,34</t>
  </si>
  <si>
    <t>4.635.407</t>
  </si>
  <si>
    <t>4.635.406,98</t>
  </si>
  <si>
    <t>US7140461093</t>
  </si>
  <si>
    <t>STP SJ Equity</t>
  </si>
  <si>
    <t>Stenprop Ltd</t>
  </si>
  <si>
    <t>TPR</t>
  </si>
  <si>
    <t>TAPESTRY INC</t>
  </si>
  <si>
    <t>27,43</t>
  </si>
  <si>
    <t>4.629.690</t>
  </si>
  <si>
    <t>4.629.690,26</t>
  </si>
  <si>
    <t>US8760301072</t>
  </si>
  <si>
    <t>DLT SJ Equity</t>
  </si>
  <si>
    <t>Delta Property Fund Ltd</t>
  </si>
  <si>
    <t>LUV</t>
  </si>
  <si>
    <t>SOUTHWEST AIRLINES</t>
  </si>
  <si>
    <t>53,94</t>
  </si>
  <si>
    <t>4.604.372</t>
  </si>
  <si>
    <t>4.604.372,34</t>
  </si>
  <si>
    <t>US8447411088</t>
  </si>
  <si>
    <t>SDO SJ Equity</t>
  </si>
  <si>
    <t>Stadio Holdings Ltd</t>
  </si>
  <si>
    <t>CPT</t>
  </si>
  <si>
    <t>CAMDEN PROPERTY TRUST REIT</t>
  </si>
  <si>
    <t>106,22</t>
  </si>
  <si>
    <t>4.598.476</t>
  </si>
  <si>
    <t>4.598.476,24</t>
  </si>
  <si>
    <t>US1331311027</t>
  </si>
  <si>
    <t>ACT SJ Equity</t>
  </si>
  <si>
    <t>AfroCentric Investment Corp Ltd</t>
  </si>
  <si>
    <t>RGA</t>
  </si>
  <si>
    <t>REINSURANCE GROUP OF AMERICA INC</t>
  </si>
  <si>
    <t>156,16</t>
  </si>
  <si>
    <t>4.591.104</t>
  </si>
  <si>
    <t>4.591.104,00</t>
  </si>
  <si>
    <t>US7593516047</t>
  </si>
  <si>
    <t>ACL SJ Equity</t>
  </si>
  <si>
    <t>ArcelorMittal South Africa Ltd</t>
  </si>
  <si>
    <t>PTC</t>
  </si>
  <si>
    <t>PTC INC</t>
  </si>
  <si>
    <t>76,75</t>
  </si>
  <si>
    <t>4.592.874</t>
  </si>
  <si>
    <t>4.592.873,50</t>
  </si>
  <si>
    <t>US69370C1009</t>
  </si>
  <si>
    <t>TDH SJ Equity</t>
  </si>
  <si>
    <t>Tradehold Ltd</t>
  </si>
  <si>
    <t>NI</t>
  </si>
  <si>
    <t>NISOURCE INC</t>
  </si>
  <si>
    <t>27,64</t>
  </si>
  <si>
    <t>4.589.069</t>
  </si>
  <si>
    <t>4.589.069,20</t>
  </si>
  <si>
    <t>US65473P1057</t>
  </si>
  <si>
    <t>REB SJ Equity</t>
  </si>
  <si>
    <t>Rebosis Property Fund Ltd</t>
  </si>
  <si>
    <t>FFIV</t>
  </si>
  <si>
    <t>F5 NETWORKS INC</t>
  </si>
  <si>
    <t>135,15</t>
  </si>
  <si>
    <t>4.587.126</t>
  </si>
  <si>
    <t>4.587.126,15</t>
  </si>
  <si>
    <t>US3156161024</t>
  </si>
  <si>
    <t>J204</t>
  </si>
  <si>
    <t>ADR</t>
  </si>
  <si>
    <t>MDB</t>
  </si>
  <si>
    <t>MONGODB INC CLASS A</t>
  </si>
  <si>
    <t>149,23</t>
  </si>
  <si>
    <t>4.581.809</t>
  </si>
  <si>
    <t>4.581.808,69</t>
  </si>
  <si>
    <t>US60937P1066</t>
  </si>
  <si>
    <t>AEG</t>
  </si>
  <si>
    <t>JAZZ</t>
  </si>
  <si>
    <t>JAZZ PHARMACEUTICALS PLC</t>
  </si>
  <si>
    <t>146,68</t>
  </si>
  <si>
    <t>4.560.135</t>
  </si>
  <si>
    <t>4.560.134,52</t>
  </si>
  <si>
    <t>IE00B4Q5ZN47</t>
  </si>
  <si>
    <t>NWL</t>
  </si>
  <si>
    <t>NEWELL BRANDS INC</t>
  </si>
  <si>
    <t>19,24</t>
  </si>
  <si>
    <t>4.559.245</t>
  </si>
  <si>
    <t>4.559.245,08</t>
  </si>
  <si>
    <t>US6512291062</t>
  </si>
  <si>
    <t>ART</t>
  </si>
  <si>
    <t>OGE</t>
  </si>
  <si>
    <t>OGE ENERGY CORP</t>
  </si>
  <si>
    <t>44,21</t>
  </si>
  <si>
    <t>4.557.078</t>
  </si>
  <si>
    <t>4.557.078,38</t>
  </si>
  <si>
    <t>US6708371033</t>
  </si>
  <si>
    <t>BCF</t>
  </si>
  <si>
    <t>LAND</t>
  </si>
  <si>
    <t>LAND SECURITIES GROUP REIT PLC</t>
  </si>
  <si>
    <t>12,50</t>
  </si>
  <si>
    <t>4.557.558</t>
  </si>
  <si>
    <t>4.557.558,10</t>
  </si>
  <si>
    <t>GB00BYW0PQ60</t>
  </si>
  <si>
    <t>BEL</t>
  </si>
  <si>
    <t>JNPR</t>
  </si>
  <si>
    <t>JUNIPER NETWORKS INC</t>
  </si>
  <si>
    <t>24,16</t>
  </si>
  <si>
    <t>4.540.099</t>
  </si>
  <si>
    <t>4.540.098,88</t>
  </si>
  <si>
    <t>US48203R1041</t>
  </si>
  <si>
    <t>BSR</t>
  </si>
  <si>
    <t>UGI</t>
  </si>
  <si>
    <t>UGI CORP</t>
  </si>
  <si>
    <t>44,10</t>
  </si>
  <si>
    <t>4.532.995</t>
  </si>
  <si>
    <t>4.532.994,90</t>
  </si>
  <si>
    <t>US9026811052</t>
  </si>
  <si>
    <t>KNIN</t>
  </si>
  <si>
    <t>KUEHNE UND NAGEL INTERNATIONAL AG</t>
  </si>
  <si>
    <t>169,07</t>
  </si>
  <si>
    <t>4.523.709</t>
  </si>
  <si>
    <t>4.523.709,02</t>
  </si>
  <si>
    <t>CH0025238863</t>
  </si>
  <si>
    <t>CKS</t>
  </si>
  <si>
    <t>NEW WORLD DEVELOPMENT LTD</t>
  </si>
  <si>
    <t>1,39</t>
  </si>
  <si>
    <t>3.256.258</t>
  </si>
  <si>
    <t>4.511.313</t>
  </si>
  <si>
    <t>4.511.312,76</t>
  </si>
  <si>
    <t>HK0017000149</t>
  </si>
  <si>
    <t>CMH</t>
  </si>
  <si>
    <t>NTT DATA CORP</t>
  </si>
  <si>
    <t>14,18</t>
  </si>
  <si>
    <t>4.504.274</t>
  </si>
  <si>
    <t>4.504.273,82</t>
  </si>
  <si>
    <t>JP3165700000</t>
  </si>
  <si>
    <t>COM</t>
  </si>
  <si>
    <t>UBER</t>
  </si>
  <si>
    <t>UBER TECHNOLOGIES INC</t>
  </si>
  <si>
    <t>34,01</t>
  </si>
  <si>
    <t>4.489.592</t>
  </si>
  <si>
    <t>4.489.592,08</t>
  </si>
  <si>
    <t>US90353T1007</t>
  </si>
  <si>
    <t>DAW</t>
  </si>
  <si>
    <t>DISH</t>
  </si>
  <si>
    <t>DISH NETWORK CORP CLASS A</t>
  </si>
  <si>
    <t>35,36</t>
  </si>
  <si>
    <t>4.486.300</t>
  </si>
  <si>
    <t>4.486.300,00</t>
  </si>
  <si>
    <t>US25470M1099</t>
  </si>
  <si>
    <t>DRD</t>
  </si>
  <si>
    <t>C31</t>
  </si>
  <si>
    <t>CAPITALAND</t>
  </si>
  <si>
    <t>2,90</t>
  </si>
  <si>
    <t>1.545.880</t>
  </si>
  <si>
    <t>4.482.639</t>
  </si>
  <si>
    <t>4.482.639,28</t>
  </si>
  <si>
    <t>SG1J27887962</t>
  </si>
  <si>
    <t>ELR</t>
  </si>
  <si>
    <t>TWE</t>
  </si>
  <si>
    <t>TREASURY WINE ESTATES LTD</t>
  </si>
  <si>
    <t>11,70</t>
  </si>
  <si>
    <t>4.471.786</t>
  </si>
  <si>
    <t>4.471.786,13</t>
  </si>
  <si>
    <t>AU000000TWE9</t>
  </si>
  <si>
    <t>FVT</t>
  </si>
  <si>
    <t>SBI HOLDINGS INC</t>
  </si>
  <si>
    <t>4.461.260</t>
  </si>
  <si>
    <t>4.461.259,58</t>
  </si>
  <si>
    <t>JP3436120004</t>
  </si>
  <si>
    <t>MNG</t>
  </si>
  <si>
    <t>M&amp;G PLC</t>
  </si>
  <si>
    <t>3,18</t>
  </si>
  <si>
    <t>1.403.771</t>
  </si>
  <si>
    <t>4.458.817</t>
  </si>
  <si>
    <t>4.458.816,92</t>
  </si>
  <si>
    <t>GB00BKFB1C65</t>
  </si>
  <si>
    <t>HLM</t>
  </si>
  <si>
    <t>ONEX</t>
  </si>
  <si>
    <t>ONEX CORP</t>
  </si>
  <si>
    <t>66,58</t>
  </si>
  <si>
    <t>4.459.022</t>
  </si>
  <si>
    <t>4.459.022,33</t>
  </si>
  <si>
    <t>CA68272K1030</t>
  </si>
  <si>
    <t>HWN</t>
  </si>
  <si>
    <t>OMV</t>
  </si>
  <si>
    <t>OMV AG</t>
  </si>
  <si>
    <t>56,41</t>
  </si>
  <si>
    <t>4.455.543</t>
  </si>
  <si>
    <t>4.455.542,54</t>
  </si>
  <si>
    <t>AT0000743059</t>
  </si>
  <si>
    <t>MFL</t>
  </si>
  <si>
    <t>COG</t>
  </si>
  <si>
    <t>CABOT OIL &amp; GAS CORP</t>
  </si>
  <si>
    <t>17,49</t>
  </si>
  <si>
    <t>4.449.473</t>
  </si>
  <si>
    <t>4.449.473,49</t>
  </si>
  <si>
    <t>US1270971039</t>
  </si>
  <si>
    <t>MMG</t>
  </si>
  <si>
    <t>JHX</t>
  </si>
  <si>
    <t>JAMES HARDIE INDUSTRIES CDI PLC</t>
  </si>
  <si>
    <t>20,41</t>
  </si>
  <si>
    <t>4.442.733</t>
  </si>
  <si>
    <t>4.442.733,36</t>
  </si>
  <si>
    <t>AU000000JHX1</t>
  </si>
  <si>
    <t>MRF</t>
  </si>
  <si>
    <t>A17U</t>
  </si>
  <si>
    <t>ASCENDAS REAL ESTATE INVESTMENT TR</t>
  </si>
  <si>
    <t>2,28</t>
  </si>
  <si>
    <t>1.946.006</t>
  </si>
  <si>
    <t>4.430.613</t>
  </si>
  <si>
    <t>4.430.612,89</t>
  </si>
  <si>
    <t>MST</t>
  </si>
  <si>
    <t>DXS</t>
  </si>
  <si>
    <t>DEXUS STAPLED UNITS</t>
  </si>
  <si>
    <t>8,29</t>
  </si>
  <si>
    <t>4.427.895</t>
  </si>
  <si>
    <t>4.427.894,99</t>
  </si>
  <si>
    <t>AU000000DXS1</t>
  </si>
  <si>
    <t>SHIMIZU CORP</t>
  </si>
  <si>
    <t>10,30</t>
  </si>
  <si>
    <t>4.419.174</t>
  </si>
  <si>
    <t>4.419.173,71</t>
  </si>
  <si>
    <t>JP3358800005</t>
  </si>
  <si>
    <t>OLG</t>
  </si>
  <si>
    <t>CASIO COMPUTER LTD</t>
  </si>
  <si>
    <t>20,83</t>
  </si>
  <si>
    <t>4.407.368</t>
  </si>
  <si>
    <t>4.407.367,65</t>
  </si>
  <si>
    <t>JP3209000003</t>
  </si>
  <si>
    <t>POW</t>
  </si>
  <si>
    <t>POWER CORPORATION OF CANADA</t>
  </si>
  <si>
    <t>25,91</t>
  </si>
  <si>
    <t>4.399.561</t>
  </si>
  <si>
    <t>4.399.561,38</t>
  </si>
  <si>
    <t>CA7392391016</t>
  </si>
  <si>
    <t>PPE</t>
  </si>
  <si>
    <t>FRT</t>
  </si>
  <si>
    <t>FEDERAL REALTY INVESTMENT TRUST RE</t>
  </si>
  <si>
    <t>125,92</t>
  </si>
  <si>
    <t>4.400.148</t>
  </si>
  <si>
    <t>4.400.148,48</t>
  </si>
  <si>
    <t>US3137472060</t>
  </si>
  <si>
    <t>PPR</t>
  </si>
  <si>
    <t>DCC</t>
  </si>
  <si>
    <t>DCC PLC</t>
  </si>
  <si>
    <t>84,97</t>
  </si>
  <si>
    <t>4.399.745</t>
  </si>
  <si>
    <t>4.399.745,15</t>
  </si>
  <si>
    <t>IE0002424939</t>
  </si>
  <si>
    <t>SFN</t>
  </si>
  <si>
    <t>CPU</t>
  </si>
  <si>
    <t>COMPUTERSHARE LTD</t>
  </si>
  <si>
    <t>12,18</t>
  </si>
  <si>
    <t>4.394.527</t>
  </si>
  <si>
    <t>4.394.526,51</t>
  </si>
  <si>
    <t>AU000000CPU5</t>
  </si>
  <si>
    <t>SNV</t>
  </si>
  <si>
    <t>SHL</t>
  </si>
  <si>
    <t>SONIC HEALTHCARE LTD</t>
  </si>
  <si>
    <t>20,96</t>
  </si>
  <si>
    <t>4.391.705</t>
  </si>
  <si>
    <t>4.391.705,41</t>
  </si>
  <si>
    <t>AU000000SHL7</t>
  </si>
  <si>
    <t>TAS</t>
  </si>
  <si>
    <t>TOYOTA INDUSTRIES CORP</t>
  </si>
  <si>
    <t>57,78</t>
  </si>
  <si>
    <t>4.377.326</t>
  </si>
  <si>
    <t>4.377.325,58</t>
  </si>
  <si>
    <t>JP3634600005</t>
  </si>
  <si>
    <t>TAW</t>
  </si>
  <si>
    <t>JAPAN RETAIL FUND INVESTMENT REIT</t>
  </si>
  <si>
    <t>2.109,35</t>
  </si>
  <si>
    <t>4.374.785</t>
  </si>
  <si>
    <t>4.374.784,59</t>
  </si>
  <si>
    <t>JP3039710003</t>
  </si>
  <si>
    <t>TMT</t>
  </si>
  <si>
    <t>JAPAN REAL ESTATE INVESTMENT TRUST</t>
  </si>
  <si>
    <t>6.590,00</t>
  </si>
  <si>
    <t>4.369.168</t>
  </si>
  <si>
    <t>4.369.167,58</t>
  </si>
  <si>
    <t>JP3027680002</t>
  </si>
  <si>
    <t>TPC</t>
  </si>
  <si>
    <t>SPR</t>
  </si>
  <si>
    <t>SPIRIT AEROSYSTEMS INC CLASS A</t>
  </si>
  <si>
    <t>69,70</t>
  </si>
  <si>
    <t>4.362.662</t>
  </si>
  <si>
    <t>4.362.662,40</t>
  </si>
  <si>
    <t>US8485741099</t>
  </si>
  <si>
    <t>BEN</t>
  </si>
  <si>
    <t>FRANKLIN RESOURCES INC</t>
  </si>
  <si>
    <t>25,02</t>
  </si>
  <si>
    <t>4.357.458</t>
  </si>
  <si>
    <t>4.357.458,18</t>
  </si>
  <si>
    <t>US3546131018</t>
  </si>
  <si>
    <t>VLE</t>
  </si>
  <si>
    <t>CRDA</t>
  </si>
  <si>
    <t>CRODA INTERNATIONAL PLC</t>
  </si>
  <si>
    <t>66,09</t>
  </si>
  <si>
    <t>4.358.314</t>
  </si>
  <si>
    <t>4.358.314,19</t>
  </si>
  <si>
    <t>GB00BJFFLV09</t>
  </si>
  <si>
    <t>WSL</t>
  </si>
  <si>
    <t>TDY</t>
  </si>
  <si>
    <t>TELEDYNE TECHNOLOGIES INC</t>
  </si>
  <si>
    <t>365,55</t>
  </si>
  <si>
    <t>4.358.818</t>
  </si>
  <si>
    <t>4.358.818,20</t>
  </si>
  <si>
    <t>US8793601050</t>
  </si>
  <si>
    <t>YRK</t>
  </si>
  <si>
    <t>TER</t>
  </si>
  <si>
    <t>TERADYNE INC</t>
  </si>
  <si>
    <t>67,93</t>
  </si>
  <si>
    <t>4.359.544</t>
  </si>
  <si>
    <t>4.359.543,61</t>
  </si>
  <si>
    <t>US8807701029</t>
  </si>
  <si>
    <t>SOH</t>
  </si>
  <si>
    <t>KYOWA KIRIN LTD</t>
  </si>
  <si>
    <t>24,32</t>
  </si>
  <si>
    <t>4.337.363</t>
  </si>
  <si>
    <t>4.337.362,91</t>
  </si>
  <si>
    <t>JP3256000005</t>
  </si>
  <si>
    <t>IWE</t>
  </si>
  <si>
    <t>SK3</t>
  </si>
  <si>
    <t>SMURFIT KAPPA GROUP PLC</t>
  </si>
  <si>
    <t>36,76</t>
  </si>
  <si>
    <t>4.320.883</t>
  </si>
  <si>
    <t>4.320.882,75</t>
  </si>
  <si>
    <t>IE00B1RR8406</t>
  </si>
  <si>
    <t>HUG</t>
  </si>
  <si>
    <t>FGR</t>
  </si>
  <si>
    <t>EIFFAGE SA</t>
  </si>
  <si>
    <t>116,25</t>
  </si>
  <si>
    <t>4.320.328</t>
  </si>
  <si>
    <t>4.320.327,56</t>
  </si>
  <si>
    <t>FR0000130452</t>
  </si>
  <si>
    <t>RLF</t>
  </si>
  <si>
    <t>ODAKYU ELECTRIC RAILWAY LTD</t>
  </si>
  <si>
    <t>23,30</t>
  </si>
  <si>
    <t>4.311.019</t>
  </si>
  <si>
    <t>4.311.018,73</t>
  </si>
  <si>
    <t>JP3196000008</t>
  </si>
  <si>
    <t>ELI</t>
  </si>
  <si>
    <t>ORI</t>
  </si>
  <si>
    <t>ORICA LTD</t>
  </si>
  <si>
    <t>15,68</t>
  </si>
  <si>
    <t>4.307.686</t>
  </si>
  <si>
    <t>4.307.686,07</t>
  </si>
  <si>
    <t>AU000000ORI1</t>
  </si>
  <si>
    <t>FLIR</t>
  </si>
  <si>
    <t>FLIR SYSTEMS INC</t>
  </si>
  <si>
    <t>53,96</t>
  </si>
  <si>
    <t>4.308.274</t>
  </si>
  <si>
    <t>4.308.274,32</t>
  </si>
  <si>
    <t>US3024451011</t>
  </si>
  <si>
    <t>MZR</t>
  </si>
  <si>
    <t>HDS</t>
  </si>
  <si>
    <t>HD SUPPLY HOLDINGS INC</t>
  </si>
  <si>
    <t>39,96</t>
  </si>
  <si>
    <t>4.296.579</t>
  </si>
  <si>
    <t>4.296.579,12</t>
  </si>
  <si>
    <t>US40416M1053</t>
  </si>
  <si>
    <t>CGR</t>
  </si>
  <si>
    <t>AER</t>
  </si>
  <si>
    <t>AERCAP HOLDINGS NV</t>
  </si>
  <si>
    <t>60,53</t>
  </si>
  <si>
    <t>4.293.574</t>
  </si>
  <si>
    <t>4.293.574,49</t>
  </si>
  <si>
    <t>NL0000687663</t>
  </si>
  <si>
    <t>ISB</t>
  </si>
  <si>
    <t>BALN</t>
  </si>
  <si>
    <t>BALOISE HOLDING AG</t>
  </si>
  <si>
    <t>180,84</t>
  </si>
  <si>
    <t>4.290.729</t>
  </si>
  <si>
    <t>4.290.729,00</t>
  </si>
  <si>
    <t>CH0012410517</t>
  </si>
  <si>
    <t>SSK</t>
  </si>
  <si>
    <t>POLI</t>
  </si>
  <si>
    <t>BANK HAPOALIM BM</t>
  </si>
  <si>
    <t>4.287.131</t>
  </si>
  <si>
    <t>4.287.131,36</t>
  </si>
  <si>
    <t>IL0006625771</t>
  </si>
  <si>
    <t>ING</t>
  </si>
  <si>
    <t>BROTHER INDUSTRIES LTD</t>
  </si>
  <si>
    <t>21,11</t>
  </si>
  <si>
    <t>4.285.679</t>
  </si>
  <si>
    <t>4.285.679,08</t>
  </si>
  <si>
    <t>JP3830000000</t>
  </si>
  <si>
    <t>ARH</t>
  </si>
  <si>
    <t>MHK</t>
  </si>
  <si>
    <t>MOHAWK INDUSTRIES INC</t>
  </si>
  <si>
    <t>127,00</t>
  </si>
  <si>
    <t>4.283.202</t>
  </si>
  <si>
    <t>4.283.202,00</t>
  </si>
  <si>
    <t>US6081901042</t>
  </si>
  <si>
    <t>NTGY</t>
  </si>
  <si>
    <t>NATURGY ENERGY SA</t>
  </si>
  <si>
    <t>24,63</t>
  </si>
  <si>
    <t>4.279.770</t>
  </si>
  <si>
    <t>4.279.769,73</t>
  </si>
  <si>
    <t>ES0116870314</t>
  </si>
  <si>
    <t>DTA</t>
  </si>
  <si>
    <t>UHR</t>
  </si>
  <si>
    <t>THE SWATCH GROUP AG</t>
  </si>
  <si>
    <t>277,83</t>
  </si>
  <si>
    <t>4.280.836</t>
  </si>
  <si>
    <t>4.280.835,55</t>
  </si>
  <si>
    <t>CH0012255151</t>
  </si>
  <si>
    <t>SEP</t>
  </si>
  <si>
    <t>SENSATA TECHNOLOGIES HOLDING PLC</t>
  </si>
  <si>
    <t>51,47</t>
  </si>
  <si>
    <t>4.277.157</t>
  </si>
  <si>
    <t>4.277.157,00</t>
  </si>
  <si>
    <t>GB00BFMBMT84</t>
  </si>
  <si>
    <t>GPL</t>
  </si>
  <si>
    <t>TOKYU CORP</t>
  </si>
  <si>
    <t>18,03</t>
  </si>
  <si>
    <t>4.275.760</t>
  </si>
  <si>
    <t>4.275.759,63</t>
  </si>
  <si>
    <t>JP3574200006</t>
  </si>
  <si>
    <t>CIL</t>
  </si>
  <si>
    <t>ELAN</t>
  </si>
  <si>
    <t>ELANCO ANIMAL HEALTH INC</t>
  </si>
  <si>
    <t>28,73</t>
  </si>
  <si>
    <t>4.262.957</t>
  </si>
  <si>
    <t>4.262.957,40</t>
  </si>
  <si>
    <t>US28414H1032</t>
  </si>
  <si>
    <t>NIV</t>
  </si>
  <si>
    <t>ATH</t>
  </si>
  <si>
    <t>ATHENE HOLDING LTD CLASS A</t>
  </si>
  <si>
    <t>47,58</t>
  </si>
  <si>
    <t>4.263.787</t>
  </si>
  <si>
    <t>4.263.786,54</t>
  </si>
  <si>
    <t>BMG0684D1074</t>
  </si>
  <si>
    <t>MDI</t>
  </si>
  <si>
    <t>GFC</t>
  </si>
  <si>
    <t>GECINA REIT SA</t>
  </si>
  <si>
    <t>183,59</t>
  </si>
  <si>
    <t>4.256.100</t>
  </si>
  <si>
    <t>4.256.099,75</t>
  </si>
  <si>
    <t>FR0010040865</t>
  </si>
  <si>
    <t>TWR</t>
  </si>
  <si>
    <t>LI</t>
  </si>
  <si>
    <t>KLEPIERRE REIT SA</t>
  </si>
  <si>
    <t>36,49</t>
  </si>
  <si>
    <t>4.248.823</t>
  </si>
  <si>
    <t>4.248.823,48</t>
  </si>
  <si>
    <t>FR0000121964</t>
  </si>
  <si>
    <t>CSG</t>
  </si>
  <si>
    <t>RHC</t>
  </si>
  <si>
    <t>RAMSAY HEALTH CARE LTD</t>
  </si>
  <si>
    <t>51,65</t>
  </si>
  <si>
    <t>4.245.217</t>
  </si>
  <si>
    <t>4.245.216,62</t>
  </si>
  <si>
    <t>AU000000RHC8</t>
  </si>
  <si>
    <t>SAR</t>
  </si>
  <si>
    <t>SPSN</t>
  </si>
  <si>
    <t>SWISS PRIME SITE AG</t>
  </si>
  <si>
    <t>116,83</t>
  </si>
  <si>
    <t>4.243.320</t>
  </si>
  <si>
    <t>4.243.320,22</t>
  </si>
  <si>
    <t>CH0008038389</t>
  </si>
  <si>
    <t>ALP</t>
  </si>
  <si>
    <t>AC</t>
  </si>
  <si>
    <t>ACCOR SA</t>
  </si>
  <si>
    <t>44,99</t>
  </si>
  <si>
    <t>4.239.077</t>
  </si>
  <si>
    <t>4.239.077,25</t>
  </si>
  <si>
    <t>FR0000120404</t>
  </si>
  <si>
    <t>QFH</t>
  </si>
  <si>
    <t>ELE</t>
  </si>
  <si>
    <t>ENDESA SA</t>
  </si>
  <si>
    <t>4.236.603</t>
  </si>
  <si>
    <t>4.236.602,90</t>
  </si>
  <si>
    <t>ES0130670112</t>
  </si>
  <si>
    <t>ENX</t>
  </si>
  <si>
    <t>DELL</t>
  </si>
  <si>
    <t>DELL TECHNOLOGIES INC CLASS C</t>
  </si>
  <si>
    <t>49,51</t>
  </si>
  <si>
    <t>4.225.976</t>
  </si>
  <si>
    <t>4.225.975,56</t>
  </si>
  <si>
    <t>US24703L2025</t>
  </si>
  <si>
    <t>STLD</t>
  </si>
  <si>
    <t>STEEL DYNAMICS INC</t>
  </si>
  <si>
    <t>32,69</t>
  </si>
  <si>
    <t>4.221.292</t>
  </si>
  <si>
    <t>4.221.292,39</t>
  </si>
  <si>
    <t>US8581191009</t>
  </si>
  <si>
    <t>NVS</t>
  </si>
  <si>
    <t>FPH</t>
  </si>
  <si>
    <t>FISHER AND PAYKEL HEALTHCARE CORPO</t>
  </si>
  <si>
    <t>14,27</t>
  </si>
  <si>
    <t>4.212.416</t>
  </si>
  <si>
    <t>4.212.416,17</t>
  </si>
  <si>
    <t>NZFAPE0001S2</t>
  </si>
  <si>
    <t>New Zealand Exchange Ltd</t>
  </si>
  <si>
    <t>Neuseeland</t>
  </si>
  <si>
    <t>NZD</t>
  </si>
  <si>
    <t>SCP</t>
  </si>
  <si>
    <t>MONC</t>
  </si>
  <si>
    <t>MONCLER</t>
  </si>
  <si>
    <t>45,24</t>
  </si>
  <si>
    <t>4.203.759</t>
  </si>
  <si>
    <t>4.203.758,78</t>
  </si>
  <si>
    <t>IT0004965148</t>
  </si>
  <si>
    <t>KIM</t>
  </si>
  <si>
    <t>KIMCO REALTY REIT CORP</t>
  </si>
  <si>
    <t>19,40</t>
  </si>
  <si>
    <t>4.188.984</t>
  </si>
  <si>
    <t>4.188.983,80</t>
  </si>
  <si>
    <t>US49446R1095</t>
  </si>
  <si>
    <t>CHP</t>
  </si>
  <si>
    <t>CAE</t>
  </si>
  <si>
    <t>CAE INC</t>
  </si>
  <si>
    <t>29,66</t>
  </si>
  <si>
    <t>4.163.531</t>
  </si>
  <si>
    <t>4.163.530,92</t>
  </si>
  <si>
    <t>CA1247651088</t>
  </si>
  <si>
    <t>ILU</t>
  </si>
  <si>
    <t>ELUX B</t>
  </si>
  <si>
    <t>ELECTROLUX B</t>
  </si>
  <si>
    <t>24,67</t>
  </si>
  <si>
    <t>4.150.566</t>
  </si>
  <si>
    <t>4.150.565,70</t>
  </si>
  <si>
    <t>SE0000103814</t>
  </si>
  <si>
    <t>TBG</t>
  </si>
  <si>
    <t>SPX</t>
  </si>
  <si>
    <t>SPIRAX-SARCO ENGINEERING PLC</t>
  </si>
  <si>
    <t>116,43</t>
  </si>
  <si>
    <t>4.140.755</t>
  </si>
  <si>
    <t>4.140.755,06</t>
  </si>
  <si>
    <t>GB00BWFGQN14</t>
  </si>
  <si>
    <t>BWN</t>
  </si>
  <si>
    <t>NNN</t>
  </si>
  <si>
    <t>NATIONAL RETAIL PROPERTIES REIT IN</t>
  </si>
  <si>
    <t>53,52</t>
  </si>
  <si>
    <t>4.134.152</t>
  </si>
  <si>
    <t>4.134.152,40</t>
  </si>
  <si>
    <t>US6374171063</t>
  </si>
  <si>
    <t>SYG</t>
  </si>
  <si>
    <t>SRT3</t>
  </si>
  <si>
    <t>SARTORIUS PREF AG</t>
  </si>
  <si>
    <t>223,38</t>
  </si>
  <si>
    <t>4.133.449</t>
  </si>
  <si>
    <t>4.133.448,50</t>
  </si>
  <si>
    <t>DE0007165631</t>
  </si>
  <si>
    <t>TRL</t>
  </si>
  <si>
    <t>VST</t>
  </si>
  <si>
    <t>VISTRA ENERGY CORP</t>
  </si>
  <si>
    <t>22,76</t>
  </si>
  <si>
    <t>4.128.027</t>
  </si>
  <si>
    <t>4.128.026,72</t>
  </si>
  <si>
    <t>US92840M1027</t>
  </si>
  <si>
    <t>GAI</t>
  </si>
  <si>
    <t>HFC</t>
  </si>
  <si>
    <t>HOLLYFRONTIER CORP</t>
  </si>
  <si>
    <t>48,69</t>
  </si>
  <si>
    <t>4.120.537</t>
  </si>
  <si>
    <t>4.120.537,32</t>
  </si>
  <si>
    <t>US4361061082</t>
  </si>
  <si>
    <t>SGP</t>
  </si>
  <si>
    <t>STOCKLAND STAPLED UNITS LTD</t>
  </si>
  <si>
    <t>3,35</t>
  </si>
  <si>
    <t>1.226.306</t>
  </si>
  <si>
    <t>4.107.104</t>
  </si>
  <si>
    <t>4.107.104,20</t>
  </si>
  <si>
    <t>AU000000SGP0</t>
  </si>
  <si>
    <t>SCD</t>
  </si>
  <si>
    <t>ABMD</t>
  </si>
  <si>
    <t>ABIOMED INC</t>
  </si>
  <si>
    <t>189,06</t>
  </si>
  <si>
    <t>4.106.950</t>
  </si>
  <si>
    <t>4.106.950,38</t>
  </si>
  <si>
    <t>US0036541003</t>
  </si>
  <si>
    <t>CTA</t>
  </si>
  <si>
    <t>KSS</t>
  </si>
  <si>
    <t>KOHLS CORP</t>
  </si>
  <si>
    <t>46,36</t>
  </si>
  <si>
    <t>4.095.721</t>
  </si>
  <si>
    <t>4.095.720,56</t>
  </si>
  <si>
    <t>US5002551043</t>
  </si>
  <si>
    <t>EPE</t>
  </si>
  <si>
    <t>IONS</t>
  </si>
  <si>
    <t>IONIS PHARMACEUTICALS INC</t>
  </si>
  <si>
    <t>62,68</t>
  </si>
  <si>
    <t>4.092.315</t>
  </si>
  <si>
    <t>4.092.314,52</t>
  </si>
  <si>
    <t>US4622221004</t>
  </si>
  <si>
    <t>SEA</t>
  </si>
  <si>
    <t>NBIX</t>
  </si>
  <si>
    <t>NEUROCRINE BIOSCIENCES INC</t>
  </si>
  <si>
    <t>112,48</t>
  </si>
  <si>
    <t>4.070.426</t>
  </si>
  <si>
    <t>4.070.426,24</t>
  </si>
  <si>
    <t>US64125C1099</t>
  </si>
  <si>
    <t>EXG</t>
  </si>
  <si>
    <t>ALO</t>
  </si>
  <si>
    <t>ALSTOM SA</t>
  </si>
  <si>
    <t>4.061.627</t>
  </si>
  <si>
    <t>4.061.626,78</t>
  </si>
  <si>
    <t>FR0010220475</t>
  </si>
  <si>
    <t>GPA</t>
  </si>
  <si>
    <t>ZAL</t>
  </si>
  <si>
    <t>ZALANDO</t>
  </si>
  <si>
    <t>50,57</t>
  </si>
  <si>
    <t>4.051.129</t>
  </si>
  <si>
    <t>4.051.129,14</t>
  </si>
  <si>
    <t>DE000ZAL1111</t>
  </si>
  <si>
    <t>AXL</t>
  </si>
  <si>
    <t>MOS</t>
  </si>
  <si>
    <t>MOSAIC</t>
  </si>
  <si>
    <t>20,62</t>
  </si>
  <si>
    <t>4.046.964</t>
  </si>
  <si>
    <t>4.046.963,68</t>
  </si>
  <si>
    <t>US61945C1036</t>
  </si>
  <si>
    <t>AVV</t>
  </si>
  <si>
    <t>AXTA</t>
  </si>
  <si>
    <t>AXALTA COATING SYSTEMS LTD</t>
  </si>
  <si>
    <t>30,79</t>
  </si>
  <si>
    <t>4.043.497</t>
  </si>
  <si>
    <t>4.043.496,75</t>
  </si>
  <si>
    <t>BMG0750C1082</t>
  </si>
  <si>
    <t>PBG</t>
  </si>
  <si>
    <t>FR</t>
  </si>
  <si>
    <t>VALEO SA</t>
  </si>
  <si>
    <t>36,16</t>
  </si>
  <si>
    <t>4.039.769</t>
  </si>
  <si>
    <t>4.039.769,32</t>
  </si>
  <si>
    <t>FR0013176526</t>
  </si>
  <si>
    <t>SHG</t>
  </si>
  <si>
    <t>SKA B</t>
  </si>
  <si>
    <t>SKANSKA B</t>
  </si>
  <si>
    <t>4.035.795</t>
  </si>
  <si>
    <t>4.035.795,02</t>
  </si>
  <si>
    <t>SE0000113250</t>
  </si>
  <si>
    <t>UCP</t>
  </si>
  <si>
    <t>VICI</t>
  </si>
  <si>
    <t>VICI PPTYS INC</t>
  </si>
  <si>
    <t>25,37</t>
  </si>
  <si>
    <t>4.031.268</t>
  </si>
  <si>
    <t>4.031.267,63</t>
  </si>
  <si>
    <t>US9256521090</t>
  </si>
  <si>
    <t>GTR</t>
  </si>
  <si>
    <t>AT1</t>
  </si>
  <si>
    <t>AROUNDTOWN PROPERTY HOLDINGS SA</t>
  </si>
  <si>
    <t>8,83</t>
  </si>
  <si>
    <t>4.031.350</t>
  </si>
  <si>
    <t>4.031.350,34</t>
  </si>
  <si>
    <t>LU1673108939</t>
  </si>
  <si>
    <t>KAL</t>
  </si>
  <si>
    <t>EPI A</t>
  </si>
  <si>
    <t>EPIROC CLASS A</t>
  </si>
  <si>
    <t>12,32</t>
  </si>
  <si>
    <t>4.027.457</t>
  </si>
  <si>
    <t>4.027.457,23</t>
  </si>
  <si>
    <t>SE0011166933</t>
  </si>
  <si>
    <t>PFB</t>
  </si>
  <si>
    <t>ALB</t>
  </si>
  <si>
    <t>ALBEMARLE CORP</t>
  </si>
  <si>
    <t>72,10</t>
  </si>
  <si>
    <t>4.023.108</t>
  </si>
  <si>
    <t>4.023.107,90</t>
  </si>
  <si>
    <t>US0126531013</t>
  </si>
  <si>
    <t>SDC</t>
  </si>
  <si>
    <t>ERF</t>
  </si>
  <si>
    <t>EUROFINS SCIENTIFIC</t>
  </si>
  <si>
    <t>543,45</t>
  </si>
  <si>
    <t>4.016.097</t>
  </si>
  <si>
    <t>4.016.096,61</t>
  </si>
  <si>
    <t>FR0000038259</t>
  </si>
  <si>
    <t>EMH</t>
  </si>
  <si>
    <t>TW.</t>
  </si>
  <si>
    <t>TAYLOR WIMPEY PLC</t>
  </si>
  <si>
    <t>2,58</t>
  </si>
  <si>
    <t>1.554.253</t>
  </si>
  <si>
    <t>4.012.161</t>
  </si>
  <si>
    <t>4.012.160,86</t>
  </si>
  <si>
    <t>GB0008782301</t>
  </si>
  <si>
    <t>ESR</t>
  </si>
  <si>
    <t>SANTEN PHARMACEUTICAL LTD</t>
  </si>
  <si>
    <t>19,64</t>
  </si>
  <si>
    <t>4.011.803</t>
  </si>
  <si>
    <t>4.011.802,56</t>
  </si>
  <si>
    <t>JP3336000009</t>
  </si>
  <si>
    <t>CND</t>
  </si>
  <si>
    <t>TOTO LTD</t>
  </si>
  <si>
    <t>43,13</t>
  </si>
  <si>
    <t>4.013.274</t>
  </si>
  <si>
    <t>4.013.274,23</t>
  </si>
  <si>
    <t>JP3596200000</t>
  </si>
  <si>
    <t>FGL</t>
  </si>
  <si>
    <t>MINEBEA MITSUMI INC</t>
  </si>
  <si>
    <t>21,66</t>
  </si>
  <si>
    <t>4.010.231</t>
  </si>
  <si>
    <t>4.010.231,38</t>
  </si>
  <si>
    <t>JP3906000009</t>
  </si>
  <si>
    <t>VMK</t>
  </si>
  <si>
    <t>KANSAI ELECTRIC POWER INC</t>
  </si>
  <si>
    <t>11,26</t>
  </si>
  <si>
    <t>3.981.328</t>
  </si>
  <si>
    <t>3.981.328,22</t>
  </si>
  <si>
    <t>JP3228600007</t>
  </si>
  <si>
    <t>MCZ</t>
  </si>
  <si>
    <t>RICOH LTD</t>
  </si>
  <si>
    <t>11,38</t>
  </si>
  <si>
    <t>3.980.247</t>
  </si>
  <si>
    <t>3.980.247,35</t>
  </si>
  <si>
    <t>JP3973400009</t>
  </si>
  <si>
    <t>WIL</t>
  </si>
  <si>
    <t>UAL</t>
  </si>
  <si>
    <t>UNITED AIRLINES HOLDINGS INC</t>
  </si>
  <si>
    <t>87,31</t>
  </si>
  <si>
    <t>3.973.216</t>
  </si>
  <si>
    <t>3.973.216,17</t>
  </si>
  <si>
    <t>US9100471096</t>
  </si>
  <si>
    <t>HPR</t>
  </si>
  <si>
    <t>STJ</t>
  </si>
  <si>
    <t>ST JAMESS PLACE PLC</t>
  </si>
  <si>
    <t>14,88</t>
  </si>
  <si>
    <t>3.974.739</t>
  </si>
  <si>
    <t>3.974.738,89</t>
  </si>
  <si>
    <t>GB0007669376</t>
  </si>
  <si>
    <t>GSH</t>
  </si>
  <si>
    <t>JLL</t>
  </si>
  <si>
    <t>JONES LANG LASALLE INC</t>
  </si>
  <si>
    <t>170,54</t>
  </si>
  <si>
    <t>3.971.706</t>
  </si>
  <si>
    <t>3.971.706,06</t>
  </si>
  <si>
    <t>US48020Q1076</t>
  </si>
  <si>
    <t>GML</t>
  </si>
  <si>
    <t>MAKITA CORP</t>
  </si>
  <si>
    <t>37,38</t>
  </si>
  <si>
    <t>3.962.910</t>
  </si>
  <si>
    <t>3.962.910,46</t>
  </si>
  <si>
    <t>JP3862400003</t>
  </si>
  <si>
    <t>SVN</t>
  </si>
  <si>
    <t>AJINOMOTO INC</t>
  </si>
  <si>
    <t>16,61</t>
  </si>
  <si>
    <t>3.959.106</t>
  </si>
  <si>
    <t>3.959.106,45</t>
  </si>
  <si>
    <t>JP3119600009</t>
  </si>
  <si>
    <t>XRX</t>
  </si>
  <si>
    <t>XEROX HOLDINGS CORP</t>
  </si>
  <si>
    <t>36,65</t>
  </si>
  <si>
    <t>3.955.891</t>
  </si>
  <si>
    <t>3.955.891,05</t>
  </si>
  <si>
    <t>US98421M1062</t>
  </si>
  <si>
    <t>ANA</t>
  </si>
  <si>
    <t>PVH</t>
  </si>
  <si>
    <t>PVH CORP</t>
  </si>
  <si>
    <t>100,48</t>
  </si>
  <si>
    <t>3.951.778</t>
  </si>
  <si>
    <t>3.951.777,92</t>
  </si>
  <si>
    <t>US6936561009</t>
  </si>
  <si>
    <t>BAU</t>
  </si>
  <si>
    <t>T&amp;D HOLDINGS INC</t>
  </si>
  <si>
    <t>12,10</t>
  </si>
  <si>
    <t>3.950.466</t>
  </si>
  <si>
    <t>3.950.465,77</t>
  </si>
  <si>
    <t>JP3539220008</t>
  </si>
  <si>
    <t>BWZ</t>
  </si>
  <si>
    <t>YAMAHA MOTOR LTD</t>
  </si>
  <si>
    <t>3.921.227</t>
  </si>
  <si>
    <t>3.921.226,73</t>
  </si>
  <si>
    <t>JP3942800008</t>
  </si>
  <si>
    <t>CAC</t>
  </si>
  <si>
    <t>OCDO</t>
  </si>
  <si>
    <t>OCADO GROUP PLC</t>
  </si>
  <si>
    <t>16,45</t>
  </si>
  <si>
    <t>3.903.695</t>
  </si>
  <si>
    <t>3.903.694,70</t>
  </si>
  <si>
    <t>GB00B3MBS747</t>
  </si>
  <si>
    <t>CGN</t>
  </si>
  <si>
    <t>MEIJI HOLDINGS LTD</t>
  </si>
  <si>
    <t>68,82</t>
  </si>
  <si>
    <t>3.902.136</t>
  </si>
  <si>
    <t>3.902.135,82</t>
  </si>
  <si>
    <t>JP3918000005</t>
  </si>
  <si>
    <t>HEICO CORP CLASS A</t>
  </si>
  <si>
    <t>95,01</t>
  </si>
  <si>
    <t>3.886.099</t>
  </si>
  <si>
    <t>3.886.099,02</t>
  </si>
  <si>
    <t>US4228062083</t>
  </si>
  <si>
    <t>ECS</t>
  </si>
  <si>
    <t>COV</t>
  </si>
  <si>
    <t>COVIVIO SA</t>
  </si>
  <si>
    <t>113,80</t>
  </si>
  <si>
    <t>3.883.388</t>
  </si>
  <si>
    <t>3.883.387,64</t>
  </si>
  <si>
    <t>FR0000064578</t>
  </si>
  <si>
    <t>EFG</t>
  </si>
  <si>
    <t>WLN</t>
  </si>
  <si>
    <t>WORLDLINE SA</t>
  </si>
  <si>
    <t>72,40</t>
  </si>
  <si>
    <t>3.878.924</t>
  </si>
  <si>
    <t>3.878.923,73</t>
  </si>
  <si>
    <t>FR0011981968</t>
  </si>
  <si>
    <t>EUZ</t>
  </si>
  <si>
    <t>GBLB</t>
  </si>
  <si>
    <t>GROUPE BRUXELLES LAMBERT NV</t>
  </si>
  <si>
    <t>105,13</t>
  </si>
  <si>
    <t>3.872.180</t>
  </si>
  <si>
    <t>3.872.179,67</t>
  </si>
  <si>
    <t>BE0003797140</t>
  </si>
  <si>
    <t>HWA</t>
  </si>
  <si>
    <t>TAISEI CORP</t>
  </si>
  <si>
    <t>41,07</t>
  </si>
  <si>
    <t>3.869.031</t>
  </si>
  <si>
    <t>3.869.030,67</t>
  </si>
  <si>
    <t>JP3443600006</t>
  </si>
  <si>
    <t>JSC</t>
  </si>
  <si>
    <t>WSP</t>
  </si>
  <si>
    <t>WSP GLOBAL INC</t>
  </si>
  <si>
    <t>3.864.954</t>
  </si>
  <si>
    <t>3.864.954,37</t>
  </si>
  <si>
    <t>CA92938W2022</t>
  </si>
  <si>
    <t>KP2</t>
  </si>
  <si>
    <t>ITV</t>
  </si>
  <si>
    <t>ITV PLC</t>
  </si>
  <si>
    <t>1,92</t>
  </si>
  <si>
    <t>2.009.326</t>
  </si>
  <si>
    <t>3.862.940</t>
  </si>
  <si>
    <t>3.862.940,49</t>
  </si>
  <si>
    <t>GB0033986497</t>
  </si>
  <si>
    <t>LNF</t>
  </si>
  <si>
    <t>ABN</t>
  </si>
  <si>
    <t>ABN AMRO BANK NV</t>
  </si>
  <si>
    <t>18,47</t>
  </si>
  <si>
    <t>3.854.212</t>
  </si>
  <si>
    <t>3.854.212,41</t>
  </si>
  <si>
    <t>NL0011540547</t>
  </si>
  <si>
    <t>MMP</t>
  </si>
  <si>
    <t>CDK</t>
  </si>
  <si>
    <t>CDK GLOBAL INC</t>
  </si>
  <si>
    <t>55,63</t>
  </si>
  <si>
    <t>3.855.048</t>
  </si>
  <si>
    <t>3.855.047,74</t>
  </si>
  <si>
    <t>US12508E1010</t>
  </si>
  <si>
    <t>NCS</t>
  </si>
  <si>
    <t>AOS</t>
  </si>
  <si>
    <t>A O SMITH CORP</t>
  </si>
  <si>
    <t>47,62</t>
  </si>
  <si>
    <t>3.838.934</t>
  </si>
  <si>
    <t>3.838.933,92</t>
  </si>
  <si>
    <t>US8318652091</t>
  </si>
  <si>
    <t>ORN</t>
  </si>
  <si>
    <t>SUMITOMO CHEMICAL LTD</t>
  </si>
  <si>
    <t>4,40</t>
  </si>
  <si>
    <t>3.834.192</t>
  </si>
  <si>
    <t>3.834.192,10</t>
  </si>
  <si>
    <t>JP3401400001</t>
  </si>
  <si>
    <t>PMV</t>
  </si>
  <si>
    <t>BKG</t>
  </si>
  <si>
    <t>BERKELEY GROUP HOLDINGS (THE) PLC</t>
  </si>
  <si>
    <t>62,78</t>
  </si>
  <si>
    <t>3.836.472</t>
  </si>
  <si>
    <t>3.836.471,67</t>
  </si>
  <si>
    <t>GB00B02L3W35</t>
  </si>
  <si>
    <t>BN4</t>
  </si>
  <si>
    <t>KEPPEL LTD</t>
  </si>
  <si>
    <t>5,09</t>
  </si>
  <si>
    <t>3.829.675</t>
  </si>
  <si>
    <t>3.829.674,87</t>
  </si>
  <si>
    <t>SG1U68934629</t>
  </si>
  <si>
    <t>YOKOGAWA ELECTRIC CORP</t>
  </si>
  <si>
    <t>18,56</t>
  </si>
  <si>
    <t>3.826.256</t>
  </si>
  <si>
    <t>3.826.255,93</t>
  </si>
  <si>
    <t>JP3955000009</t>
  </si>
  <si>
    <t>OC</t>
  </si>
  <si>
    <t>OWENS CORNING</t>
  </si>
  <si>
    <t>64,93</t>
  </si>
  <si>
    <t>3.823.403</t>
  </si>
  <si>
    <t>3.823.403,05</t>
  </si>
  <si>
    <t>US6907421019</t>
  </si>
  <si>
    <t>SBV</t>
  </si>
  <si>
    <t>UNITED URBAN INVESTMENT REIT CORP</t>
  </si>
  <si>
    <t>1.860,17</t>
  </si>
  <si>
    <t>3.818.925</t>
  </si>
  <si>
    <t>3.818.924,79</t>
  </si>
  <si>
    <t>JP3045540006</t>
  </si>
  <si>
    <t>WEZ</t>
  </si>
  <si>
    <t>HL.</t>
  </si>
  <si>
    <t>HARGREAVES LANSDOWN PLC</t>
  </si>
  <si>
    <t>24,09</t>
  </si>
  <si>
    <t>3.817.894</t>
  </si>
  <si>
    <t>3.817.894,18</t>
  </si>
  <si>
    <t>GB00B1VZ0M25</t>
  </si>
  <si>
    <t>EEL</t>
  </si>
  <si>
    <t>LUPE</t>
  </si>
  <si>
    <t>LUNDIN PETROLEUM</t>
  </si>
  <si>
    <t>34,31</t>
  </si>
  <si>
    <t>3.814.651</t>
  </si>
  <si>
    <t>3.814.651,40</t>
  </si>
  <si>
    <t>SE0000825820</t>
  </si>
  <si>
    <t>J205</t>
  </si>
  <si>
    <t>DAITO TRUST CONSTRUCTION LTD</t>
  </si>
  <si>
    <t>118,66</t>
  </si>
  <si>
    <t>3.784.429</t>
  </si>
  <si>
    <t>3.784.428,62</t>
  </si>
  <si>
    <t>JP3486800000</t>
  </si>
  <si>
    <t>MPW</t>
  </si>
  <si>
    <t>MEDICAL PROPERTIES TRUST REIT INC</t>
  </si>
  <si>
    <t>21,28</t>
  </si>
  <si>
    <t>3.782.818</t>
  </si>
  <si>
    <t>3.782.817,92</t>
  </si>
  <si>
    <t>US58463J3041</t>
  </si>
  <si>
    <t>AZJ</t>
  </si>
  <si>
    <t>AURIZON HOLDINGS LTD</t>
  </si>
  <si>
    <t>3,80</t>
  </si>
  <si>
    <t>3.780.788</t>
  </si>
  <si>
    <t>3.780.788,22</t>
  </si>
  <si>
    <t>AU000000AZJ1</t>
  </si>
  <si>
    <t>DAIWA SECURITIES GROUP INC</t>
  </si>
  <si>
    <t>5,21</t>
  </si>
  <si>
    <t>3.775.322</t>
  </si>
  <si>
    <t>3.775.322,49</t>
  </si>
  <si>
    <t>JP3502200003</t>
  </si>
  <si>
    <t>TOBU RAILWAY LTD</t>
  </si>
  <si>
    <t>36,19</t>
  </si>
  <si>
    <t>3.774.639</t>
  </si>
  <si>
    <t>3.774.639,47</t>
  </si>
  <si>
    <t>JP3597800006</t>
  </si>
  <si>
    <t>VIFN</t>
  </si>
  <si>
    <t>VIFOR PHARMA AG</t>
  </si>
  <si>
    <t>186,75</t>
  </si>
  <si>
    <t>3.771.137</t>
  </si>
  <si>
    <t>3.771.137,43</t>
  </si>
  <si>
    <t>CH0364749348</t>
  </si>
  <si>
    <t>SIEMENS HEALTHINEERS AG</t>
  </si>
  <si>
    <t>48,48</t>
  </si>
  <si>
    <t>3.772.778</t>
  </si>
  <si>
    <t>3.772.777,77</t>
  </si>
  <si>
    <t>DE000SHL1006</t>
  </si>
  <si>
    <t>ATM</t>
  </si>
  <si>
    <t>THE A2 MILK COMPANY LTD</t>
  </si>
  <si>
    <t>9,89</t>
  </si>
  <si>
    <t>3.758.375</t>
  </si>
  <si>
    <t>3.758.374,76</t>
  </si>
  <si>
    <t>NZATME0002S8</t>
  </si>
  <si>
    <t>KNX</t>
  </si>
  <si>
    <t>KNIGHT-SWIFT TRANSPORTATION HOLDIN</t>
  </si>
  <si>
    <t>37,25</t>
  </si>
  <si>
    <t>3.757.594</t>
  </si>
  <si>
    <t>3.757.593,75</t>
  </si>
  <si>
    <t>US4990491049</t>
  </si>
  <si>
    <t>STERV</t>
  </si>
  <si>
    <t>STORA ENSO CLASS R</t>
  </si>
  <si>
    <t>13,71</t>
  </si>
  <si>
    <t>3.730.608</t>
  </si>
  <si>
    <t>3.730.608,04</t>
  </si>
  <si>
    <t>FI0009005961</t>
  </si>
  <si>
    <t>BLND</t>
  </si>
  <si>
    <t>BRITISH LAND REIT PLC</t>
  </si>
  <si>
    <t>3.731.865</t>
  </si>
  <si>
    <t>3.731.865,14</t>
  </si>
  <si>
    <t>GB0001367019</t>
  </si>
  <si>
    <t>OBIC LTD</t>
  </si>
  <si>
    <t>143,21</t>
  </si>
  <si>
    <t>3.726.876</t>
  </si>
  <si>
    <t>3.726.876,23</t>
  </si>
  <si>
    <t>JP3173400007</t>
  </si>
  <si>
    <t>WABCO HOLDINGS INC</t>
  </si>
  <si>
    <t>135,68</t>
  </si>
  <si>
    <t>3.703.928</t>
  </si>
  <si>
    <t>3.703.928,32</t>
  </si>
  <si>
    <t>US92927K1025</t>
  </si>
  <si>
    <t>RAKUTEN INC</t>
  </si>
  <si>
    <t>8,40</t>
  </si>
  <si>
    <t>3.690.681</t>
  </si>
  <si>
    <t>3.690.681,27</t>
  </si>
  <si>
    <t>JP3967200001</t>
  </si>
  <si>
    <t>JEF</t>
  </si>
  <si>
    <t>JEFFERIES FINANCIAL GROUP INC</t>
  </si>
  <si>
    <t>21,64</t>
  </si>
  <si>
    <t>3.681.310</t>
  </si>
  <si>
    <t>3.681.310,24</t>
  </si>
  <si>
    <t>US47233W1099</t>
  </si>
  <si>
    <t>RSA</t>
  </si>
  <si>
    <t>RSA INSURANCE GROUP PLC</t>
  </si>
  <si>
    <t>7,43</t>
  </si>
  <si>
    <t>3.675.762</t>
  </si>
  <si>
    <t>3.675.761,52</t>
  </si>
  <si>
    <t>GB00BKKMKR23</t>
  </si>
  <si>
    <t>KGF</t>
  </si>
  <si>
    <t>KINGFISHER PLC</t>
  </si>
  <si>
    <t>1.335.399</t>
  </si>
  <si>
    <t>3.669.582</t>
  </si>
  <si>
    <t>3.669.581,91</t>
  </si>
  <si>
    <t>GB0033195214</t>
  </si>
  <si>
    <t>TEL2 B</t>
  </si>
  <si>
    <t>TELE2 B</t>
  </si>
  <si>
    <t>14,94</t>
  </si>
  <si>
    <t>3.659.436</t>
  </si>
  <si>
    <t>3.659.436,27</t>
  </si>
  <si>
    <t>SE0005190238</t>
  </si>
  <si>
    <t>NOMURA REAL ESTATE MASTER FUND REI</t>
  </si>
  <si>
    <t>0,01</t>
  </si>
  <si>
    <t>1.678,53</t>
  </si>
  <si>
    <t>3.649.129</t>
  </si>
  <si>
    <t>3.649.129,24</t>
  </si>
  <si>
    <t>JP3048110005</t>
  </si>
  <si>
    <t>GWO</t>
  </si>
  <si>
    <t>GREAT WEST LIFECO INC</t>
  </si>
  <si>
    <t>26,02</t>
  </si>
  <si>
    <t>3.649.097</t>
  </si>
  <si>
    <t>3.649.096,52</t>
  </si>
  <si>
    <t>CA39138C1068</t>
  </si>
  <si>
    <t>LISP</t>
  </si>
  <si>
    <t>8.050,35</t>
  </si>
  <si>
    <t>3.646.807</t>
  </si>
  <si>
    <t>3.646.807,09</t>
  </si>
  <si>
    <t>CH0010570767</t>
  </si>
  <si>
    <t>GWRE</t>
  </si>
  <si>
    <t>GUIDEWIRE SOFTWARE INC</t>
  </si>
  <si>
    <t>112,50</t>
  </si>
  <si>
    <t>3.643.425</t>
  </si>
  <si>
    <t>3.643.425,00</t>
  </si>
  <si>
    <t>US40171V1008</t>
  </si>
  <si>
    <t>OSH</t>
  </si>
  <si>
    <t>OIL SEARCH LTD</t>
  </si>
  <si>
    <t>5,48</t>
  </si>
  <si>
    <t>3.639.736</t>
  </si>
  <si>
    <t>3.639.736,05</t>
  </si>
  <si>
    <t>PG0008579883</t>
  </si>
  <si>
    <t>DOCU</t>
  </si>
  <si>
    <t>DOCUSIGN INC</t>
  </si>
  <si>
    <t>74,83</t>
  </si>
  <si>
    <t>3.638.384</t>
  </si>
  <si>
    <t>3.638.384,26</t>
  </si>
  <si>
    <t>US2561631068</t>
  </si>
  <si>
    <t>EWBC</t>
  </si>
  <si>
    <t>EAST WEST BANCORP INC</t>
  </si>
  <si>
    <t>3.635.974</t>
  </si>
  <si>
    <t>3.635.973,84</t>
  </si>
  <si>
    <t>US27579R1041</t>
  </si>
  <si>
    <t>JSR CORP</t>
  </si>
  <si>
    <t>18,50</t>
  </si>
  <si>
    <t>3.635.501</t>
  </si>
  <si>
    <t>3.635.501,10</t>
  </si>
  <si>
    <t>JP3385980002</t>
  </si>
  <si>
    <t>ALFA</t>
  </si>
  <si>
    <t>ALFA LAVAL</t>
  </si>
  <si>
    <t>25,01</t>
  </si>
  <si>
    <t>3.633.570</t>
  </si>
  <si>
    <t>3.633.569,56</t>
  </si>
  <si>
    <t>SE0000695876</t>
  </si>
  <si>
    <t>AKE</t>
  </si>
  <si>
    <t>ARKEMA SA</t>
  </si>
  <si>
    <t>100,24</t>
  </si>
  <si>
    <t>3.629.927</t>
  </si>
  <si>
    <t>3.629.927,16</t>
  </si>
  <si>
    <t>FR0010313833</t>
  </si>
  <si>
    <t>CHR</t>
  </si>
  <si>
    <t>CHR HANSEN HOLDING</t>
  </si>
  <si>
    <t>76,80</t>
  </si>
  <si>
    <t>3.624.672</t>
  </si>
  <si>
    <t>3.624.672,06</t>
  </si>
  <si>
    <t>DK0060227585</t>
  </si>
  <si>
    <t>ORK</t>
  </si>
  <si>
    <t>ORKLA</t>
  </si>
  <si>
    <t>9,84</t>
  </si>
  <si>
    <t>3.615.502</t>
  </si>
  <si>
    <t>3.615.501,95</t>
  </si>
  <si>
    <t>NO0003733800</t>
  </si>
  <si>
    <t>OSAKA GAS LTD</t>
  </si>
  <si>
    <t>18,26</t>
  </si>
  <si>
    <t>3.603.681</t>
  </si>
  <si>
    <t>3.603.681,19</t>
  </si>
  <si>
    <t>JP3180400008</t>
  </si>
  <si>
    <t>PRGO</t>
  </si>
  <si>
    <t>PERRIGO PLC</t>
  </si>
  <si>
    <t>49,71</t>
  </si>
  <si>
    <t>3.603.428</t>
  </si>
  <si>
    <t>3.603.428,19</t>
  </si>
  <si>
    <t>IE00BGH1M568</t>
  </si>
  <si>
    <t>HOG</t>
  </si>
  <si>
    <t>HARLEY DAVIDSON INC</t>
  </si>
  <si>
    <t>34,84</t>
  </si>
  <si>
    <t>3.601.585</t>
  </si>
  <si>
    <t>3.601.585,00</t>
  </si>
  <si>
    <t>US4128221086</t>
  </si>
  <si>
    <t>BVI</t>
  </si>
  <si>
    <t>BUREAU VERITAS SA</t>
  </si>
  <si>
    <t>26,05</t>
  </si>
  <si>
    <t>3.594.255</t>
  </si>
  <si>
    <t>3.594.254,82</t>
  </si>
  <si>
    <t>FR0006174348</t>
  </si>
  <si>
    <t>BAH</t>
  </si>
  <si>
    <t>BOOZ ALLEN HAMILTON HOLDING CORP C</t>
  </si>
  <si>
    <t>76,66</t>
  </si>
  <si>
    <t>3.593.897</t>
  </si>
  <si>
    <t>3.593.897,46</t>
  </si>
  <si>
    <t>US0995021062</t>
  </si>
  <si>
    <t>CBK</t>
  </si>
  <si>
    <t>COMMERZBANK AG</t>
  </si>
  <si>
    <t>6,39</t>
  </si>
  <si>
    <t>3.590.919</t>
  </si>
  <si>
    <t>3.590.918,75</t>
  </si>
  <si>
    <t>DE000CBK1001</t>
  </si>
  <si>
    <t>PWF</t>
  </si>
  <si>
    <t>POWER FINANCIAL CORP</t>
  </si>
  <si>
    <t>26,92</t>
  </si>
  <si>
    <t>3.577.007</t>
  </si>
  <si>
    <t>3.577.007,31</t>
  </si>
  <si>
    <t>CA73927C1005</t>
  </si>
  <si>
    <t>AFG</t>
  </si>
  <si>
    <t>AMERICAN FINANCIAL GROUP INC</t>
  </si>
  <si>
    <t>109,68</t>
  </si>
  <si>
    <t>3.562.845</t>
  </si>
  <si>
    <t>3.562.845,12</t>
  </si>
  <si>
    <t>US0259321042</t>
  </si>
  <si>
    <t>EMSN</t>
  </si>
  <si>
    <t>EMS-CHEMIE HOLDING AG</t>
  </si>
  <si>
    <t>641,15</t>
  </si>
  <si>
    <t>3.563.516</t>
  </si>
  <si>
    <t>3.563.516,05</t>
  </si>
  <si>
    <t>CH0016440353</t>
  </si>
  <si>
    <t>UNM</t>
  </si>
  <si>
    <t>UNUM</t>
  </si>
  <si>
    <t>28,72</t>
  </si>
  <si>
    <t>3.552.607</t>
  </si>
  <si>
    <t>3.552.606,56</t>
  </si>
  <si>
    <t>US91529Y1064</t>
  </si>
  <si>
    <t>SABR</t>
  </si>
  <si>
    <t>SABRE CORP</t>
  </si>
  <si>
    <t>22,48</t>
  </si>
  <si>
    <t>3.546.153</t>
  </si>
  <si>
    <t>3.546.152,56</t>
  </si>
  <si>
    <t>US78573M1045</t>
  </si>
  <si>
    <t>BG</t>
  </si>
  <si>
    <t>BUNGE LTD</t>
  </si>
  <si>
    <t>55,66</t>
  </si>
  <si>
    <t>3.545.319</t>
  </si>
  <si>
    <t>3.545.319,36</t>
  </si>
  <si>
    <t>BMG169621056</t>
  </si>
  <si>
    <t>DENTSU GROUP INC</t>
  </si>
  <si>
    <t>34,55</t>
  </si>
  <si>
    <t>3.544.551</t>
  </si>
  <si>
    <t>3.544.550,93</t>
  </si>
  <si>
    <t>JP3551520004</t>
  </si>
  <si>
    <t>J206</t>
  </si>
  <si>
    <t>BARN</t>
  </si>
  <si>
    <t>BARRY CALLEBAUT AG</t>
  </si>
  <si>
    <t>2.170,05</t>
  </si>
  <si>
    <t>3.541.520</t>
  </si>
  <si>
    <t>3.541.519,65</t>
  </si>
  <si>
    <t>CH0009002962</t>
  </si>
  <si>
    <t>AISIN SEIKI LTD</t>
  </si>
  <si>
    <t>35,60</t>
  </si>
  <si>
    <t>3.538.264</t>
  </si>
  <si>
    <t>3.538.263,96</t>
  </si>
  <si>
    <t>JP3102000001</t>
  </si>
  <si>
    <t>TREND MICRO INC</t>
  </si>
  <si>
    <t>51,75</t>
  </si>
  <si>
    <t>3.523.256</t>
  </si>
  <si>
    <t>3.523.256,02</t>
  </si>
  <si>
    <t>JP3637300009</t>
  </si>
  <si>
    <t>PST</t>
  </si>
  <si>
    <t>POSTE ITALIANE</t>
  </si>
  <si>
    <t>11,35</t>
  </si>
  <si>
    <t>3.522.050</t>
  </si>
  <si>
    <t>3.522.049,94</t>
  </si>
  <si>
    <t>IT0003796171</t>
  </si>
  <si>
    <t>EDF</t>
  </si>
  <si>
    <t>ELECTRICITE DE FRANCE SA</t>
  </si>
  <si>
    <t>10,93</t>
  </si>
  <si>
    <t>3.519.635</t>
  </si>
  <si>
    <t>3.519.634,93</t>
  </si>
  <si>
    <t>FR0010242511</t>
  </si>
  <si>
    <t>DHER</t>
  </si>
  <si>
    <t>DELIVERY HERO</t>
  </si>
  <si>
    <t>72,90</t>
  </si>
  <si>
    <t>3.509.334</t>
  </si>
  <si>
    <t>3.509.333,90</t>
  </si>
  <si>
    <t>DE000A2E4K43</t>
  </si>
  <si>
    <t>UBI</t>
  </si>
  <si>
    <t>UBISOFT ENTERTAINMENT SA CAT A</t>
  </si>
  <si>
    <t>72,77</t>
  </si>
  <si>
    <t>3.506.698</t>
  </si>
  <si>
    <t>3.506.698,49</t>
  </si>
  <si>
    <t>FR0000054470</t>
  </si>
  <si>
    <t>ECA</t>
  </si>
  <si>
    <t>ENCANA</t>
  </si>
  <si>
    <t>4,35</t>
  </si>
  <si>
    <t>3.501.281</t>
  </si>
  <si>
    <t>3.501.280,56</t>
  </si>
  <si>
    <t>CA2925051047</t>
  </si>
  <si>
    <t>INTER PIPELINE LTD</t>
  </si>
  <si>
    <t>17,10</t>
  </si>
  <si>
    <t>3.498.878</t>
  </si>
  <si>
    <t>3.498.877,83</t>
  </si>
  <si>
    <t>CA45833V1094</t>
  </si>
  <si>
    <t>NISSHIN SEIFUN GROUP INC</t>
  </si>
  <si>
    <t>17,37</t>
  </si>
  <si>
    <t>3.498.213</t>
  </si>
  <si>
    <t>3.498.212,85</t>
  </si>
  <si>
    <t>JP3676800000</t>
  </si>
  <si>
    <t>SYD</t>
  </si>
  <si>
    <t>SYDNEY AIRPORT STAPLED UNITS LTD</t>
  </si>
  <si>
    <t>6,11</t>
  </si>
  <si>
    <t>3.486.388</t>
  </si>
  <si>
    <t>3.486.388,49</t>
  </si>
  <si>
    <t>AU000000SYD9</t>
  </si>
  <si>
    <t>USS LTD</t>
  </si>
  <si>
    <t>18,62</t>
  </si>
  <si>
    <t>3.487.514</t>
  </si>
  <si>
    <t>3.487.513,69</t>
  </si>
  <si>
    <t>JP3944130008</t>
  </si>
  <si>
    <t>ISUZU MOTORS LTD</t>
  </si>
  <si>
    <t>11,22</t>
  </si>
  <si>
    <t>3.487.551</t>
  </si>
  <si>
    <t>3.487.551,11</t>
  </si>
  <si>
    <t>JP3137200006</t>
  </si>
  <si>
    <t>CREDIT SAISON LTD</t>
  </si>
  <si>
    <t>17,57</t>
  </si>
  <si>
    <t>3.487.701</t>
  </si>
  <si>
    <t>3.487.700,80</t>
  </si>
  <si>
    <t>JP3271400008</t>
  </si>
  <si>
    <t>YAMATO HOLDINGS LTD</t>
  </si>
  <si>
    <t>17,19</t>
  </si>
  <si>
    <t>3.484.891</t>
  </si>
  <si>
    <t>3.484.890,58</t>
  </si>
  <si>
    <t>JP3940000007</t>
  </si>
  <si>
    <t>LLC</t>
  </si>
  <si>
    <t>LENDLEASE GROUP STAPLED UNITS</t>
  </si>
  <si>
    <t>12,65</t>
  </si>
  <si>
    <t>3.469.768</t>
  </si>
  <si>
    <t>3.469.768,41</t>
  </si>
  <si>
    <t>AU000000LLC3</t>
  </si>
  <si>
    <t>MAERSK B</t>
  </si>
  <si>
    <t>A P MOLLER MAERSK B</t>
  </si>
  <si>
    <t>1.343,48</t>
  </si>
  <si>
    <t>3.468.854</t>
  </si>
  <si>
    <t>3.468.853,94</t>
  </si>
  <si>
    <t>DK0010244508</t>
  </si>
  <si>
    <t>GPT</t>
  </si>
  <si>
    <t>GPT GROUP STAPLED UNITS</t>
  </si>
  <si>
    <t>4,01</t>
  </si>
  <si>
    <t>3.465.054</t>
  </si>
  <si>
    <t>3.465.054,08</t>
  </si>
  <si>
    <t>AU000000GPT8</t>
  </si>
  <si>
    <t>NOMURA RESEARCH INSTITUTE LTD</t>
  </si>
  <si>
    <t>3.463.640</t>
  </si>
  <si>
    <t>3.463.640,20</t>
  </si>
  <si>
    <t>JP3762800005</t>
  </si>
  <si>
    <t>RHI</t>
  </si>
  <si>
    <t>ROBERT HALF</t>
  </si>
  <si>
    <t>63,08</t>
  </si>
  <si>
    <t>3.460.127</t>
  </si>
  <si>
    <t>3.460.127,24</t>
  </si>
  <si>
    <t>US7703231032</t>
  </si>
  <si>
    <t>GVC</t>
  </si>
  <si>
    <t>GVC HOLDINGS PLC</t>
  </si>
  <si>
    <t>12,26</t>
  </si>
  <si>
    <t>3.457.450</t>
  </si>
  <si>
    <t>3.457.449,97</t>
  </si>
  <si>
    <t>IM00B5VQMV65</t>
  </si>
  <si>
    <t>BOL</t>
  </si>
  <si>
    <t>BOLIDEN</t>
  </si>
  <si>
    <t>3.439.901</t>
  </si>
  <si>
    <t>3.439.900,89</t>
  </si>
  <si>
    <t>SE0012455673</t>
  </si>
  <si>
    <t>WTB</t>
  </si>
  <si>
    <t>WHITBREAD PLC</t>
  </si>
  <si>
    <t>60,72</t>
  </si>
  <si>
    <t>3.436.168</t>
  </si>
  <si>
    <t>3.436.168,02</t>
  </si>
  <si>
    <t>GB00B1KJJ408</t>
  </si>
  <si>
    <t>LIXIL GROUP CORP</t>
  </si>
  <si>
    <t>3.431.339</t>
  </si>
  <si>
    <t>3.431.338,99</t>
  </si>
  <si>
    <t>JP3626800001</t>
  </si>
  <si>
    <t>AGC INC</t>
  </si>
  <si>
    <t>35,37</t>
  </si>
  <si>
    <t>3.424.119</t>
  </si>
  <si>
    <t>3.424.119,20</t>
  </si>
  <si>
    <t>JP3112000009</t>
  </si>
  <si>
    <t>WN</t>
  </si>
  <si>
    <t>GEORGE WESTON LTD</t>
  </si>
  <si>
    <t>79,48</t>
  </si>
  <si>
    <t>3.410.854</t>
  </si>
  <si>
    <t>3.410.854,45</t>
  </si>
  <si>
    <t>CA9611485090</t>
  </si>
  <si>
    <t>SAPUTO INC</t>
  </si>
  <si>
    <t>3.412.047</t>
  </si>
  <si>
    <t>3.412.046,65</t>
  </si>
  <si>
    <t>CA8029121057</t>
  </si>
  <si>
    <t>H</t>
  </si>
  <si>
    <t>HYDRO ONE LTD</t>
  </si>
  <si>
    <t>19,39</t>
  </si>
  <si>
    <t>3.382.230</t>
  </si>
  <si>
    <t>3.382.229,71</t>
  </si>
  <si>
    <t>CA4488112083</t>
  </si>
  <si>
    <t>BIRG</t>
  </si>
  <si>
    <t>BANK OF IRELAND GROUP PLC</t>
  </si>
  <si>
    <t>5,32</t>
  </si>
  <si>
    <t>3.358.606</t>
  </si>
  <si>
    <t>3.358.606,23</t>
  </si>
  <si>
    <t>IE00BD1RP616</t>
  </si>
  <si>
    <t>CYBR</t>
  </si>
  <si>
    <t>CYBER ARK SOFTWARE LTD</t>
  </si>
  <si>
    <t>136,22</t>
  </si>
  <si>
    <t>3.355.235</t>
  </si>
  <si>
    <t>3.355.234,82</t>
  </si>
  <si>
    <t>IL0011334468</t>
  </si>
  <si>
    <t>AUTO</t>
  </si>
  <si>
    <t>AUTO TRADER GROUP PLC</t>
  </si>
  <si>
    <t>3.352.739</t>
  </si>
  <si>
    <t>3.352.738,56</t>
  </si>
  <si>
    <t>GB00BVYVFW23</t>
  </si>
  <si>
    <t>J37</t>
  </si>
  <si>
    <t>JARDINE STRATEGIC HOLDINGS LTD</t>
  </si>
  <si>
    <t>31,41</t>
  </si>
  <si>
    <t>3.351.447</t>
  </si>
  <si>
    <t>3.351.447,00</t>
  </si>
  <si>
    <t>BMG507641022</t>
  </si>
  <si>
    <t>JFE HOLDINGS INC</t>
  </si>
  <si>
    <t>13,02</t>
  </si>
  <si>
    <t>3.343.304</t>
  </si>
  <si>
    <t>3.343.303,66</t>
  </si>
  <si>
    <t>JP3386030005</t>
  </si>
  <si>
    <t>TKA</t>
  </si>
  <si>
    <t>THYSSENKRUPP AG</t>
  </si>
  <si>
    <t>13,19</t>
  </si>
  <si>
    <t>3.334.762</t>
  </si>
  <si>
    <t>3.334.762,42</t>
  </si>
  <si>
    <t>DE0007500001</t>
  </si>
  <si>
    <t>PAN PACIFIC INTERNATIONAL HOLDINGS</t>
  </si>
  <si>
    <t>17,63</t>
  </si>
  <si>
    <t>3.328.274</t>
  </si>
  <si>
    <t>3.328.273,82</t>
  </si>
  <si>
    <t>JP3639650005</t>
  </si>
  <si>
    <t>EQH</t>
  </si>
  <si>
    <t>AXA EQUITABLE HOLDINGS INC</t>
  </si>
  <si>
    <t>25,79</t>
  </si>
  <si>
    <t>3.315.795</t>
  </si>
  <si>
    <t>3.315.794,51</t>
  </si>
  <si>
    <t>US0545611057</t>
  </si>
  <si>
    <t>NEXON LTD</t>
  </si>
  <si>
    <t>14,49</t>
  </si>
  <si>
    <t>3.314.825</t>
  </si>
  <si>
    <t>3.314.825,25</t>
  </si>
  <si>
    <t>JP3758190007</t>
  </si>
  <si>
    <t>RENESAS ELECTRONICS CORP</t>
  </si>
  <si>
    <t>3.312.925</t>
  </si>
  <si>
    <t>3.312.925,34</t>
  </si>
  <si>
    <t>JP3164720009</t>
  </si>
  <si>
    <t>CARL ZEISS MEDITEC AG</t>
  </si>
  <si>
    <t>130,58</t>
  </si>
  <si>
    <t>3.307.161</t>
  </si>
  <si>
    <t>3.307.160,89</t>
  </si>
  <si>
    <t>DE0005313704</t>
  </si>
  <si>
    <t>NGK INSULATORS LTD</t>
  </si>
  <si>
    <t>17,89</t>
  </si>
  <si>
    <t>3.306.024</t>
  </si>
  <si>
    <t>3.306.024,10</t>
  </si>
  <si>
    <t>JP3695200000</t>
  </si>
  <si>
    <t>UN01</t>
  </si>
  <si>
    <t>UNIPER</t>
  </si>
  <si>
    <t>31,65</t>
  </si>
  <si>
    <t>3.301.035</t>
  </si>
  <si>
    <t>3.301.035,26</t>
  </si>
  <si>
    <t>DE000UNSE018</t>
  </si>
  <si>
    <t>JMAT</t>
  </si>
  <si>
    <t>JOHNSON MATTHEY PLC</t>
  </si>
  <si>
    <t>38,38</t>
  </si>
  <si>
    <t>3.288.235</t>
  </si>
  <si>
    <t>3.288.234,71</t>
  </si>
  <si>
    <t>GB00BZ4BQC70</t>
  </si>
  <si>
    <t>PSON</t>
  </si>
  <si>
    <t>PEARSON PLC</t>
  </si>
  <si>
    <t>8,20</t>
  </si>
  <si>
    <t>3.279.974</t>
  </si>
  <si>
    <t>3.279.974,14</t>
  </si>
  <si>
    <t>GB0006776081</t>
  </si>
  <si>
    <t>WTR</t>
  </si>
  <si>
    <t>AQUA AMERICA INC</t>
  </si>
  <si>
    <t>46,82</t>
  </si>
  <si>
    <t>3.269.581</t>
  </si>
  <si>
    <t>3.269.581,06</t>
  </si>
  <si>
    <t>US03836W1036</t>
  </si>
  <si>
    <t>S63</t>
  </si>
  <si>
    <t>SINGAPORE TECHNOLOGIES ENGINEERING</t>
  </si>
  <si>
    <t>3,01</t>
  </si>
  <si>
    <t>1.084.200</t>
  </si>
  <si>
    <t>3.264.500</t>
  </si>
  <si>
    <t>3.264.500,15</t>
  </si>
  <si>
    <t>SG1F60858221</t>
  </si>
  <si>
    <t>SAB</t>
  </si>
  <si>
    <t>BANCO DE SABADELL SA</t>
  </si>
  <si>
    <t>1,13</t>
  </si>
  <si>
    <t>2.870.700</t>
  </si>
  <si>
    <t>3.257.350</t>
  </si>
  <si>
    <t>3.257.349,85</t>
  </si>
  <si>
    <t>ES0113860A34</t>
  </si>
  <si>
    <t>MRW</t>
  </si>
  <si>
    <t>MORRISON(WM.)SUPERMARKETS PLC</t>
  </si>
  <si>
    <t>2,45</t>
  </si>
  <si>
    <t>1.328.170</t>
  </si>
  <si>
    <t>3.259.419</t>
  </si>
  <si>
    <t>3.259.419,43</t>
  </si>
  <si>
    <t>GB0006043169</t>
  </si>
  <si>
    <t>DEMANT</t>
  </si>
  <si>
    <t>31,16</t>
  </si>
  <si>
    <t>3.258.079</t>
  </si>
  <si>
    <t>3.258.078,85</t>
  </si>
  <si>
    <t>DK0060738599</t>
  </si>
  <si>
    <t>HAKUHODO DY HOLDINGS INC</t>
  </si>
  <si>
    <t>15,95</t>
  </si>
  <si>
    <t>3.254.497</t>
  </si>
  <si>
    <t>3.254.497,08</t>
  </si>
  <si>
    <t>JP3766550002</t>
  </si>
  <si>
    <t>TIT</t>
  </si>
  <si>
    <t>TELECOM ITALIA</t>
  </si>
  <si>
    <t>5.551.883</t>
  </si>
  <si>
    <t>3.237.444</t>
  </si>
  <si>
    <t>3.237.443,69</t>
  </si>
  <si>
    <t>IT0003497168</t>
  </si>
  <si>
    <t>TOYOTA TSUSHO CORP</t>
  </si>
  <si>
    <t>34,78</t>
  </si>
  <si>
    <t>3.234.118</t>
  </si>
  <si>
    <t>3.234.118,29</t>
  </si>
  <si>
    <t>JP3635000007</t>
  </si>
  <si>
    <t>CTX</t>
  </si>
  <si>
    <t>CALTEX AUSTRALIA LTD</t>
  </si>
  <si>
    <t>24,65</t>
  </si>
  <si>
    <t>3.231.122</t>
  </si>
  <si>
    <t>3.231.122,26</t>
  </si>
  <si>
    <t>AU000000CTX1</t>
  </si>
  <si>
    <t>ROHM LTD</t>
  </si>
  <si>
    <t>81,23</t>
  </si>
  <si>
    <t>3.229.053</t>
  </si>
  <si>
    <t>3.229.052,57</t>
  </si>
  <si>
    <t>JP3982800009</t>
  </si>
  <si>
    <t>LSXMK</t>
  </si>
  <si>
    <t>LIBERTY MEDIA LIBERTY SIRIUSXM COR</t>
  </si>
  <si>
    <t>47,75</t>
  </si>
  <si>
    <t>3.224.749</t>
  </si>
  <si>
    <t>3.224.748,50</t>
  </si>
  <si>
    <t>US5312296073</t>
  </si>
  <si>
    <t>UTDI</t>
  </si>
  <si>
    <t>UNITED INTERNET AG</t>
  </si>
  <si>
    <t>3.221.781</t>
  </si>
  <si>
    <t>3.221.780,53</t>
  </si>
  <si>
    <t>DE0005089031</t>
  </si>
  <si>
    <t>CCL.B</t>
  </si>
  <si>
    <t>CCL INDUSTRIES INC CLASS B</t>
  </si>
  <si>
    <t>43,41</t>
  </si>
  <si>
    <t>3.210.885</t>
  </si>
  <si>
    <t>3.210.885,28</t>
  </si>
  <si>
    <t>CA1249003098</t>
  </si>
  <si>
    <t>MIDD</t>
  </si>
  <si>
    <t>MIDDLEBY CORP</t>
  </si>
  <si>
    <t>109,10</t>
  </si>
  <si>
    <t>3.207.758</t>
  </si>
  <si>
    <t>3.207.758,20</t>
  </si>
  <si>
    <t>US5962781010</t>
  </si>
  <si>
    <t>MPL</t>
  </si>
  <si>
    <t>MEDIBANK PRIVATE LTD</t>
  </si>
  <si>
    <t>2,27</t>
  </si>
  <si>
    <t>1.407.339</t>
  </si>
  <si>
    <t>3.187.628</t>
  </si>
  <si>
    <t>3.187.628,46</t>
  </si>
  <si>
    <t>AU000000MPL3</t>
  </si>
  <si>
    <t>FM</t>
  </si>
  <si>
    <t>FIRST QUANTUM MINERALS LTD</t>
  </si>
  <si>
    <t>9,68</t>
  </si>
  <si>
    <t>3.184.895</t>
  </si>
  <si>
    <t>3.184.894,55</t>
  </si>
  <si>
    <t>CA3359341052</t>
  </si>
  <si>
    <t>CPRI</t>
  </si>
  <si>
    <t>CAPRI HOLDINGS LTD</t>
  </si>
  <si>
    <t>35,84</t>
  </si>
  <si>
    <t>3.179.689</t>
  </si>
  <si>
    <t>3.179.688,96</t>
  </si>
  <si>
    <t>VGG1890L1076</t>
  </si>
  <si>
    <t>BSL</t>
  </si>
  <si>
    <t>BLUESCOPE STEEL LTD</t>
  </si>
  <si>
    <t>10,70</t>
  </si>
  <si>
    <t>3.179.228</t>
  </si>
  <si>
    <t>3.179.227,85</t>
  </si>
  <si>
    <t>AU000000BSL0</t>
  </si>
  <si>
    <t>SCR</t>
  </si>
  <si>
    <t>SCOR</t>
  </si>
  <si>
    <t>42,00</t>
  </si>
  <si>
    <t>3.169.919</t>
  </si>
  <si>
    <t>3.169.918,74</t>
  </si>
  <si>
    <t>FR0010411983</t>
  </si>
  <si>
    <t>SESG</t>
  </si>
  <si>
    <t>SES SA FDR</t>
  </si>
  <si>
    <t>13,99</t>
  </si>
  <si>
    <t>3.165.289</t>
  </si>
  <si>
    <t>3.165.288,80</t>
  </si>
  <si>
    <t>LU0088087324</t>
  </si>
  <si>
    <t>CNA</t>
  </si>
  <si>
    <t>CENTRICA PLC</t>
  </si>
  <si>
    <t>2.813.750</t>
  </si>
  <si>
    <t>3.150.858</t>
  </si>
  <si>
    <t>3.150.857,71</t>
  </si>
  <si>
    <t>GB00B033F229</t>
  </si>
  <si>
    <t>G1A</t>
  </si>
  <si>
    <t>GEA GROUP AG</t>
  </si>
  <si>
    <t>32,23</t>
  </si>
  <si>
    <t>3.138.700</t>
  </si>
  <si>
    <t>3.138.700,23</t>
  </si>
  <si>
    <t>DE0006602006</t>
  </si>
  <si>
    <t>SEKISUI CHEMICAL LTD</t>
  </si>
  <si>
    <t>3.135.978</t>
  </si>
  <si>
    <t>3.135.978,09</t>
  </si>
  <si>
    <t>JP3419400001</t>
  </si>
  <si>
    <t>WRT1V</t>
  </si>
  <si>
    <t>WARTSILA</t>
  </si>
  <si>
    <t>10,94</t>
  </si>
  <si>
    <t>3.126.591</t>
  </si>
  <si>
    <t>3.126.590,52</t>
  </si>
  <si>
    <t>FI0009003727</t>
  </si>
  <si>
    <t>BGNE</t>
  </si>
  <si>
    <t>BEIGENE ADR REPRESENTING LTD</t>
  </si>
  <si>
    <t>163,00</t>
  </si>
  <si>
    <t>3.124.547</t>
  </si>
  <si>
    <t>3.124.547,00</t>
  </si>
  <si>
    <t>US07725L1026</t>
  </si>
  <si>
    <t>TAH</t>
  </si>
  <si>
    <t>TABCORP HOLDINGS LTD</t>
  </si>
  <si>
    <t>3,21</t>
  </si>
  <si>
    <t>3.123.190</t>
  </si>
  <si>
    <t>3.123.190,12</t>
  </si>
  <si>
    <t>AU000000TAH8</t>
  </si>
  <si>
    <t>TOKYO ELECTRIC POWER HOLDINGS INC</t>
  </si>
  <si>
    <t>4,04</t>
  </si>
  <si>
    <t>3.117.902</t>
  </si>
  <si>
    <t>3.117.901,61</t>
  </si>
  <si>
    <t>JP3585800000</t>
  </si>
  <si>
    <t>GIL</t>
  </si>
  <si>
    <t>GILDAN ACTIVEWEAR INC</t>
  </si>
  <si>
    <t>28,33</t>
  </si>
  <si>
    <t>3.109.958</t>
  </si>
  <si>
    <t>3.109.958,07</t>
  </si>
  <si>
    <t>CA3759161035</t>
  </si>
  <si>
    <t>IDEMITSU KOSAN LTD</t>
  </si>
  <si>
    <t>27,52</t>
  </si>
  <si>
    <t>3.096.292</t>
  </si>
  <si>
    <t>3.096.291,62</t>
  </si>
  <si>
    <t>JP3142500002</t>
  </si>
  <si>
    <t>PRY</t>
  </si>
  <si>
    <t>PRYSMIAN</t>
  </si>
  <si>
    <t>3.086.937</t>
  </si>
  <si>
    <t>3.086.937,22</t>
  </si>
  <si>
    <t>IT0004176001</t>
  </si>
  <si>
    <t>ALLIANCE DATA SYSTEMS CORP</t>
  </si>
  <si>
    <t>112,07</t>
  </si>
  <si>
    <t>3.074.304</t>
  </si>
  <si>
    <t>3.074.304,24</t>
  </si>
  <si>
    <t>US0185811082</t>
  </si>
  <si>
    <t>BIO</t>
  </si>
  <si>
    <t>BIO RAD LABORATORIES INC CLASS A</t>
  </si>
  <si>
    <t>383,52</t>
  </si>
  <si>
    <t>3.068.160</t>
  </si>
  <si>
    <t>3.068.160,00</t>
  </si>
  <si>
    <t>US0905722072</t>
  </si>
  <si>
    <t>LION CORP</t>
  </si>
  <si>
    <t>19,15</t>
  </si>
  <si>
    <t>3.069.637</t>
  </si>
  <si>
    <t>3.069.636,73</t>
  </si>
  <si>
    <t>JP3965400009</t>
  </si>
  <si>
    <t>VCX</t>
  </si>
  <si>
    <t>VICINITY CENTRES</t>
  </si>
  <si>
    <t>1,73</t>
  </si>
  <si>
    <t>1.766.630</t>
  </si>
  <si>
    <t>3.062.065</t>
  </si>
  <si>
    <t>3.062.065,33</t>
  </si>
  <si>
    <t>AU000000VCX7</t>
  </si>
  <si>
    <t>BRO</t>
  </si>
  <si>
    <t>BROWN &amp; BROWN INC</t>
  </si>
  <si>
    <t>40,40</t>
  </si>
  <si>
    <t>3.051.331</t>
  </si>
  <si>
    <t>3.051.331,20</t>
  </si>
  <si>
    <t>US1152361010</t>
  </si>
  <si>
    <t>BKT</t>
  </si>
  <si>
    <t>BANKINTER SA</t>
  </si>
  <si>
    <t>7,13</t>
  </si>
  <si>
    <t>3.044.241</t>
  </si>
  <si>
    <t>3.044.240,84</t>
  </si>
  <si>
    <t>ES0113679I37</t>
  </si>
  <si>
    <t>DSCT</t>
  </si>
  <si>
    <t>ISRAEL DISCOUNT BANK LTD</t>
  </si>
  <si>
    <t>4,53</t>
  </si>
  <si>
    <t>3.036.835</t>
  </si>
  <si>
    <t>3.036.835,28</t>
  </si>
  <si>
    <t>IL0006912120</t>
  </si>
  <si>
    <t>MAZDA MOTOR CORP</t>
  </si>
  <si>
    <t>8,72</t>
  </si>
  <si>
    <t>3.030.791</t>
  </si>
  <si>
    <t>3.030.791,35</t>
  </si>
  <si>
    <t>JP3868400007</t>
  </si>
  <si>
    <t>H78</t>
  </si>
  <si>
    <t>HONGKONG LAND HOLDINGS LTD</t>
  </si>
  <si>
    <t>5,64</t>
  </si>
  <si>
    <t>3.021.636</t>
  </si>
  <si>
    <t>3.021.635,64</t>
  </si>
  <si>
    <t>BMG4587L1090</t>
  </si>
  <si>
    <t>NHY</t>
  </si>
  <si>
    <t>NORSK HYDRO</t>
  </si>
  <si>
    <t>3,66</t>
  </si>
  <si>
    <t>3.002.279</t>
  </si>
  <si>
    <t>3.002.279,49</t>
  </si>
  <si>
    <t>NO0005052605</t>
  </si>
  <si>
    <t>YAMAHA CORP</t>
  </si>
  <si>
    <t>56,86</t>
  </si>
  <si>
    <t>3.002.410</t>
  </si>
  <si>
    <t>3.002.409,64</t>
  </si>
  <si>
    <t>JP3942600002</t>
  </si>
  <si>
    <t>ASM PACIFIC TECHNOLOGY LTD</t>
  </si>
  <si>
    <t>14,85</t>
  </si>
  <si>
    <t>2.992.896</t>
  </si>
  <si>
    <t>2.992.896,46</t>
  </si>
  <si>
    <t>KYG0535Q1331</t>
  </si>
  <si>
    <t>HENDERSON LAND DEVELOPMENT LTD</t>
  </si>
  <si>
    <t>4,91</t>
  </si>
  <si>
    <t>2.991.614</t>
  </si>
  <si>
    <t>2.991.614,42</t>
  </si>
  <si>
    <t>HK0012000102</t>
  </si>
  <si>
    <t>SUNTORY BEVERAGE &amp; FOOD LTD</t>
  </si>
  <si>
    <t>41,53</t>
  </si>
  <si>
    <t>2.985.989</t>
  </si>
  <si>
    <t>2.985.989,41</t>
  </si>
  <si>
    <t>JP3336560002</t>
  </si>
  <si>
    <t>INGENICO GROUP SA</t>
  </si>
  <si>
    <t>108,73</t>
  </si>
  <si>
    <t>2.972.801</t>
  </si>
  <si>
    <t>2.972.800,79</t>
  </si>
  <si>
    <t>FR0000125346</t>
  </si>
  <si>
    <t>PNDORA</t>
  </si>
  <si>
    <t>PANDORA</t>
  </si>
  <si>
    <t>51,35</t>
  </si>
  <si>
    <t>2.970.021</t>
  </si>
  <si>
    <t>2.970.021,10</t>
  </si>
  <si>
    <t>DK0060252690</t>
  </si>
  <si>
    <t>OHI</t>
  </si>
  <si>
    <t>OMEGA HEALTHCARE INVESTORS REIT IN</t>
  </si>
  <si>
    <t>42,36</t>
  </si>
  <si>
    <t>2.966.556</t>
  </si>
  <si>
    <t>2.966.555,52</t>
  </si>
  <si>
    <t>US6819361006</t>
  </si>
  <si>
    <t>ARW</t>
  </si>
  <si>
    <t>ARROW ELECTRONICS INC</t>
  </si>
  <si>
    <t>84,47</t>
  </si>
  <si>
    <t>2.951.213</t>
  </si>
  <si>
    <t>2.951.212,86</t>
  </si>
  <si>
    <t>US0427351004</t>
  </si>
  <si>
    <t>MAN</t>
  </si>
  <si>
    <t>MANPOWER INC</t>
  </si>
  <si>
    <t>97,79</t>
  </si>
  <si>
    <t>2.929.299</t>
  </si>
  <si>
    <t>2.929.299,45</t>
  </si>
  <si>
    <t>US56418H1005</t>
  </si>
  <si>
    <t>DAI NIPPON PRINTING LTD</t>
  </si>
  <si>
    <t>2.929.223</t>
  </si>
  <si>
    <t>2.929.222,75</t>
  </si>
  <si>
    <t>JP3493800001</t>
  </si>
  <si>
    <t>INGR</t>
  </si>
  <si>
    <t>INGREDION INC</t>
  </si>
  <si>
    <t>91,51</t>
  </si>
  <si>
    <t>2.927.222</t>
  </si>
  <si>
    <t>2.927.221,88</t>
  </si>
  <si>
    <t>US4571871023</t>
  </si>
  <si>
    <t>NISSIN FOODS HOLDINGS LTD</t>
  </si>
  <si>
    <t>74,11</t>
  </si>
  <si>
    <t>2.927.528</t>
  </si>
  <si>
    <t>2.927.528,29</t>
  </si>
  <si>
    <t>JP3675600005</t>
  </si>
  <si>
    <t>TSURUHA HOLDINGS INC</t>
  </si>
  <si>
    <t>127,14</t>
  </si>
  <si>
    <t>2.924.334</t>
  </si>
  <si>
    <t>2.924.333,70</t>
  </si>
  <si>
    <t>JP3536150000</t>
  </si>
  <si>
    <t>MKS</t>
  </si>
  <si>
    <t>MARKS AND SPENCER GROUP PLC</t>
  </si>
  <si>
    <t>2,50</t>
  </si>
  <si>
    <t>1.169.950</t>
  </si>
  <si>
    <t>2.923.089</t>
  </si>
  <si>
    <t>2.923.089,25</t>
  </si>
  <si>
    <t>GB0031274896</t>
  </si>
  <si>
    <t>RNR</t>
  </si>
  <si>
    <t>RENAISSANCERE HOLDING LTD</t>
  </si>
  <si>
    <t>189,11</t>
  </si>
  <si>
    <t>2.919.291</t>
  </si>
  <si>
    <t>2.919.291,07</t>
  </si>
  <si>
    <t>BMG7496G1033</t>
  </si>
  <si>
    <t>AUTOLIV INC</t>
  </si>
  <si>
    <t>79,29</t>
  </si>
  <si>
    <t>2.911.370</t>
  </si>
  <si>
    <t>2.911.370,22</t>
  </si>
  <si>
    <t>US0528001094</t>
  </si>
  <si>
    <t>HUSQ B</t>
  </si>
  <si>
    <t>HUSQVARNA</t>
  </si>
  <si>
    <t>8,31</t>
  </si>
  <si>
    <t>2.907.173</t>
  </si>
  <si>
    <t>2.907.172,61</t>
  </si>
  <si>
    <t>SE0001662230</t>
  </si>
  <si>
    <t>WHEELOCK AND LTD</t>
  </si>
  <si>
    <t>6,91</t>
  </si>
  <si>
    <t>2.897.337</t>
  </si>
  <si>
    <t>2.897.336,94</t>
  </si>
  <si>
    <t>HK0020000177</t>
  </si>
  <si>
    <t>NIPPON PROLOGIS REIT INC</t>
  </si>
  <si>
    <t>2.547,46</t>
  </si>
  <si>
    <t>2.893.917</t>
  </si>
  <si>
    <t>2.893.917,49</t>
  </si>
  <si>
    <t>JP3047550003</t>
  </si>
  <si>
    <t>J210</t>
  </si>
  <si>
    <t>TELUS CORP</t>
  </si>
  <si>
    <t>38,52</t>
  </si>
  <si>
    <t>2.891.789</t>
  </si>
  <si>
    <t>2.891.788,62</t>
  </si>
  <si>
    <t>CA87971M1032</t>
  </si>
  <si>
    <t>MLCO</t>
  </si>
  <si>
    <t>MELCO RESORTS ENTERTAINMENT ADR LT</t>
  </si>
  <si>
    <t>22,97</t>
  </si>
  <si>
    <t>2.888.064</t>
  </si>
  <si>
    <t>2.888.064,04</t>
  </si>
  <si>
    <t>US5854641009</t>
  </si>
  <si>
    <t>HEICO CORP</t>
  </si>
  <si>
    <t>120,09</t>
  </si>
  <si>
    <t>2.884.081</t>
  </si>
  <si>
    <t>2.884.081,44</t>
  </si>
  <si>
    <t>US4228061093</t>
  </si>
  <si>
    <t>JAPAN POST INSURANCE LTD</t>
  </si>
  <si>
    <t>2.862.194</t>
  </si>
  <si>
    <t>2.862.194,23</t>
  </si>
  <si>
    <t>JP3233250004</t>
  </si>
  <si>
    <t>ADMIRAL GROUP PLC</t>
  </si>
  <si>
    <t>30,03</t>
  </si>
  <si>
    <t>2.858.514</t>
  </si>
  <si>
    <t>2.858.513,75</t>
  </si>
  <si>
    <t>GB00B02J6398</t>
  </si>
  <si>
    <t>HKT TRUST AND HKT UNITS LTD</t>
  </si>
  <si>
    <t>1,49</t>
  </si>
  <si>
    <t>1.920.223</t>
  </si>
  <si>
    <t>2.853.181</t>
  </si>
  <si>
    <t>2.853.181,07</t>
  </si>
  <si>
    <t>HK0000093390</t>
  </si>
  <si>
    <t>JWN</t>
  </si>
  <si>
    <t>NORDSTROM INC</t>
  </si>
  <si>
    <t>41,75</t>
  </si>
  <si>
    <t>2.841.589</t>
  </si>
  <si>
    <t>2.841.588,50</t>
  </si>
  <si>
    <t>US6556641008</t>
  </si>
  <si>
    <t>NIPPON PAINT HOLDINGS LTD</t>
  </si>
  <si>
    <t>50,84</t>
  </si>
  <si>
    <t>2.841.940</t>
  </si>
  <si>
    <t>2.841.940,49</t>
  </si>
  <si>
    <t>JP3749400002</t>
  </si>
  <si>
    <t>REE</t>
  </si>
  <si>
    <t>RED ELECTRICA SA</t>
  </si>
  <si>
    <t>19,32</t>
  </si>
  <si>
    <t>2.838.673</t>
  </si>
  <si>
    <t>2.838.672,80</t>
  </si>
  <si>
    <t>ES0173093024</t>
  </si>
  <si>
    <t>SEE</t>
  </si>
  <si>
    <t>SEALED AIR CORP</t>
  </si>
  <si>
    <t>38,49</t>
  </si>
  <si>
    <t>2.831.324</t>
  </si>
  <si>
    <t>2.831.324,40</t>
  </si>
  <si>
    <t>US81211K1007</t>
  </si>
  <si>
    <t>PROX</t>
  </si>
  <si>
    <t>PROXIMUS NV</t>
  </si>
  <si>
    <t>28,04</t>
  </si>
  <si>
    <t>2.821.629</t>
  </si>
  <si>
    <t>2.821.628,89</t>
  </si>
  <si>
    <t>BE0003810273</t>
  </si>
  <si>
    <t>J211</t>
  </si>
  <si>
    <t>SEIKO EPSON CORP</t>
  </si>
  <si>
    <t>14,80</t>
  </si>
  <si>
    <t>2.815.849</t>
  </si>
  <si>
    <t>2.815.848,85</t>
  </si>
  <si>
    <t>JP3414750004</t>
  </si>
  <si>
    <t>FLS</t>
  </si>
  <si>
    <t>FLOWSERVE CORP</t>
  </si>
  <si>
    <t>49,81</t>
  </si>
  <si>
    <t>2.810.878</t>
  </si>
  <si>
    <t>2.810.877,92</t>
  </si>
  <si>
    <t>US34354P1057</t>
  </si>
  <si>
    <t>ROL</t>
  </si>
  <si>
    <t>ROLLINS INC</t>
  </si>
  <si>
    <t>34,73</t>
  </si>
  <si>
    <t>2.810.178</t>
  </si>
  <si>
    <t>2.810.177,95</t>
  </si>
  <si>
    <t>US7757111049</t>
  </si>
  <si>
    <t>RPM</t>
  </si>
  <si>
    <t>RPM INTERNATIONAL INC</t>
  </si>
  <si>
    <t>73,04</t>
  </si>
  <si>
    <t>2.807.585</t>
  </si>
  <si>
    <t>2.807.584,56</t>
  </si>
  <si>
    <t>US7496851038</t>
  </si>
  <si>
    <t>JMT</t>
  </si>
  <si>
    <t>JERONIMO MARTINS SA</t>
  </si>
  <si>
    <t>16,73</t>
  </si>
  <si>
    <t>2.807.592</t>
  </si>
  <si>
    <t>2.807.591,52</t>
  </si>
  <si>
    <t>PTJMT0AE0001</t>
  </si>
  <si>
    <t>TEN</t>
  </si>
  <si>
    <t>TENARIS SA</t>
  </si>
  <si>
    <t>11,54</t>
  </si>
  <si>
    <t>2.800.490</t>
  </si>
  <si>
    <t>2.800.490,29</t>
  </si>
  <si>
    <t>LU0156801721</t>
  </si>
  <si>
    <t>W</t>
  </si>
  <si>
    <t>WAYFAIR INC CLASS A</t>
  </si>
  <si>
    <t>95,22</t>
  </si>
  <si>
    <t>2.788.708</t>
  </si>
  <si>
    <t>2.788.708,14</t>
  </si>
  <si>
    <t>US94419L1017</t>
  </si>
  <si>
    <t>EV</t>
  </si>
  <si>
    <t>EATON VANCE COM NON VOTING CORP</t>
  </si>
  <si>
    <t>47,14</t>
  </si>
  <si>
    <t>2.785.173</t>
  </si>
  <si>
    <t>2.785.172,62</t>
  </si>
  <si>
    <t>US2782651036</t>
  </si>
  <si>
    <t>FOX</t>
  </si>
  <si>
    <t>FOX CORP CLASS B</t>
  </si>
  <si>
    <t>36,09</t>
  </si>
  <si>
    <t>2.782.947</t>
  </si>
  <si>
    <t>2.782.947,37</t>
  </si>
  <si>
    <t>US35137L2043</t>
  </si>
  <si>
    <t>PUM</t>
  </si>
  <si>
    <t>PUMA</t>
  </si>
  <si>
    <t>80,41</t>
  </si>
  <si>
    <t>2.784.225</t>
  </si>
  <si>
    <t>2.784.224,54</t>
  </si>
  <si>
    <t>DE0006969603</t>
  </si>
  <si>
    <t>OBAYASHI CORP</t>
  </si>
  <si>
    <t>11,19</t>
  </si>
  <si>
    <t>2.777.098</t>
  </si>
  <si>
    <t>2.777.098,14</t>
  </si>
  <si>
    <t>JP3190000004</t>
  </si>
  <si>
    <t>KINV B</t>
  </si>
  <si>
    <t>KINNEVIK CLASS B</t>
  </si>
  <si>
    <t>24,02</t>
  </si>
  <si>
    <t>2.763.150</t>
  </si>
  <si>
    <t>2.763.150,40</t>
  </si>
  <si>
    <t>SE0013256682</t>
  </si>
  <si>
    <t>KIKKOMAN CORP</t>
  </si>
  <si>
    <t>49,65</t>
  </si>
  <si>
    <t>2.755.750</t>
  </si>
  <si>
    <t>2.755.750,27</t>
  </si>
  <si>
    <t>JP3240400006</t>
  </si>
  <si>
    <t>NWSA</t>
  </si>
  <si>
    <t>NEWS CORP CLASS A</t>
  </si>
  <si>
    <t>14,35</t>
  </si>
  <si>
    <t>2.751.842</t>
  </si>
  <si>
    <t>2.751.842,10</t>
  </si>
  <si>
    <t>US65249B1098</t>
  </si>
  <si>
    <t>DLG</t>
  </si>
  <si>
    <t>DIRECT LINE INSURANCE PLC</t>
  </si>
  <si>
    <t>4,26</t>
  </si>
  <si>
    <t>2.737.136</t>
  </si>
  <si>
    <t>2.737.135,74</t>
  </si>
  <si>
    <t>GB00BY9D0Y18</t>
  </si>
  <si>
    <t>TAIHEIYO CEMENT CORP</t>
  </si>
  <si>
    <t>28,84</t>
  </si>
  <si>
    <t>2.734.283</t>
  </si>
  <si>
    <t>2.734.282,58</t>
  </si>
  <si>
    <t>JP3449020001</t>
  </si>
  <si>
    <t>KINROSS GOLD CORP</t>
  </si>
  <si>
    <t>4,54</t>
  </si>
  <si>
    <t>2.729.063</t>
  </si>
  <si>
    <t>2.729.063,10</t>
  </si>
  <si>
    <t>CA4969024047</t>
  </si>
  <si>
    <t>CLARIANT AG</t>
  </si>
  <si>
    <t>22,08</t>
  </si>
  <si>
    <t>2.727.822</t>
  </si>
  <si>
    <t>2.727.822,36</t>
  </si>
  <si>
    <t>CH0012142631</t>
  </si>
  <si>
    <t>CPR</t>
  </si>
  <si>
    <t>DAVIDE CAMPARI MILANO</t>
  </si>
  <si>
    <t>9,02</t>
  </si>
  <si>
    <t>2.719.750</t>
  </si>
  <si>
    <t>2.719.749,80</t>
  </si>
  <si>
    <t>IT0005252207</t>
  </si>
  <si>
    <t>AWC</t>
  </si>
  <si>
    <t>ALUMINA LTD</t>
  </si>
  <si>
    <t>1,60</t>
  </si>
  <si>
    <t>1.700.628</t>
  </si>
  <si>
    <t>2.712.792</t>
  </si>
  <si>
    <t>2.712.791,62</t>
  </si>
  <si>
    <t>AU000000AWC3</t>
  </si>
  <si>
    <t>TOSOH CORP</t>
  </si>
  <si>
    <t>15,20</t>
  </si>
  <si>
    <t>2.706.613</t>
  </si>
  <si>
    <t>2.706.612,81</t>
  </si>
  <si>
    <t>JP3595200001</t>
  </si>
  <si>
    <t>SPK</t>
  </si>
  <si>
    <t>SPARK NEW ZEALAND LTD</t>
  </si>
  <si>
    <t>3,00</t>
  </si>
  <si>
    <t>2.704.043</t>
  </si>
  <si>
    <t>2.704.042,69</t>
  </si>
  <si>
    <t>NZTELE0001S4</t>
  </si>
  <si>
    <t>CHUGOKU ELECTRIC POWER INC</t>
  </si>
  <si>
    <t>2.681.525</t>
  </si>
  <si>
    <t>2.681.525,25</t>
  </si>
  <si>
    <t>JP3522200009</t>
  </si>
  <si>
    <t>AIA</t>
  </si>
  <si>
    <t>AUCKLAND INTERNATIONAL AIRPORT LTD</t>
  </si>
  <si>
    <t>5,91</t>
  </si>
  <si>
    <t>2.669.154</t>
  </si>
  <si>
    <t>2.669.153,50</t>
  </si>
  <si>
    <t>NZAIAE0002S6</t>
  </si>
  <si>
    <t>C61U</t>
  </si>
  <si>
    <t>CAPITALAND COMMERCIAL TRUST</t>
  </si>
  <si>
    <t>1,54</t>
  </si>
  <si>
    <t>1.726.052</t>
  </si>
  <si>
    <t>2.662.554</t>
  </si>
  <si>
    <t>2.662.554,26</t>
  </si>
  <si>
    <t>SG1P32918333</t>
  </si>
  <si>
    <t>J212</t>
  </si>
  <si>
    <t>TUI</t>
  </si>
  <si>
    <t>TUI AG</t>
  </si>
  <si>
    <t>12,15</t>
  </si>
  <si>
    <t>2.660.325</t>
  </si>
  <si>
    <t>2.660.324,66</t>
  </si>
  <si>
    <t>DE000TUAG000</t>
  </si>
  <si>
    <t>SONY FINANCIAL HOLDINGS INC</t>
  </si>
  <si>
    <t>24,19</t>
  </si>
  <si>
    <t>2.658.224</t>
  </si>
  <si>
    <t>2.658.223,80</t>
  </si>
  <si>
    <t>JP3435350008</t>
  </si>
  <si>
    <t>AEROPORTS DE PARIS SA</t>
  </si>
  <si>
    <t>194,93</t>
  </si>
  <si>
    <t>2.655.542</t>
  </si>
  <si>
    <t>2.655.542,15</t>
  </si>
  <si>
    <t>FR0010340141</t>
  </si>
  <si>
    <t>BKI</t>
  </si>
  <si>
    <t>BLACK KNIGHT INC</t>
  </si>
  <si>
    <t>64,85</t>
  </si>
  <si>
    <t>2.637.839</t>
  </si>
  <si>
    <t>2.637.838,60</t>
  </si>
  <si>
    <t>US09215C1053</t>
  </si>
  <si>
    <t>WHARF REAL ESTATE INVESTMENT COMPA</t>
  </si>
  <si>
    <t>2.635.365</t>
  </si>
  <si>
    <t>2.635.365,32</t>
  </si>
  <si>
    <t>KYG9593A1040</t>
  </si>
  <si>
    <t>MFG</t>
  </si>
  <si>
    <t>MAGELLAN FINANCIAL GROUP LTD</t>
  </si>
  <si>
    <t>43,43</t>
  </si>
  <si>
    <t>2.633.733</t>
  </si>
  <si>
    <t>2.633.732,87</t>
  </si>
  <si>
    <t>AU000000MFG4</t>
  </si>
  <si>
    <t>J.FRONT RETAILING LTD</t>
  </si>
  <si>
    <t>14,16</t>
  </si>
  <si>
    <t>2.627.470</t>
  </si>
  <si>
    <t>2.627.469,88</t>
  </si>
  <si>
    <t>JP3386380004</t>
  </si>
  <si>
    <t>FBK</t>
  </si>
  <si>
    <t>FINECOBANK BANCA FINECO</t>
  </si>
  <si>
    <t>12,45</t>
  </si>
  <si>
    <t>2.625.286</t>
  </si>
  <si>
    <t>2.625.285,77</t>
  </si>
  <si>
    <t>IT0000072170</t>
  </si>
  <si>
    <t>LXS</t>
  </si>
  <si>
    <t>LANXESS AG</t>
  </si>
  <si>
    <t>64,32</t>
  </si>
  <si>
    <t>2.624.072</t>
  </si>
  <si>
    <t>2.624.071,52</t>
  </si>
  <si>
    <t>DE0005470405</t>
  </si>
  <si>
    <t>FLEX</t>
  </si>
  <si>
    <t>FLEX LTD</t>
  </si>
  <si>
    <t>2.623.648</t>
  </si>
  <si>
    <t>2.623.647,82</t>
  </si>
  <si>
    <t>SG9999000020</t>
  </si>
  <si>
    <t>DIM</t>
  </si>
  <si>
    <t>SARTORIUS STEDIM BIOTECH SA</t>
  </si>
  <si>
    <t>170,26</t>
  </si>
  <si>
    <t>2.623.518</t>
  </si>
  <si>
    <t>2.623.518,16</t>
  </si>
  <si>
    <t>FR0013154002</t>
  </si>
  <si>
    <t>IPGP</t>
  </si>
  <si>
    <t>IPG PHOTONICS CORP</t>
  </si>
  <si>
    <t>135,27</t>
  </si>
  <si>
    <t>2.620.180</t>
  </si>
  <si>
    <t>2.620.179,90</t>
  </si>
  <si>
    <t>US44980X1090</t>
  </si>
  <si>
    <t>PBCT</t>
  </si>
  <si>
    <t>PEOPLES UNITED FINANCIAL INC</t>
  </si>
  <si>
    <t>16,32</t>
  </si>
  <si>
    <t>2.610.515</t>
  </si>
  <si>
    <t>2.610.514,56</t>
  </si>
  <si>
    <t>US7127041058</t>
  </si>
  <si>
    <t>KOITO MANUFACTURING LTD</t>
  </si>
  <si>
    <t>45,64</t>
  </si>
  <si>
    <t>2.610.442</t>
  </si>
  <si>
    <t>2.610.441,77</t>
  </si>
  <si>
    <t>JP3284600008</t>
  </si>
  <si>
    <t>SJM HLDGS LTD</t>
  </si>
  <si>
    <t>1,29</t>
  </si>
  <si>
    <t>2.014.000</t>
  </si>
  <si>
    <t>2.593.172</t>
  </si>
  <si>
    <t>2.593.172,00</t>
  </si>
  <si>
    <t>HK0880043028</t>
  </si>
  <si>
    <t>AYI</t>
  </si>
  <si>
    <t>ACUITY BRANDS INC</t>
  </si>
  <si>
    <t>121,24</t>
  </si>
  <si>
    <t>2.586.655</t>
  </si>
  <si>
    <t>2.586.655,40</t>
  </si>
  <si>
    <t>US00508Y1029</t>
  </si>
  <si>
    <t>J213</t>
  </si>
  <si>
    <t>MAERSK A</t>
  </si>
  <si>
    <t>A P MOLLER MAERSK</t>
  </si>
  <si>
    <t>1.271,50</t>
  </si>
  <si>
    <t>2.584.956</t>
  </si>
  <si>
    <t>2.584.956,17</t>
  </si>
  <si>
    <t>DK0010244425</t>
  </si>
  <si>
    <t>YAKULT HONSHA LTD</t>
  </si>
  <si>
    <t>55,04</t>
  </si>
  <si>
    <t>2.581.298</t>
  </si>
  <si>
    <t>2.581.297,92</t>
  </si>
  <si>
    <t>JP3931600005</t>
  </si>
  <si>
    <t>MCRO</t>
  </si>
  <si>
    <t>MICRO FOCUS INTERNATIONAL PLC</t>
  </si>
  <si>
    <t>13,98</t>
  </si>
  <si>
    <t>2.571.996</t>
  </si>
  <si>
    <t>2.571.996,11</t>
  </si>
  <si>
    <t>GB00BJ1F4N75</t>
  </si>
  <si>
    <t>SDR</t>
  </si>
  <si>
    <t>SCHRODERS PLC</t>
  </si>
  <si>
    <t>42,68</t>
  </si>
  <si>
    <t>2.570.762</t>
  </si>
  <si>
    <t>2.570.762,32</t>
  </si>
  <si>
    <t>GB0002405495</t>
  </si>
  <si>
    <t>C38U</t>
  </si>
  <si>
    <t>CAPITALAND MALL TRUST</t>
  </si>
  <si>
    <t>1,87</t>
  </si>
  <si>
    <t>1.373.976</t>
  </si>
  <si>
    <t>2.567.799</t>
  </si>
  <si>
    <t>2.567.798,52</t>
  </si>
  <si>
    <t>SG1M51904654</t>
  </si>
  <si>
    <t>BANK OF EAST ASIA LTD</t>
  </si>
  <si>
    <t>1.135.493</t>
  </si>
  <si>
    <t>2.567.325</t>
  </si>
  <si>
    <t>2.567.324,88</t>
  </si>
  <si>
    <t>HK0023000190</t>
  </si>
  <si>
    <t>LBTYA</t>
  </si>
  <si>
    <t>LIBERTY GLOBAL PLC CLASS A</t>
  </si>
  <si>
    <t>20,63</t>
  </si>
  <si>
    <t>2.565.650</t>
  </si>
  <si>
    <t>2.565.649,95</t>
  </si>
  <si>
    <t>GB00B8W67662</t>
  </si>
  <si>
    <t>SINO LAND LTD</t>
  </si>
  <si>
    <t>1,47</t>
  </si>
  <si>
    <t>1.748.703</t>
  </si>
  <si>
    <t>2.562.301</t>
  </si>
  <si>
    <t>2.562.301,17</t>
  </si>
  <si>
    <t>HK0083000502</t>
  </si>
  <si>
    <t>SECU B</t>
  </si>
  <si>
    <t>SECURITAS B</t>
  </si>
  <si>
    <t>17,01</t>
  </si>
  <si>
    <t>2.560.433</t>
  </si>
  <si>
    <t>2.560.432,84</t>
  </si>
  <si>
    <t>SE0000163594</t>
  </si>
  <si>
    <t>NIKON CORP</t>
  </si>
  <si>
    <t>12,60</t>
  </si>
  <si>
    <t>2.560.207</t>
  </si>
  <si>
    <t>2.560.207,11</t>
  </si>
  <si>
    <t>JP3657400002</t>
  </si>
  <si>
    <t>IA FINANCIAL INC</t>
  </si>
  <si>
    <t>56,09</t>
  </si>
  <si>
    <t>2.540.908</t>
  </si>
  <si>
    <t>2.540.908,39</t>
  </si>
  <si>
    <t>CA45075E1043</t>
  </si>
  <si>
    <t>PII</t>
  </si>
  <si>
    <t>POLARIS INDUSTRIES INC</t>
  </si>
  <si>
    <t>92,33</t>
  </si>
  <si>
    <t>2.539.998</t>
  </si>
  <si>
    <t>2.539.998,30</t>
  </si>
  <si>
    <t>US7310681025</t>
  </si>
  <si>
    <t>ANDR</t>
  </si>
  <si>
    <t>ANDRITZ AG</t>
  </si>
  <si>
    <t>42,56</t>
  </si>
  <si>
    <t>2.532.983</t>
  </si>
  <si>
    <t>2.532.983,03</t>
  </si>
  <si>
    <t>AT0000730007</t>
  </si>
  <si>
    <t>KAJIMA CORP</t>
  </si>
  <si>
    <t>13,05</t>
  </si>
  <si>
    <t>2.522.561</t>
  </si>
  <si>
    <t>2.522.561,24</t>
  </si>
  <si>
    <t>JP3210200006</t>
  </si>
  <si>
    <t>HULIC LTD</t>
  </si>
  <si>
    <t>12,17</t>
  </si>
  <si>
    <t>2.510.435</t>
  </si>
  <si>
    <t>2.510.434,67</t>
  </si>
  <si>
    <t>JP3360800001</t>
  </si>
  <si>
    <t>MF</t>
  </si>
  <si>
    <t>WENDEL</t>
  </si>
  <si>
    <t>131,69</t>
  </si>
  <si>
    <t>2.504.838</t>
  </si>
  <si>
    <t>2.504.838,42</t>
  </si>
  <si>
    <t>FR0000121204</t>
  </si>
  <si>
    <t>HITACHI CHEMICAL LTD</t>
  </si>
  <si>
    <t>41,89</t>
  </si>
  <si>
    <t>2.501.123</t>
  </si>
  <si>
    <t>2.501.122,67</t>
  </si>
  <si>
    <t>JP3785000005</t>
  </si>
  <si>
    <t>FAMILYMART LTD</t>
  </si>
  <si>
    <t>23,96</t>
  </si>
  <si>
    <t>2.491.785</t>
  </si>
  <si>
    <t>2.491.785,32</t>
  </si>
  <si>
    <t>JP3802600001</t>
  </si>
  <si>
    <t>KGX</t>
  </si>
  <si>
    <t>KION GROUP AG</t>
  </si>
  <si>
    <t>67,57</t>
  </si>
  <si>
    <t>2.468.605</t>
  </si>
  <si>
    <t>2.468.605,30</t>
  </si>
  <si>
    <t>DE000KGX8881</t>
  </si>
  <si>
    <t>DISCA</t>
  </si>
  <si>
    <t>DISCOVERY INC SERIES A</t>
  </si>
  <si>
    <t>31,85</t>
  </si>
  <si>
    <t>2.468.662</t>
  </si>
  <si>
    <t>2.468.661,65</t>
  </si>
  <si>
    <t>US25470F1049</t>
  </si>
  <si>
    <t>MARUI GROUP LTD</t>
  </si>
  <si>
    <t>25,34</t>
  </si>
  <si>
    <t>2.467.893</t>
  </si>
  <si>
    <t>2.467.893,39</t>
  </si>
  <si>
    <t>JP3870400003</t>
  </si>
  <si>
    <t>TIGO SDB</t>
  </si>
  <si>
    <t>MILLICOM INTERNATIONAL CELLULAR SD</t>
  </si>
  <si>
    <t>46,86</t>
  </si>
  <si>
    <t>2.464.415</t>
  </si>
  <si>
    <t>2.464.414,97</t>
  </si>
  <si>
    <t>SE0001174970</t>
  </si>
  <si>
    <t>HBI</t>
  </si>
  <si>
    <t>HANESBRANDS INC</t>
  </si>
  <si>
    <t>13,84</t>
  </si>
  <si>
    <t>2.463.838</t>
  </si>
  <si>
    <t>2.463.838,32</t>
  </si>
  <si>
    <t>US4103451021</t>
  </si>
  <si>
    <t>GJF</t>
  </si>
  <si>
    <t>GJENSIDIGE FORSIKRING</t>
  </si>
  <si>
    <t>20,73</t>
  </si>
  <si>
    <t>2.452.206</t>
  </si>
  <si>
    <t>2.452.206,29</t>
  </si>
  <si>
    <t>NO0010582521</t>
  </si>
  <si>
    <t>TSGI</t>
  </si>
  <si>
    <t>STARS GROUP INC</t>
  </si>
  <si>
    <t>25,84</t>
  </si>
  <si>
    <t>2.449.628</t>
  </si>
  <si>
    <t>2.449.627,84</t>
  </si>
  <si>
    <t>CA85570W1005</t>
  </si>
  <si>
    <t>GPS</t>
  </si>
  <si>
    <t>GAP INC</t>
  </si>
  <si>
    <t>17,80</t>
  </si>
  <si>
    <t>2.451.790</t>
  </si>
  <si>
    <t>2.451.789,80</t>
  </si>
  <si>
    <t>US3647601083</t>
  </si>
  <si>
    <t>SBRY</t>
  </si>
  <si>
    <t>SAINSBURY(J) PLC</t>
  </si>
  <si>
    <t>2,87</t>
  </si>
  <si>
    <t>2.450.824</t>
  </si>
  <si>
    <t>2.450.824,24</t>
  </si>
  <si>
    <t>GB00B019KW72</t>
  </si>
  <si>
    <t>AMUN</t>
  </si>
  <si>
    <t>AMUNDI SA</t>
  </si>
  <si>
    <t>78,24</t>
  </si>
  <si>
    <t>2.444.892</t>
  </si>
  <si>
    <t>2.444.891,76</t>
  </si>
  <si>
    <t>FR0004125920</t>
  </si>
  <si>
    <t>SCHN</t>
  </si>
  <si>
    <t>SCHINDLER HOLDING AG</t>
  </si>
  <si>
    <t>241,87</t>
  </si>
  <si>
    <t>2.431.761</t>
  </si>
  <si>
    <t>2.431.761,21</t>
  </si>
  <si>
    <t>CH0024638212</t>
  </si>
  <si>
    <t>GRUB</t>
  </si>
  <si>
    <t>GRUBHUB INC</t>
  </si>
  <si>
    <t>52,38</t>
  </si>
  <si>
    <t>2.419.223</t>
  </si>
  <si>
    <t>2.419.222,68</t>
  </si>
  <si>
    <t>US4001101025</t>
  </si>
  <si>
    <t>MTCH</t>
  </si>
  <si>
    <t>MATCH GROUP INC</t>
  </si>
  <si>
    <t>87,13</t>
  </si>
  <si>
    <t>2.396.075</t>
  </si>
  <si>
    <t>2.396.075,00</t>
  </si>
  <si>
    <t>US57665R1068</t>
  </si>
  <si>
    <t>J230</t>
  </si>
  <si>
    <t>IDQ</t>
  </si>
  <si>
    <t>ORNBV</t>
  </si>
  <si>
    <t>ORION CORP CLASS B</t>
  </si>
  <si>
    <t>46,47</t>
  </si>
  <si>
    <t>2.396.367</t>
  </si>
  <si>
    <t>2.396.367,47</t>
  </si>
  <si>
    <t>FI0009014377</t>
  </si>
  <si>
    <t>J231</t>
  </si>
  <si>
    <t>LAB</t>
  </si>
  <si>
    <t>FBU</t>
  </si>
  <si>
    <t>FLETCHER BUILDING LTD</t>
  </si>
  <si>
    <t>3,39</t>
  </si>
  <si>
    <t>2.396.805</t>
  </si>
  <si>
    <t>2.396.804,86</t>
  </si>
  <si>
    <t>NZFBUE0001S0</t>
  </si>
  <si>
    <t>J232</t>
  </si>
  <si>
    <t>ISA</t>
  </si>
  <si>
    <t>LEG</t>
  </si>
  <si>
    <t>LEGGETT &amp; PLATT INC</t>
  </si>
  <si>
    <t>49,45</t>
  </si>
  <si>
    <t>2.394.122</t>
  </si>
  <si>
    <t>2.394.121,75</t>
  </si>
  <si>
    <t>US5246601075</t>
  </si>
  <si>
    <t>JBL</t>
  </si>
  <si>
    <t>NAGOYA RAILROAD LTD</t>
  </si>
  <si>
    <t>30,94</t>
  </si>
  <si>
    <t>2.395.093</t>
  </si>
  <si>
    <t>2.395.092,55</t>
  </si>
  <si>
    <t>JP3649800004</t>
  </si>
  <si>
    <t>AVL</t>
  </si>
  <si>
    <t>CU</t>
  </si>
  <si>
    <t>CANADIAN UTILITIES LTD CLASS A</t>
  </si>
  <si>
    <t>30,30</t>
  </si>
  <si>
    <t>2.378.217</t>
  </si>
  <si>
    <t>2.378.216,71</t>
  </si>
  <si>
    <t>CA1367178326</t>
  </si>
  <si>
    <t>ACG</t>
  </si>
  <si>
    <t>NISSAN CHEMICAL CORP</t>
  </si>
  <si>
    <t>42,63</t>
  </si>
  <si>
    <t>2.374.215</t>
  </si>
  <si>
    <t>2.374.215,04</t>
  </si>
  <si>
    <t>JP3670800006</t>
  </si>
  <si>
    <t>NFP</t>
  </si>
  <si>
    <t>TOKYU FUDOSAN HOLDINGS CORP</t>
  </si>
  <si>
    <t>6,71</t>
  </si>
  <si>
    <t>2.374.487</t>
  </si>
  <si>
    <t>2.374.487,40</t>
  </si>
  <si>
    <t>JP3569200003</t>
  </si>
  <si>
    <t>REN</t>
  </si>
  <si>
    <t>KURARAY LTD</t>
  </si>
  <si>
    <t>11,80</t>
  </si>
  <si>
    <t>2.372.152</t>
  </si>
  <si>
    <t>2.372.152,25</t>
  </si>
  <si>
    <t>JP3269600007</t>
  </si>
  <si>
    <t>ALH</t>
  </si>
  <si>
    <t>MITSUI CHEMICALS INC</t>
  </si>
  <si>
    <t>23,56</t>
  </si>
  <si>
    <t>2.358.143</t>
  </si>
  <si>
    <t>2.358.142,57</t>
  </si>
  <si>
    <t>JP3888300005</t>
  </si>
  <si>
    <t>MAP</t>
  </si>
  <si>
    <t>KN</t>
  </si>
  <si>
    <t>NATIXIS SA</t>
  </si>
  <si>
    <t>2.352.488</t>
  </si>
  <si>
    <t>2.352.487,89</t>
  </si>
  <si>
    <t>FR0000120685</t>
  </si>
  <si>
    <t>SVB</t>
  </si>
  <si>
    <t>AMERICAN AIRLINES GROUP INC</t>
  </si>
  <si>
    <t>2.352.143</t>
  </si>
  <si>
    <t>2.352.142,72</t>
  </si>
  <si>
    <t>US02376R1023</t>
  </si>
  <si>
    <t>MLE</t>
  </si>
  <si>
    <t>ALPS ALPINE LTD</t>
  </si>
  <si>
    <t>2.346.983</t>
  </si>
  <si>
    <t>2.346.983,14</t>
  </si>
  <si>
    <t>JP3126400005</t>
  </si>
  <si>
    <t>ETO</t>
  </si>
  <si>
    <t>AMADA HOLDINGS LTD</t>
  </si>
  <si>
    <t>11,56</t>
  </si>
  <si>
    <t>2.343.417</t>
  </si>
  <si>
    <t>2.343.417,31</t>
  </si>
  <si>
    <t>JP3122800000</t>
  </si>
  <si>
    <t>ACE</t>
  </si>
  <si>
    <t>ANTO</t>
  </si>
  <si>
    <t>ANTOFAGASTA PLC</t>
  </si>
  <si>
    <t>12,34</t>
  </si>
  <si>
    <t>2.344.114</t>
  </si>
  <si>
    <t>2.344.114,11</t>
  </si>
  <si>
    <t>GB0000456144</t>
  </si>
  <si>
    <t>ADW</t>
  </si>
  <si>
    <t>REC</t>
  </si>
  <si>
    <t>RECORDATI INDUSTRIA CHIMICA E FARM</t>
  </si>
  <si>
    <t>43,09</t>
  </si>
  <si>
    <t>2.337.644</t>
  </si>
  <si>
    <t>2.337.644,24</t>
  </si>
  <si>
    <t>IT0003828271</t>
  </si>
  <si>
    <t>SUMITOMO RUBBER INDUSTRIES LTD</t>
  </si>
  <si>
    <t>11,77</t>
  </si>
  <si>
    <t>2.337.754</t>
  </si>
  <si>
    <t>2.337.753,74</t>
  </si>
  <si>
    <t>JP3404200002</t>
  </si>
  <si>
    <t>BUC</t>
  </si>
  <si>
    <t>JAPAN PRIME REALTY INVESTMENT REIT</t>
  </si>
  <si>
    <t>4.326,40</t>
  </si>
  <si>
    <t>2.331.928</t>
  </si>
  <si>
    <t>2.331.927,71</t>
  </si>
  <si>
    <t>JP3040890000</t>
  </si>
  <si>
    <t>GAM</t>
  </si>
  <si>
    <t>AMP LTD</t>
  </si>
  <si>
    <t>1,30</t>
  </si>
  <si>
    <t>1.796.710</t>
  </si>
  <si>
    <t>2.332.550</t>
  </si>
  <si>
    <t>2.332.550,01</t>
  </si>
  <si>
    <t>AU000000AMP6</t>
  </si>
  <si>
    <t>GBI</t>
  </si>
  <si>
    <t>TOHO (TOKYO) LTD</t>
  </si>
  <si>
    <t>40,94</t>
  </si>
  <si>
    <t>2.329.285</t>
  </si>
  <si>
    <t>2.329.285,32</t>
  </si>
  <si>
    <t>JP3598600009</t>
  </si>
  <si>
    <t>GLI</t>
  </si>
  <si>
    <t>T82U</t>
  </si>
  <si>
    <t>SUNTEC UNITS TRUST</t>
  </si>
  <si>
    <t>1.673.057</t>
  </si>
  <si>
    <t>2.320.244</t>
  </si>
  <si>
    <t>2.320.243,69</t>
  </si>
  <si>
    <t>SG1Q52922370</t>
  </si>
  <si>
    <t>HET</t>
  </si>
  <si>
    <t>NIPPON SHINYAKU LTD</t>
  </si>
  <si>
    <t>89,91</t>
  </si>
  <si>
    <t>2.310.560</t>
  </si>
  <si>
    <t>2.310.560,42</t>
  </si>
  <si>
    <t>JP3717600005</t>
  </si>
  <si>
    <t>ILE</t>
  </si>
  <si>
    <t>VERBUND AG</t>
  </si>
  <si>
    <t>48,99</t>
  </si>
  <si>
    <t>2.307.937</t>
  </si>
  <si>
    <t>2.307.937,17</t>
  </si>
  <si>
    <t>AT0000746409</t>
  </si>
  <si>
    <t>KBO</t>
  </si>
  <si>
    <t>ALA</t>
  </si>
  <si>
    <t>ALTAGAS LTD</t>
  </si>
  <si>
    <t>15,02</t>
  </si>
  <si>
    <t>2.306.587</t>
  </si>
  <si>
    <t>2.306.587,29</t>
  </si>
  <si>
    <t>CA0213611001</t>
  </si>
  <si>
    <t>NUT</t>
  </si>
  <si>
    <t>JTEKT CORP</t>
  </si>
  <si>
    <t>2.291.292</t>
  </si>
  <si>
    <t>2.291.292,44</t>
  </si>
  <si>
    <t>JP3292200007</t>
  </si>
  <si>
    <t>OAS</t>
  </si>
  <si>
    <t>ICAD</t>
  </si>
  <si>
    <t>ICADE REIT SA</t>
  </si>
  <si>
    <t>108,52</t>
  </si>
  <si>
    <t>2.277.471</t>
  </si>
  <si>
    <t>2.277.470,55</t>
  </si>
  <si>
    <t>FR0000035081</t>
  </si>
  <si>
    <t>PSV</t>
  </si>
  <si>
    <t>EPI B</t>
  </si>
  <si>
    <t>EPIROC CLASS B</t>
  </si>
  <si>
    <t>11,94</t>
  </si>
  <si>
    <t>2.265.982</t>
  </si>
  <si>
    <t>2.265.981,94</t>
  </si>
  <si>
    <t>SE0011166941</t>
  </si>
  <si>
    <t>UPL</t>
  </si>
  <si>
    <t>GFS</t>
  </si>
  <si>
    <t>G4S PLC</t>
  </si>
  <si>
    <t>2,65</t>
  </si>
  <si>
    <t>2.258.315</t>
  </si>
  <si>
    <t>2.258.314,77</t>
  </si>
  <si>
    <t>GB00B01FLG62</t>
  </si>
  <si>
    <t>VIS</t>
  </si>
  <si>
    <t>CAMECO CORP</t>
  </si>
  <si>
    <t>8,96</t>
  </si>
  <si>
    <t>2.257.129</t>
  </si>
  <si>
    <t>2.257.128,83</t>
  </si>
  <si>
    <t>CA13321L1085</t>
  </si>
  <si>
    <t>VUN</t>
  </si>
  <si>
    <t>G13</t>
  </si>
  <si>
    <t>GENTING SINGAPORE LTD</t>
  </si>
  <si>
    <t>3.252.540</t>
  </si>
  <si>
    <t>2.231.237</t>
  </si>
  <si>
    <t>2.231.236,65</t>
  </si>
  <si>
    <t>SGXE21576413</t>
  </si>
  <si>
    <t>WEA</t>
  </si>
  <si>
    <t>KEYERA CORP</t>
  </si>
  <si>
    <t>26,36</t>
  </si>
  <si>
    <t>2.231.146</t>
  </si>
  <si>
    <t>2.231.146,35</t>
  </si>
  <si>
    <t>CA4932711001</t>
  </si>
  <si>
    <t>NVE</t>
  </si>
  <si>
    <t>HIKARI TSUSHIN INC</t>
  </si>
  <si>
    <t>250,37</t>
  </si>
  <si>
    <t>2.228.249</t>
  </si>
  <si>
    <t>2.228.249,36</t>
  </si>
  <si>
    <t>JP3783420007</t>
  </si>
  <si>
    <t>J233</t>
  </si>
  <si>
    <t>AIR CANADA VOTING AND VARIABLE VOT</t>
  </si>
  <si>
    <t>39,00</t>
  </si>
  <si>
    <t>2.223.548</t>
  </si>
  <si>
    <t>2.223.547,87</t>
  </si>
  <si>
    <t>CA0089118776</t>
  </si>
  <si>
    <t>HAMAMATSU PHOTONICS</t>
  </si>
  <si>
    <t>41,35</t>
  </si>
  <si>
    <t>2.220.345</t>
  </si>
  <si>
    <t>2.220.345,02</t>
  </si>
  <si>
    <t>JP3771800004</t>
  </si>
  <si>
    <t>KEISEI ELECTRIC RAILWAY LTD</t>
  </si>
  <si>
    <t>39,48</t>
  </si>
  <si>
    <t>2.211.056</t>
  </si>
  <si>
    <t>2.211.055,59</t>
  </si>
  <si>
    <t>JP3278600006</t>
  </si>
  <si>
    <t>KONAMI HOLDINGS CORP</t>
  </si>
  <si>
    <t>40,85</t>
  </si>
  <si>
    <t>2.196.369</t>
  </si>
  <si>
    <t>2.196.368,88</t>
  </si>
  <si>
    <t>JP3300200007</t>
  </si>
  <si>
    <t>KEIHAN HOLDINGS LTD</t>
  </si>
  <si>
    <t>48,47</t>
  </si>
  <si>
    <t>2.180.464</t>
  </si>
  <si>
    <t>2.180.463,58</t>
  </si>
  <si>
    <t>JP3279400000</t>
  </si>
  <si>
    <t>ORIX JREIT REIT INC</t>
  </si>
  <si>
    <t>2.153,16</t>
  </si>
  <si>
    <t>2.172.537</t>
  </si>
  <si>
    <t>2.172.536,51</t>
  </si>
  <si>
    <t>JP3040880001</t>
  </si>
  <si>
    <t>CONCORDIA FINANCIAL GROUP LTD</t>
  </si>
  <si>
    <t>2.168.955</t>
  </si>
  <si>
    <t>2.168.954,91</t>
  </si>
  <si>
    <t>JP3305990008</t>
  </si>
  <si>
    <t>DAIFUKU LTD</t>
  </si>
  <si>
    <t>65,81</t>
  </si>
  <si>
    <t>2.158.525</t>
  </si>
  <si>
    <t>2.158.525,01</t>
  </si>
  <si>
    <t>JP3497400006</t>
  </si>
  <si>
    <t>PEPTIDREAM INC</t>
  </si>
  <si>
    <t>2.159.091</t>
  </si>
  <si>
    <t>2.159.090,91</t>
  </si>
  <si>
    <t>JP3836750004</t>
  </si>
  <si>
    <t>WYNN MACAU LTD</t>
  </si>
  <si>
    <t>2.156.139</t>
  </si>
  <si>
    <t>2.156.138,83</t>
  </si>
  <si>
    <t>KYG981491007</t>
  </si>
  <si>
    <t>ATC</t>
  </si>
  <si>
    <t>ALTICE EUROPE NV</t>
  </si>
  <si>
    <t>6,58</t>
  </si>
  <si>
    <t>2.139.172</t>
  </si>
  <si>
    <t>2.139.172,42</t>
  </si>
  <si>
    <t>NL0011333752</t>
  </si>
  <si>
    <t>TOHOKU ELECTRIC POWER INC</t>
  </si>
  <si>
    <t>9,47</t>
  </si>
  <si>
    <t>2.138.975</t>
  </si>
  <si>
    <t>2.138.975,41</t>
  </si>
  <si>
    <t>JP3605400005</t>
  </si>
  <si>
    <t>COCA-COLA AMATIL LTD</t>
  </si>
  <si>
    <t>8,04</t>
  </si>
  <si>
    <t>2.133.775</t>
  </si>
  <si>
    <t>2.133.774,95</t>
  </si>
  <si>
    <t>AU000000CCL2</t>
  </si>
  <si>
    <t>ATUS</t>
  </si>
  <si>
    <t>ALTICE USA INC CLASS A</t>
  </si>
  <si>
    <t>28,05</t>
  </si>
  <si>
    <t>2.132.221</t>
  </si>
  <si>
    <t>2.132.220,75</t>
  </si>
  <si>
    <t>US02156K1034</t>
  </si>
  <si>
    <t>J235</t>
  </si>
  <si>
    <t>KEIO CORP</t>
  </si>
  <si>
    <t>2.131.747</t>
  </si>
  <si>
    <t>2.131.746,99</t>
  </si>
  <si>
    <t>JP3277800003</t>
  </si>
  <si>
    <t>CIX</t>
  </si>
  <si>
    <t>CI FINANCIAL CORP</t>
  </si>
  <si>
    <t>17,62</t>
  </si>
  <si>
    <t>2.115.633</t>
  </si>
  <si>
    <t>2.115.633,45</t>
  </si>
  <si>
    <t>CA1254911003</t>
  </si>
  <si>
    <t>ALFRESA HOLDINGS CORP</t>
  </si>
  <si>
    <t>20,13</t>
  </si>
  <si>
    <t>2.115.138</t>
  </si>
  <si>
    <t>2.115.137,60</t>
  </si>
  <si>
    <t>JP3126340003</t>
  </si>
  <si>
    <t>DISCO CORP</t>
  </si>
  <si>
    <t>245,53</t>
  </si>
  <si>
    <t>2.111.537</t>
  </si>
  <si>
    <t>2.111.537,06</t>
  </si>
  <si>
    <t>JP3548600000</t>
  </si>
  <si>
    <t>J250</t>
  </si>
  <si>
    <t>SEK CASH</t>
  </si>
  <si>
    <t>10,53</t>
  </si>
  <si>
    <t>19.945.644</t>
  </si>
  <si>
    <t>2.100.304</t>
  </si>
  <si>
    <t>2.100.304,22</t>
  </si>
  <si>
    <t>SGRE</t>
  </si>
  <si>
    <t>SIEMENS GAMESA RENEWABLE ENERGY SA</t>
  </si>
  <si>
    <t>16,79</t>
  </si>
  <si>
    <t>2.092.559</t>
  </si>
  <si>
    <t>2.092.559,44</t>
  </si>
  <si>
    <t>ES0143416115</t>
  </si>
  <si>
    <t>EO</t>
  </si>
  <si>
    <t>FAURECIA</t>
  </si>
  <si>
    <t>53,08</t>
  </si>
  <si>
    <t>2.088.782</t>
  </si>
  <si>
    <t>2.088.781,52</t>
  </si>
  <si>
    <t>FR0000121147</t>
  </si>
  <si>
    <t>TEIJIN LTD</t>
  </si>
  <si>
    <t>18,31</t>
  </si>
  <si>
    <t>2.087.295</t>
  </si>
  <si>
    <t>2.087.294,63</t>
  </si>
  <si>
    <t>JP3544000007</t>
  </si>
  <si>
    <t>VOW</t>
  </si>
  <si>
    <t>VOLKSWAGEN AG</t>
  </si>
  <si>
    <t>203,49</t>
  </si>
  <si>
    <t>2.072.120</t>
  </si>
  <si>
    <t>2.072.120,19</t>
  </si>
  <si>
    <t>DE0007664005</t>
  </si>
  <si>
    <t>BUDWEISER BREWING COMPANY APAC LTD</t>
  </si>
  <si>
    <t>3,29</t>
  </si>
  <si>
    <t>2.071.226</t>
  </si>
  <si>
    <t>2.071.225,96</t>
  </si>
  <si>
    <t>KYG1674K1013</t>
  </si>
  <si>
    <t>EVK</t>
  </si>
  <si>
    <t>EVONIK INDUSTRIES AG</t>
  </si>
  <si>
    <t>29,62</t>
  </si>
  <si>
    <t>2.060.606</t>
  </si>
  <si>
    <t>2.060.606,38</t>
  </si>
  <si>
    <t>DE000EVNK013</t>
  </si>
  <si>
    <t>KBX</t>
  </si>
  <si>
    <t>KNORR BREMSE AG</t>
  </si>
  <si>
    <t>102,35</t>
  </si>
  <si>
    <t>2.058.263</t>
  </si>
  <si>
    <t>2.058.263,43</t>
  </si>
  <si>
    <t>DE000KBX1006</t>
  </si>
  <si>
    <t>JD.</t>
  </si>
  <si>
    <t>JD SPORTS FASHION PLC</t>
  </si>
  <si>
    <t>10,87</t>
  </si>
  <si>
    <t>2.058.019</t>
  </si>
  <si>
    <t>2.058.018,84</t>
  </si>
  <si>
    <t>GB00BYX91H57</t>
  </si>
  <si>
    <t>RYOHIN KEIKAKU LTD</t>
  </si>
  <si>
    <t>23,99</t>
  </si>
  <si>
    <t>2.052.076</t>
  </si>
  <si>
    <t>2.052.075,58</t>
  </si>
  <si>
    <t>JP3976300008</t>
  </si>
  <si>
    <t>V03</t>
  </si>
  <si>
    <t>VENTURE CORPORATION LTD</t>
  </si>
  <si>
    <t>12,24</t>
  </si>
  <si>
    <t>2.042.309</t>
  </si>
  <si>
    <t>2.042.309,40</t>
  </si>
  <si>
    <t>SG0531000230</t>
  </si>
  <si>
    <t>KOSE CORP</t>
  </si>
  <si>
    <t>160,55</t>
  </si>
  <si>
    <t>2.039.001</t>
  </si>
  <si>
    <t>2.039.001,46</t>
  </si>
  <si>
    <t>JP3283650004</t>
  </si>
  <si>
    <t>LUN</t>
  </si>
  <si>
    <t>LUNDIN MINING CORP</t>
  </si>
  <si>
    <t>5,90</t>
  </si>
  <si>
    <t>2.035.723</t>
  </si>
  <si>
    <t>2.035.722,71</t>
  </si>
  <si>
    <t>CA5503721063</t>
  </si>
  <si>
    <t>S</t>
  </si>
  <si>
    <t>SPRINT CORP</t>
  </si>
  <si>
    <t>4,88</t>
  </si>
  <si>
    <t>2.035.511</t>
  </si>
  <si>
    <t>2.035.511,44</t>
  </si>
  <si>
    <t>US85207U1051</t>
  </si>
  <si>
    <t>BLD</t>
  </si>
  <si>
    <t>BORAL LTD</t>
  </si>
  <si>
    <t>2.033.521</t>
  </si>
  <si>
    <t>2.033.520,73</t>
  </si>
  <si>
    <t>AU000000BLD2</t>
  </si>
  <si>
    <t>S68</t>
  </si>
  <si>
    <t>SINGAPORE EXCHANGE LTD</t>
  </si>
  <si>
    <t>6,52</t>
  </si>
  <si>
    <t>2.031.439</t>
  </si>
  <si>
    <t>2.031.439,14</t>
  </si>
  <si>
    <t>SG1J26887955</t>
  </si>
  <si>
    <t>VPK</t>
  </si>
  <si>
    <t>KONINKLIJKE VOPAK NV</t>
  </si>
  <si>
    <t>55,08</t>
  </si>
  <si>
    <t>2.028.982</t>
  </si>
  <si>
    <t>2.028.982,00</t>
  </si>
  <si>
    <t>NL0009432491</t>
  </si>
  <si>
    <t>BIM</t>
  </si>
  <si>
    <t>BIOMERIEUX SA</t>
  </si>
  <si>
    <t>2.023.258</t>
  </si>
  <si>
    <t>2.023.258,02</t>
  </si>
  <si>
    <t>FR0013280286</t>
  </si>
  <si>
    <t>NABTESCO CORP</t>
  </si>
  <si>
    <t>31,26</t>
  </si>
  <si>
    <t>2.022.363</t>
  </si>
  <si>
    <t>2.022.363,09</t>
  </si>
  <si>
    <t>JP3651210001</t>
  </si>
  <si>
    <t>CHEUNG KONG INFRASTRUCTURE HOLDING</t>
  </si>
  <si>
    <t>7,26</t>
  </si>
  <si>
    <t>2.018.811</t>
  </si>
  <si>
    <t>2.018.811,44</t>
  </si>
  <si>
    <t>BMG2178K1009</t>
  </si>
  <si>
    <t>AVEVA GROUP PLC</t>
  </si>
  <si>
    <t>61,96</t>
  </si>
  <si>
    <t>2.012.491</t>
  </si>
  <si>
    <t>2.012.490,67</t>
  </si>
  <si>
    <t>GB00BBG9VN75</t>
  </si>
  <si>
    <t>JAPAN POST BANK LTD</t>
  </si>
  <si>
    <t>9,45</t>
  </si>
  <si>
    <t>2.008.406</t>
  </si>
  <si>
    <t>2.008.406,35</t>
  </si>
  <si>
    <t>JP3946750001</t>
  </si>
  <si>
    <t>COTY</t>
  </si>
  <si>
    <t>COTY INC CLASS A</t>
  </si>
  <si>
    <t>10,60</t>
  </si>
  <si>
    <t>2.004.312</t>
  </si>
  <si>
    <t>2.004.311,60</t>
  </si>
  <si>
    <t>US2220702037</t>
  </si>
  <si>
    <t>ILD</t>
  </si>
  <si>
    <t>ILIAD SA</t>
  </si>
  <si>
    <t>131,53</t>
  </si>
  <si>
    <t>2.004.359</t>
  </si>
  <si>
    <t>2.004.359,34</t>
  </si>
  <si>
    <t>FR0004035913</t>
  </si>
  <si>
    <t>AM</t>
  </si>
  <si>
    <t>DASSAULT AVIATION SA</t>
  </si>
  <si>
    <t>1.242,48</t>
  </si>
  <si>
    <t>2.005.378</t>
  </si>
  <si>
    <t>2.005.377,73</t>
  </si>
  <si>
    <t>FR0000121725</t>
  </si>
  <si>
    <t>HINO MOTORS LTD</t>
  </si>
  <si>
    <t>10,49</t>
  </si>
  <si>
    <t>2.005.192</t>
  </si>
  <si>
    <t>2.005.191,68</t>
  </si>
  <si>
    <t>JP3792600003</t>
  </si>
  <si>
    <t>HOSHIZAKI CORP</t>
  </si>
  <si>
    <t>91,18</t>
  </si>
  <si>
    <t>2.006.024</t>
  </si>
  <si>
    <t>2.006.024,10</t>
  </si>
  <si>
    <t>JP3845770001</t>
  </si>
  <si>
    <t>ISS</t>
  </si>
  <si>
    <t>ISS A S</t>
  </si>
  <si>
    <t>24,69</t>
  </si>
  <si>
    <t>1.995.846</t>
  </si>
  <si>
    <t>1.995.846,14</t>
  </si>
  <si>
    <t>DK0060542181</t>
  </si>
  <si>
    <t>DUFN</t>
  </si>
  <si>
    <t>DUFRY AG</t>
  </si>
  <si>
    <t>98,64</t>
  </si>
  <si>
    <t>1.985.496</t>
  </si>
  <si>
    <t>1.985.496,02</t>
  </si>
  <si>
    <t>CH0023405456</t>
  </si>
  <si>
    <t>MZTF</t>
  </si>
  <si>
    <t>MIZRAHI TEFAHOT BANK LTD</t>
  </si>
  <si>
    <t>26,93</t>
  </si>
  <si>
    <t>1.980.898</t>
  </si>
  <si>
    <t>1.980.898,29</t>
  </si>
  <si>
    <t>IL0006954379</t>
  </si>
  <si>
    <t>HITACHI HIGH TECHNOLOGIES CORP</t>
  </si>
  <si>
    <t>72,29</t>
  </si>
  <si>
    <t>1.980.723</t>
  </si>
  <si>
    <t>1.980.722,89</t>
  </si>
  <si>
    <t>JP3678800008</t>
  </si>
  <si>
    <t>CHIBA BANK LTD</t>
  </si>
  <si>
    <t>5,80</t>
  </si>
  <si>
    <t>1.978.144</t>
  </si>
  <si>
    <t>1.978.144,40</t>
  </si>
  <si>
    <t>JP3511800009</t>
  </si>
  <si>
    <t>LUND B</t>
  </si>
  <si>
    <t>LUNDBERGFORETAGEN CLASS B</t>
  </si>
  <si>
    <t>44,12</t>
  </si>
  <si>
    <t>1.979.502</t>
  </si>
  <si>
    <t>1.979.501,50</t>
  </si>
  <si>
    <t>SE0000108847</t>
  </si>
  <si>
    <t>SQUARE ENIX HLDG LTD</t>
  </si>
  <si>
    <t>1.976.944</t>
  </si>
  <si>
    <t>1.976.944,14</t>
  </si>
  <si>
    <t>JP3164630000</t>
  </si>
  <si>
    <t>HSE</t>
  </si>
  <si>
    <t>HUSKY ENERGY INC</t>
  </si>
  <si>
    <t>7,84</t>
  </si>
  <si>
    <t>1.966.168</t>
  </si>
  <si>
    <t>1.966.168,14</t>
  </si>
  <si>
    <t>CA4480551031</t>
  </si>
  <si>
    <t>BOLLORE SA</t>
  </si>
  <si>
    <t>4,36</t>
  </si>
  <si>
    <t>1.966.294</t>
  </si>
  <si>
    <t>1.966.294,34</t>
  </si>
  <si>
    <t>FR0000039299</t>
  </si>
  <si>
    <t>NSK LTD</t>
  </si>
  <si>
    <t>9,36</t>
  </si>
  <si>
    <t>1.960.935</t>
  </si>
  <si>
    <t>1.960.934,65</t>
  </si>
  <si>
    <t>JP3720800006</t>
  </si>
  <si>
    <t>JAPAN AIRPORT TERMINAL LTD</t>
  </si>
  <si>
    <t>1.957.229</t>
  </si>
  <si>
    <t>1.957.228,92</t>
  </si>
  <si>
    <t>JP3699400002</t>
  </si>
  <si>
    <t>MEL</t>
  </si>
  <si>
    <t>MERIDIAN ENERGY LTD</t>
  </si>
  <si>
    <t>3,34</t>
  </si>
  <si>
    <t>1.944.475</t>
  </si>
  <si>
    <t>1.944.475,23</t>
  </si>
  <si>
    <t>NZMELE0002S7</t>
  </si>
  <si>
    <t>ASAHI INTECC LTD</t>
  </si>
  <si>
    <t>29,53</t>
  </si>
  <si>
    <t>1.942.890</t>
  </si>
  <si>
    <t>1.942.889,74</t>
  </si>
  <si>
    <t>JP3110650003</t>
  </si>
  <si>
    <t>ESLT</t>
  </si>
  <si>
    <t>ELBIT SYSTEMS LTD</t>
  </si>
  <si>
    <t>158,62</t>
  </si>
  <si>
    <t>1.932.935</t>
  </si>
  <si>
    <t>1.932.934,75</t>
  </si>
  <si>
    <t>IL0010811243</t>
  </si>
  <si>
    <t>ZOZO INC</t>
  </si>
  <si>
    <t>18,71</t>
  </si>
  <si>
    <t>1.929.126</t>
  </si>
  <si>
    <t>1.929.125,59</t>
  </si>
  <si>
    <t>JP3399310006</t>
  </si>
  <si>
    <t>SEEK LTD</t>
  </si>
  <si>
    <t>15,87</t>
  </si>
  <si>
    <t>1.920.955</t>
  </si>
  <si>
    <t>1.920.954,70</t>
  </si>
  <si>
    <t>AU000000SEK6</t>
  </si>
  <si>
    <t>AQN</t>
  </si>
  <si>
    <t>ALGONQUIN POWER UTILITIES CORP</t>
  </si>
  <si>
    <t>14,34</t>
  </si>
  <si>
    <t>1.913.734</t>
  </si>
  <si>
    <t>1.913.734,18</t>
  </si>
  <si>
    <t>CA0158571053</t>
  </si>
  <si>
    <t>NIPPON EXPRESS LTD</t>
  </si>
  <si>
    <t>58,05</t>
  </si>
  <si>
    <t>1.907.594</t>
  </si>
  <si>
    <t>1.907.593,65</t>
  </si>
  <si>
    <t>JP3729400006</t>
  </si>
  <si>
    <t>KEIKYU CORP</t>
  </si>
  <si>
    <t>19,19</t>
  </si>
  <si>
    <t>1.905.153</t>
  </si>
  <si>
    <t>1.905.153,34</t>
  </si>
  <si>
    <t>JP3280200001</t>
  </si>
  <si>
    <t>YAMADA DENKI LTD</t>
  </si>
  <si>
    <t>5,22</t>
  </si>
  <si>
    <t>1.905.622</t>
  </si>
  <si>
    <t>1.905.622,49</t>
  </si>
  <si>
    <t>JP3939000000</t>
  </si>
  <si>
    <t>FRA</t>
  </si>
  <si>
    <t>FRAPORT FRANKFURT AIRPORT SERVICES</t>
  </si>
  <si>
    <t>80,53</t>
  </si>
  <si>
    <t>1.904.175</t>
  </si>
  <si>
    <t>1.904.175,04</t>
  </si>
  <si>
    <t>DE0005773303</t>
  </si>
  <si>
    <t>PARKLAND FUEL CORP</t>
  </si>
  <si>
    <t>1.898.944</t>
  </si>
  <si>
    <t>1.898.943,65</t>
  </si>
  <si>
    <t>CA70137T1057</t>
  </si>
  <si>
    <t>ANA HOLDINGS INC</t>
  </si>
  <si>
    <t>32,75</t>
  </si>
  <si>
    <t>1.899.027</t>
  </si>
  <si>
    <t>1.899.026,62</t>
  </si>
  <si>
    <t>JP3429800000</t>
  </si>
  <si>
    <t>CONTINENTAL RESOURCES INC</t>
  </si>
  <si>
    <t>33,34</t>
  </si>
  <si>
    <t>1.895.346</t>
  </si>
  <si>
    <t>1.895.345,66</t>
  </si>
  <si>
    <t>US2120151012</t>
  </si>
  <si>
    <t>TITR</t>
  </si>
  <si>
    <t>TELECOM ITALIA SAVING</t>
  </si>
  <si>
    <t>0,57</t>
  </si>
  <si>
    <t>3.332.829</t>
  </si>
  <si>
    <t>1.893.454</t>
  </si>
  <si>
    <t>1.893.453,88</t>
  </si>
  <si>
    <t>IT0003497176</t>
  </si>
  <si>
    <t>WOR</t>
  </si>
  <si>
    <t>WORLEY LTD</t>
  </si>
  <si>
    <t>11,06</t>
  </si>
  <si>
    <t>1.888.138</t>
  </si>
  <si>
    <t>1.888.137,61</t>
  </si>
  <si>
    <t>AU000000WOR2</t>
  </si>
  <si>
    <t>ISETAN MITSUKOSHI HOLDINGS LTD</t>
  </si>
  <si>
    <t>9,15</t>
  </si>
  <si>
    <t>1.889.551</t>
  </si>
  <si>
    <t>1.889.550,93</t>
  </si>
  <si>
    <t>JP3894900004</t>
  </si>
  <si>
    <t>PINS</t>
  </si>
  <si>
    <t>PINTEREST INC CLASS A</t>
  </si>
  <si>
    <t>19,78</t>
  </si>
  <si>
    <t>1.887.882</t>
  </si>
  <si>
    <t>1.887.882,32</t>
  </si>
  <si>
    <t>US72352L1061</t>
  </si>
  <si>
    <t>EMP.A</t>
  </si>
  <si>
    <t>EMPIRE LTD CLASS A</t>
  </si>
  <si>
    <t>23,41</t>
  </si>
  <si>
    <t>1.876.473</t>
  </si>
  <si>
    <t>1.876.472,74</t>
  </si>
  <si>
    <t>CA2918434077</t>
  </si>
  <si>
    <t>TNET</t>
  </si>
  <si>
    <t>TELENET GROUP HOLDING NV</t>
  </si>
  <si>
    <t>44,70</t>
  </si>
  <si>
    <t>1.872.465</t>
  </si>
  <si>
    <t>1.872.464,74</t>
  </si>
  <si>
    <t>BE0003826436</t>
  </si>
  <si>
    <t>RYM</t>
  </si>
  <si>
    <t>RYMAN HEALTHCARE LTD</t>
  </si>
  <si>
    <t>10,82</t>
  </si>
  <si>
    <t>1.872.489</t>
  </si>
  <si>
    <t>1.872.489,05</t>
  </si>
  <si>
    <t>NZRYME0001S4</t>
  </si>
  <si>
    <t>SHIZUOKA BANK LTD</t>
  </si>
  <si>
    <t>7,30</t>
  </si>
  <si>
    <t>1.857.612</t>
  </si>
  <si>
    <t>1.857.612,27</t>
  </si>
  <si>
    <t>JP3351200005</t>
  </si>
  <si>
    <t>AKERBP</t>
  </si>
  <si>
    <t>AKER BP</t>
  </si>
  <si>
    <t>33,02</t>
  </si>
  <si>
    <t>1.856.212</t>
  </si>
  <si>
    <t>1.856.212,17</t>
  </si>
  <si>
    <t>NO0010345853</t>
  </si>
  <si>
    <t>OJI HOLDINGS CORP</t>
  </si>
  <si>
    <t>5,45</t>
  </si>
  <si>
    <t>1.857.043</t>
  </si>
  <si>
    <t>1.857.042,72</t>
  </si>
  <si>
    <t>JP3174410005</t>
  </si>
  <si>
    <t>DAIWA HOUSE REIT CORP</t>
  </si>
  <si>
    <t>2.551,11</t>
  </si>
  <si>
    <t>1.857.211</t>
  </si>
  <si>
    <t>1.857.210,66</t>
  </si>
  <si>
    <t>JP3046390005</t>
  </si>
  <si>
    <t>FPE3</t>
  </si>
  <si>
    <t>FUCHS PETROLUB PREF</t>
  </si>
  <si>
    <t>1.854.220</t>
  </si>
  <si>
    <t>1.854.220,24</t>
  </si>
  <si>
    <t>DE0005790430</t>
  </si>
  <si>
    <t>KYUSHU ELECTRIC POWER INC</t>
  </si>
  <si>
    <t>1.843.105</t>
  </si>
  <si>
    <t>1.843.104,84</t>
  </si>
  <si>
    <t>JP3246400000</t>
  </si>
  <si>
    <t>YOKOHAMA RUBBER LTD</t>
  </si>
  <si>
    <t>18,86</t>
  </si>
  <si>
    <t>1.827.267</t>
  </si>
  <si>
    <t>1.827.267,25</t>
  </si>
  <si>
    <t>JP3955800002</t>
  </si>
  <si>
    <t>C09</t>
  </si>
  <si>
    <t>CITY DEVELOPMENTS LTD</t>
  </si>
  <si>
    <t>8,42</t>
  </si>
  <si>
    <t>1.826.530</t>
  </si>
  <si>
    <t>1.826.530,29</t>
  </si>
  <si>
    <t>SG1R89002252</t>
  </si>
  <si>
    <t>REA</t>
  </si>
  <si>
    <t>REA GROUP LTD</t>
  </si>
  <si>
    <t>74,90</t>
  </si>
  <si>
    <t>1.815.579</t>
  </si>
  <si>
    <t>1.815.579,46</t>
  </si>
  <si>
    <t>AU000000REA9</t>
  </si>
  <si>
    <t>INDU C</t>
  </si>
  <si>
    <t>INDUSTRIVARDEN SERIES</t>
  </si>
  <si>
    <t>24,00</t>
  </si>
  <si>
    <t>1.809.679</t>
  </si>
  <si>
    <t>1.809.679,42</t>
  </si>
  <si>
    <t>SE0000107203</t>
  </si>
  <si>
    <t>WEIR</t>
  </si>
  <si>
    <t>WEIR GROUP PLC</t>
  </si>
  <si>
    <t>19,20</t>
  </si>
  <si>
    <t>1.810.882</t>
  </si>
  <si>
    <t>1.810.881,95</t>
  </si>
  <si>
    <t>GB0009465807</t>
  </si>
  <si>
    <t>ITOCHU TECHNO-SOLUTIONS CORP</t>
  </si>
  <si>
    <t>29,85</t>
  </si>
  <si>
    <t>1.811.692</t>
  </si>
  <si>
    <t>1.811.692,22</t>
  </si>
  <si>
    <t>JP3143900003</t>
  </si>
  <si>
    <t>MX</t>
  </si>
  <si>
    <t>METHANEX CORP</t>
  </si>
  <si>
    <t>38,40</t>
  </si>
  <si>
    <t>1.803.037</t>
  </si>
  <si>
    <t>1.803.037,38</t>
  </si>
  <si>
    <t>CA59151K1084</t>
  </si>
  <si>
    <t>ICA</t>
  </si>
  <si>
    <t>ICA GRUPPEN</t>
  </si>
  <si>
    <t>44,58</t>
  </si>
  <si>
    <t>1.803.938</t>
  </si>
  <si>
    <t>1.803.938,00</t>
  </si>
  <si>
    <t>SE0000652216</t>
  </si>
  <si>
    <t>LHA</t>
  </si>
  <si>
    <t>DEUTSCHE LUFTHANSA AG</t>
  </si>
  <si>
    <t>17,58</t>
  </si>
  <si>
    <t>1.801.540</t>
  </si>
  <si>
    <t>1.801.540,03</t>
  </si>
  <si>
    <t>DE0008232125</t>
  </si>
  <si>
    <t>SUMCO CORP</t>
  </si>
  <si>
    <t>17,17</t>
  </si>
  <si>
    <t>1.799.277</t>
  </si>
  <si>
    <t>1.799.277,11</t>
  </si>
  <si>
    <t>JP3322930003</t>
  </si>
  <si>
    <t>HVN</t>
  </si>
  <si>
    <t>HARVEY NORMAN HOLDINGS LTD</t>
  </si>
  <si>
    <t>3,05</t>
  </si>
  <si>
    <t>1.796.922</t>
  </si>
  <si>
    <t>1.796.921,64</t>
  </si>
  <si>
    <t>AU000000HVN7</t>
  </si>
  <si>
    <t>TOPPAN PRINTING LTD</t>
  </si>
  <si>
    <t>20,66</t>
  </si>
  <si>
    <t>1.795.950</t>
  </si>
  <si>
    <t>1.795.949,62</t>
  </si>
  <si>
    <t>JP3629000005</t>
  </si>
  <si>
    <t>WEED</t>
  </si>
  <si>
    <t>CANOPY GROWTH CORP</t>
  </si>
  <si>
    <t>20,54</t>
  </si>
  <si>
    <t>1.780.144</t>
  </si>
  <si>
    <t>1.780.143,74</t>
  </si>
  <si>
    <t>CA1380351009</t>
  </si>
  <si>
    <t>HR.UN</t>
  </si>
  <si>
    <t>HANDR REAL ESTATE INVESTMENT TRUST</t>
  </si>
  <si>
    <t>16,07</t>
  </si>
  <si>
    <t>1.768.065</t>
  </si>
  <si>
    <t>1.768.065,13</t>
  </si>
  <si>
    <t>CA4039254079</t>
  </si>
  <si>
    <t>UHAL</t>
  </si>
  <si>
    <t>AMERCO</t>
  </si>
  <si>
    <t>377,18</t>
  </si>
  <si>
    <t>1.766.711</t>
  </si>
  <si>
    <t>1.766.711,12</t>
  </si>
  <si>
    <t>US0235861004</t>
  </si>
  <si>
    <t>WTC</t>
  </si>
  <si>
    <t>WISETECHGLOBAL PTY LTD</t>
  </si>
  <si>
    <t>16,95</t>
  </si>
  <si>
    <t>1.758.480</t>
  </si>
  <si>
    <t>1.758.479,54</t>
  </si>
  <si>
    <t>AU000000WTC3</t>
  </si>
  <si>
    <t>SEIBU HOLDINGS INC</t>
  </si>
  <si>
    <t>1.755.964</t>
  </si>
  <si>
    <t>1.755.963,93</t>
  </si>
  <si>
    <t>JP3417200007</t>
  </si>
  <si>
    <t>ERIE</t>
  </si>
  <si>
    <t>ERIE INDEMNITY CLASS A</t>
  </si>
  <si>
    <t>164,58</t>
  </si>
  <si>
    <t>1.756.562</t>
  </si>
  <si>
    <t>1.756.562,34</t>
  </si>
  <si>
    <t>US29530P1021</t>
  </si>
  <si>
    <t>TRIP</t>
  </si>
  <si>
    <t>TRIPADVISOR INC</t>
  </si>
  <si>
    <t>30,12</t>
  </si>
  <si>
    <t>1.753.376</t>
  </si>
  <si>
    <t>1.753.375,56</t>
  </si>
  <si>
    <t>US8969452015</t>
  </si>
  <si>
    <t>INCITEC PIVOT LTD</t>
  </si>
  <si>
    <t>2,24</t>
  </si>
  <si>
    <t>1.745.573</t>
  </si>
  <si>
    <t>1.745.573,15</t>
  </si>
  <si>
    <t>AU000000IPL1</t>
  </si>
  <si>
    <t>SCHB</t>
  </si>
  <si>
    <t>SCHIBSTED B</t>
  </si>
  <si>
    <t>29,08</t>
  </si>
  <si>
    <t>1.736.539</t>
  </si>
  <si>
    <t>1.736.538,50</t>
  </si>
  <si>
    <t>NO0010736879</t>
  </si>
  <si>
    <t>VOE</t>
  </si>
  <si>
    <t>VOESTALPINE AG</t>
  </si>
  <si>
    <t>27,39</t>
  </si>
  <si>
    <t>1.733.925</t>
  </si>
  <si>
    <t>1.733.925,05</t>
  </si>
  <si>
    <t>AT0000937503</t>
  </si>
  <si>
    <t>BMW3</t>
  </si>
  <si>
    <t>BMW PREF AG</t>
  </si>
  <si>
    <t>63,12</t>
  </si>
  <si>
    <t>1.704.808</t>
  </si>
  <si>
    <t>1.704.808,23</t>
  </si>
  <si>
    <t>DE0005190037</t>
  </si>
  <si>
    <t>ENG</t>
  </si>
  <si>
    <t>ENAGAS SA</t>
  </si>
  <si>
    <t>25,52</t>
  </si>
  <si>
    <t>1.697.772</t>
  </si>
  <si>
    <t>1.697.772,23</t>
  </si>
  <si>
    <t>ES0130960018</t>
  </si>
  <si>
    <t>COLR</t>
  </si>
  <si>
    <t>ETABLISSEMENTEN FRANZ COLRUYT NV</t>
  </si>
  <si>
    <t>1.685.598</t>
  </si>
  <si>
    <t>1.685.597,85</t>
  </si>
  <si>
    <t>BE0974256852</t>
  </si>
  <si>
    <t>HK ELECTRIC INVESTMENTS UNITS LTD</t>
  </si>
  <si>
    <t>1,02</t>
  </si>
  <si>
    <t>1.654.500</t>
  </si>
  <si>
    <t>1.685.059</t>
  </si>
  <si>
    <t>1.685.059,00</t>
  </si>
  <si>
    <t>HK0000179108</t>
  </si>
  <si>
    <t>HKD CASH</t>
  </si>
  <si>
    <t>12,88</t>
  </si>
  <si>
    <t>12.911.618</t>
  </si>
  <si>
    <t>1.662.465</t>
  </si>
  <si>
    <t>1.662.465,07</t>
  </si>
  <si>
    <t>UAA</t>
  </si>
  <si>
    <t>UNDER ARMOUR INC CLASS A</t>
  </si>
  <si>
    <t>19,77</t>
  </si>
  <si>
    <t>1.654.156</t>
  </si>
  <si>
    <t>1.654.155,90</t>
  </si>
  <si>
    <t>US9043111072</t>
  </si>
  <si>
    <t>IPN</t>
  </si>
  <si>
    <t>IPSEN SA</t>
  </si>
  <si>
    <t>86,24</t>
  </si>
  <si>
    <t>1.651.338</t>
  </si>
  <si>
    <t>1.651.338,07</t>
  </si>
  <si>
    <t>FR0010259150</t>
  </si>
  <si>
    <t>DKK CASH</t>
  </si>
  <si>
    <t>14,87</t>
  </si>
  <si>
    <t>11.085.314</t>
  </si>
  <si>
    <t>1.648.533</t>
  </si>
  <si>
    <t>1.648.533,18</t>
  </si>
  <si>
    <t>S58</t>
  </si>
  <si>
    <t>SATS LTD</t>
  </si>
  <si>
    <t>3,78</t>
  </si>
  <si>
    <t>1.636.206</t>
  </si>
  <si>
    <t>1.636.205,87</t>
  </si>
  <si>
    <t>SG1I52882764</t>
  </si>
  <si>
    <t>LSXMA</t>
  </si>
  <si>
    <t>47,60</t>
  </si>
  <si>
    <t>1.621.018</t>
  </si>
  <si>
    <t>1.621.018,00</t>
  </si>
  <si>
    <t>US5312294094</t>
  </si>
  <si>
    <t>KYUSHU RAILWAY</t>
  </si>
  <si>
    <t>33,27</t>
  </si>
  <si>
    <t>1.603.587</t>
  </si>
  <si>
    <t>1.603.587,08</t>
  </si>
  <si>
    <t>JP3247010006</t>
  </si>
  <si>
    <t>SGD CASH</t>
  </si>
  <si>
    <t>74,16</t>
  </si>
  <si>
    <t>2.163.508</t>
  </si>
  <si>
    <t>1.604.500</t>
  </si>
  <si>
    <t>1.604.500,22</t>
  </si>
  <si>
    <t>CWN</t>
  </si>
  <si>
    <t>CROWN RESORTS LTD</t>
  </si>
  <si>
    <t>8,53</t>
  </si>
  <si>
    <t>1.601.571</t>
  </si>
  <si>
    <t>1.601.570,69</t>
  </si>
  <si>
    <t>AU000000CWN6</t>
  </si>
  <si>
    <t>BB</t>
  </si>
  <si>
    <t>BLACKBERRY LTD</t>
  </si>
  <si>
    <t>6,57</t>
  </si>
  <si>
    <t>1.601.421</t>
  </si>
  <si>
    <t>1.601.420,87</t>
  </si>
  <si>
    <t>CA09228F1036</t>
  </si>
  <si>
    <t>ACO.X</t>
  </si>
  <si>
    <t>ATCO LTD CLASS I</t>
  </si>
  <si>
    <t>38,36</t>
  </si>
  <si>
    <t>1.595.803</t>
  </si>
  <si>
    <t>1.595.802,62</t>
  </si>
  <si>
    <t>CA0467894006</t>
  </si>
  <si>
    <t>MEDIPAL HOLDINGS CORP</t>
  </si>
  <si>
    <t>22,18</t>
  </si>
  <si>
    <t>1.591.898</t>
  </si>
  <si>
    <t>1.591.898,41</t>
  </si>
  <si>
    <t>JP3268950007</t>
  </si>
  <si>
    <t>SWIRE PACIFIC LTD A</t>
  </si>
  <si>
    <t>9,35</t>
  </si>
  <si>
    <t>1.588.197</t>
  </si>
  <si>
    <t>1.588.197,15</t>
  </si>
  <si>
    <t>HK0019000162</t>
  </si>
  <si>
    <t>BS6</t>
  </si>
  <si>
    <t>YANGZIJIANG SHIPBUILDING HOLDINGS</t>
  </si>
  <si>
    <t>0,87</t>
  </si>
  <si>
    <t>1.824.400</t>
  </si>
  <si>
    <t>1.583.023</t>
  </si>
  <si>
    <t>1.583.022,84</t>
  </si>
  <si>
    <t>SG1U76934819</t>
  </si>
  <si>
    <t>CGF</t>
  </si>
  <si>
    <t>CHALLENGER LTD</t>
  </si>
  <si>
    <t>5,76</t>
  </si>
  <si>
    <t>1.578.213</t>
  </si>
  <si>
    <t>1.578.213,05</t>
  </si>
  <si>
    <t>AU000000CGF5</t>
  </si>
  <si>
    <t>ABC MART INC</t>
  </si>
  <si>
    <t>64,80</t>
  </si>
  <si>
    <t>1.580.392</t>
  </si>
  <si>
    <t>1.580.391,57</t>
  </si>
  <si>
    <t>JP3152740001</t>
  </si>
  <si>
    <t>WFT</t>
  </si>
  <si>
    <t>WEST FRASER TIMBER LTD</t>
  </si>
  <si>
    <t>1.569.478</t>
  </si>
  <si>
    <t>1.569.478,13</t>
  </si>
  <si>
    <t>CA9528451052</t>
  </si>
  <si>
    <t>SK</t>
  </si>
  <si>
    <t>SEB SA</t>
  </si>
  <si>
    <t>154,48</t>
  </si>
  <si>
    <t>1.560.533</t>
  </si>
  <si>
    <t>1.560.533,22</t>
  </si>
  <si>
    <t>FR0000121709</t>
  </si>
  <si>
    <t>GMO PAYMENT GATEWAY INC</t>
  </si>
  <si>
    <t>72,20</t>
  </si>
  <si>
    <t>1.559.474</t>
  </si>
  <si>
    <t>1.559.474,26</t>
  </si>
  <si>
    <t>JP3385890003</t>
  </si>
  <si>
    <t>TOYO SUISAN LTD</t>
  </si>
  <si>
    <t>41,85</t>
  </si>
  <si>
    <t>1.556.791</t>
  </si>
  <si>
    <t>1.556.790,80</t>
  </si>
  <si>
    <t>JP3613000003</t>
  </si>
  <si>
    <t>SHARP CORP</t>
  </si>
  <si>
    <t>15,83</t>
  </si>
  <si>
    <t>1.555.789</t>
  </si>
  <si>
    <t>1.555.788,61</t>
  </si>
  <si>
    <t>JP3359600008</t>
  </si>
  <si>
    <t>TRYG</t>
  </si>
  <si>
    <t>29,61</t>
  </si>
  <si>
    <t>1.539.777</t>
  </si>
  <si>
    <t>1.539.776,54</t>
  </si>
  <si>
    <t>DK0060636678</t>
  </si>
  <si>
    <t>OTSUKA CORP</t>
  </si>
  <si>
    <t>41,12</t>
  </si>
  <si>
    <t>1.541.388</t>
  </si>
  <si>
    <t>1.541.387,64</t>
  </si>
  <si>
    <t>JP3188200004</t>
  </si>
  <si>
    <t>EZJ</t>
  </si>
  <si>
    <t>EASYJET PLC</t>
  </si>
  <si>
    <t>19,58</t>
  </si>
  <si>
    <t>1.537.710</t>
  </si>
  <si>
    <t>1.537.710,04</t>
  </si>
  <si>
    <t>GB00B7KR2P84</t>
  </si>
  <si>
    <t>DAICEL CORP</t>
  </si>
  <si>
    <t>1.527.388</t>
  </si>
  <si>
    <t>1.527.387,73</t>
  </si>
  <si>
    <t>JP3485800001</t>
  </si>
  <si>
    <t>EURAZEO</t>
  </si>
  <si>
    <t>66,40</t>
  </si>
  <si>
    <t>1.526.609</t>
  </si>
  <si>
    <t>1.526.608,71</t>
  </si>
  <si>
    <t>FR0000121121</t>
  </si>
  <si>
    <t>U14</t>
  </si>
  <si>
    <t>UOL GROUP LTD</t>
  </si>
  <si>
    <t>6,27</t>
  </si>
  <si>
    <t>1.522.166</t>
  </si>
  <si>
    <t>1.522.165,60</t>
  </si>
  <si>
    <t>SG1S83002349</t>
  </si>
  <si>
    <t>REI.UN</t>
  </si>
  <si>
    <t>RIOCAN REAL ESTATE INVESTMENT TRUS</t>
  </si>
  <si>
    <t>20,52</t>
  </si>
  <si>
    <t>1.514.630</t>
  </si>
  <si>
    <t>1.514.629,94</t>
  </si>
  <si>
    <t>CA7669101031</t>
  </si>
  <si>
    <t>JAPAN AIRLINES LTD</t>
  </si>
  <si>
    <t>31,33</t>
  </si>
  <si>
    <t>1.512.417</t>
  </si>
  <si>
    <t>1.512.416,87</t>
  </si>
  <si>
    <t>JP3705200008</t>
  </si>
  <si>
    <t>KOBAYASHI PHARMACEUTICAL LTD</t>
  </si>
  <si>
    <t>84,06</t>
  </si>
  <si>
    <t>1.496.331</t>
  </si>
  <si>
    <t>1.496.330,78</t>
  </si>
  <si>
    <t>JP3301100008</t>
  </si>
  <si>
    <t>IGM</t>
  </si>
  <si>
    <t>IGM FINANCIAL INC</t>
  </si>
  <si>
    <t>1.493.572</t>
  </si>
  <si>
    <t>1.493.571,82</t>
  </si>
  <si>
    <t>CA4495861060</t>
  </si>
  <si>
    <t>UA</t>
  </si>
  <si>
    <t>UNDER ARMOUR INC CLASS C</t>
  </si>
  <si>
    <t>17,77</t>
  </si>
  <si>
    <t>1.488.611</t>
  </si>
  <si>
    <t>1.488.610,67</t>
  </si>
  <si>
    <t>US9043112062</t>
  </si>
  <si>
    <t>AZRG</t>
  </si>
  <si>
    <t>AZRIELI GROUP LTD</t>
  </si>
  <si>
    <t>74,00</t>
  </si>
  <si>
    <t>1.490.493</t>
  </si>
  <si>
    <t>1.490.492,89</t>
  </si>
  <si>
    <t>IL0011194789</t>
  </si>
  <si>
    <t>CHF CASH</t>
  </si>
  <si>
    <t>102,75</t>
  </si>
  <si>
    <t>1.446.086</t>
  </si>
  <si>
    <t>1.485.832</t>
  </si>
  <si>
    <t>1.485.832,26</t>
  </si>
  <si>
    <t>SWIRE PROPERTIES LTD</t>
  </si>
  <si>
    <t>3,32</t>
  </si>
  <si>
    <t>1.469.430</t>
  </si>
  <si>
    <t>1.469.429,80</t>
  </si>
  <si>
    <t>HK0000063609</t>
  </si>
  <si>
    <t>A5G</t>
  </si>
  <si>
    <t>AIB GROUP</t>
  </si>
  <si>
    <t>3,45</t>
  </si>
  <si>
    <t>1.469.912</t>
  </si>
  <si>
    <t>1.469.911,66</t>
  </si>
  <si>
    <t>IE00BF0L3536</t>
  </si>
  <si>
    <t>MAPFRE SA</t>
  </si>
  <si>
    <t>2,67</t>
  </si>
  <si>
    <t>1.452.360</t>
  </si>
  <si>
    <t>1.452.360,19</t>
  </si>
  <si>
    <t>ES0124244E34</t>
  </si>
  <si>
    <t>TYRES</t>
  </si>
  <si>
    <t>NOKIAN RENKAAT</t>
  </si>
  <si>
    <t>29,37</t>
  </si>
  <si>
    <t>1.442.536</t>
  </si>
  <si>
    <t>1.442.536,45</t>
  </si>
  <si>
    <t>FI0009005318</t>
  </si>
  <si>
    <t>MITSUBISHI UFJ LEASE &amp; FINANCE LTD</t>
  </si>
  <si>
    <t>6,48</t>
  </si>
  <si>
    <t>1.427.647</t>
  </si>
  <si>
    <t>1.427.646,95</t>
  </si>
  <si>
    <t>JP3499800005</t>
  </si>
  <si>
    <t>BENDIGO AND ADELAIDE BANK LTD</t>
  </si>
  <si>
    <t>6,95</t>
  </si>
  <si>
    <t>1.429.243</t>
  </si>
  <si>
    <t>1.429.243,29</t>
  </si>
  <si>
    <t>AU000000BEN6</t>
  </si>
  <si>
    <t>MITSUBISHI MOTORS CORP</t>
  </si>
  <si>
    <t>4,12</t>
  </si>
  <si>
    <t>1.426.891</t>
  </si>
  <si>
    <t>1.426.890,56</t>
  </si>
  <si>
    <t>JP3899800001</t>
  </si>
  <si>
    <t>C6L</t>
  </si>
  <si>
    <t>SINGAPORE AIRLINES LTD</t>
  </si>
  <si>
    <t>6,64</t>
  </si>
  <si>
    <t>1.422.296</t>
  </si>
  <si>
    <t>1.422.295,98</t>
  </si>
  <si>
    <t>SG1V61937297</t>
  </si>
  <si>
    <t>HOT</t>
  </si>
  <si>
    <t>HOCHTIEF AG</t>
  </si>
  <si>
    <t>126,92</t>
  </si>
  <si>
    <t>1.415.115</t>
  </si>
  <si>
    <t>1.415.115,30</t>
  </si>
  <si>
    <t>DE0006070006</t>
  </si>
  <si>
    <t>PCCW LTD</t>
  </si>
  <si>
    <t>2.310.000</t>
  </si>
  <si>
    <t>1.409.815</t>
  </si>
  <si>
    <t>1.409.815,17</t>
  </si>
  <si>
    <t>HK0008011667</t>
  </si>
  <si>
    <t>YUE YUEN INDUSTRIAL (HOLDINGS) LTD</t>
  </si>
  <si>
    <t>1.405.862</t>
  </si>
  <si>
    <t>1.405.862,32</t>
  </si>
  <si>
    <t>BMG988031446</t>
  </si>
  <si>
    <t>TAISHO PHARMACEUTICAL HOLDINGS LTD</t>
  </si>
  <si>
    <t>73,84</t>
  </si>
  <si>
    <t>1.403.714</t>
  </si>
  <si>
    <t>1.403.713,95</t>
  </si>
  <si>
    <t>JP3442850008</t>
  </si>
  <si>
    <t>RCO</t>
  </si>
  <si>
    <t>REMY COINTREAU SA</t>
  </si>
  <si>
    <t>122,91</t>
  </si>
  <si>
    <t>1.400.743</t>
  </si>
  <si>
    <t>1.400.742,87</t>
  </si>
  <si>
    <t>FR0000130395</t>
  </si>
  <si>
    <t>H LUNDBECK</t>
  </si>
  <si>
    <t>38,28</t>
  </si>
  <si>
    <t>1.398.324</t>
  </si>
  <si>
    <t>1.398.324,30</t>
  </si>
  <si>
    <t>DK0010287234</t>
  </si>
  <si>
    <t>J253</t>
  </si>
  <si>
    <t>WLK</t>
  </si>
  <si>
    <t>WESTLAKE CHEMICAL CORP</t>
  </si>
  <si>
    <t>67,69</t>
  </si>
  <si>
    <t>1.394.008</t>
  </si>
  <si>
    <t>1.394.007,86</t>
  </si>
  <si>
    <t>US9604131022</t>
  </si>
  <si>
    <t>MONOTARO LTD</t>
  </si>
  <si>
    <t>26,35</t>
  </si>
  <si>
    <t>1.386.055</t>
  </si>
  <si>
    <t>1.386.055,13</t>
  </si>
  <si>
    <t>JP3922950005</t>
  </si>
  <si>
    <t>LINE CORP</t>
  </si>
  <si>
    <t>49,11</t>
  </si>
  <si>
    <t>1.384.775</t>
  </si>
  <si>
    <t>1.384.775,47</t>
  </si>
  <si>
    <t>JP3966750006</t>
  </si>
  <si>
    <t>CNP ASSURANCES SA</t>
  </si>
  <si>
    <t>19,37</t>
  </si>
  <si>
    <t>1.372.733</t>
  </si>
  <si>
    <t>1.372.733,27</t>
  </si>
  <si>
    <t>FR0000120222</t>
  </si>
  <si>
    <t>BKIA</t>
  </si>
  <si>
    <t>BANKIA SA</t>
  </si>
  <si>
    <t>2,01</t>
  </si>
  <si>
    <t>1.372.637</t>
  </si>
  <si>
    <t>1.372.637,48</t>
  </si>
  <si>
    <t>ES0113307062</t>
  </si>
  <si>
    <t>C52</t>
  </si>
  <si>
    <t>COMFORTDELGRO CORPORATION LTD</t>
  </si>
  <si>
    <t>1,68</t>
  </si>
  <si>
    <t>1.365.805</t>
  </si>
  <si>
    <t>1.365.804,66</t>
  </si>
  <si>
    <t>SG1N31909426</t>
  </si>
  <si>
    <t>ORACLE JAPAN CORP</t>
  </si>
  <si>
    <t>90,73</t>
  </si>
  <si>
    <t>1.362.259</t>
  </si>
  <si>
    <t>1.362.259,04</t>
  </si>
  <si>
    <t>JP3689500001</t>
  </si>
  <si>
    <t>KONICA MINOLTA INC</t>
  </si>
  <si>
    <t>1.353.576</t>
  </si>
  <si>
    <t>1.353.576,12</t>
  </si>
  <si>
    <t>JP3300600008</t>
  </si>
  <si>
    <t>AOZORA BANK LTD</t>
  </si>
  <si>
    <t>26,76</t>
  </si>
  <si>
    <t>1.345.305</t>
  </si>
  <si>
    <t>1.345.305,22</t>
  </si>
  <si>
    <t>JP3711200000</t>
  </si>
  <si>
    <t>FCR.UN</t>
  </si>
  <si>
    <t>FIRST CAPITAL REALTY REAL ESTATE I</t>
  </si>
  <si>
    <t>15,48</t>
  </si>
  <si>
    <t>1.342.426</t>
  </si>
  <si>
    <t>1.342.425,93</t>
  </si>
  <si>
    <t>CA31890B1031</t>
  </si>
  <si>
    <t>SRU.UN</t>
  </si>
  <si>
    <t>SMARTCENTRES RL ESTATE INVESTMENT</t>
  </si>
  <si>
    <t>1.343.392</t>
  </si>
  <si>
    <t>1.343.392,48</t>
  </si>
  <si>
    <t>CA83179X1087</t>
  </si>
  <si>
    <t>PSK</t>
  </si>
  <si>
    <t>PRAIRIESKY ROYALTY LTD</t>
  </si>
  <si>
    <t>11,88</t>
  </si>
  <si>
    <t>1.340.804</t>
  </si>
  <si>
    <t>1.340.803,74</t>
  </si>
  <si>
    <t>CA7397211086</t>
  </si>
  <si>
    <t>FUJI ELECTRIC LTD</t>
  </si>
  <si>
    <t>30,49</t>
  </si>
  <si>
    <t>1.335.268</t>
  </si>
  <si>
    <t>1.335.268,35</t>
  </si>
  <si>
    <t>JP3820000002</t>
  </si>
  <si>
    <t>DEC</t>
  </si>
  <si>
    <t>JCDECAUX SA</t>
  </si>
  <si>
    <t>29,58</t>
  </si>
  <si>
    <t>1.327.647</t>
  </si>
  <si>
    <t>1.327.647,32</t>
  </si>
  <si>
    <t>FR0000077919</t>
  </si>
  <si>
    <t>PIGEON CORP</t>
  </si>
  <si>
    <t>38,20</t>
  </si>
  <si>
    <t>1.329.299</t>
  </si>
  <si>
    <t>1.329.299,01</t>
  </si>
  <si>
    <t>JP3801600002</t>
  </si>
  <si>
    <t>DBX</t>
  </si>
  <si>
    <t>DROPBOX INC CLASS A</t>
  </si>
  <si>
    <t>17,82</t>
  </si>
  <si>
    <t>1.329.140</t>
  </si>
  <si>
    <t>1.329.140,34</t>
  </si>
  <si>
    <t>US26210C1045</t>
  </si>
  <si>
    <t>CYBER AGENT INC</t>
  </si>
  <si>
    <t>35,69</t>
  </si>
  <si>
    <t>1.320.464</t>
  </si>
  <si>
    <t>1.320.463,67</t>
  </si>
  <si>
    <t>JP3311400000</t>
  </si>
  <si>
    <t>SANKYO LTD</t>
  </si>
  <si>
    <t>33,63</t>
  </si>
  <si>
    <t>1.313.294</t>
  </si>
  <si>
    <t>1.313.294,18</t>
  </si>
  <si>
    <t>JP3326410002</t>
  </si>
  <si>
    <t>KAMIGUMI LTD</t>
  </si>
  <si>
    <t>22,01</t>
  </si>
  <si>
    <t>1.307.169</t>
  </si>
  <si>
    <t>1.307.168,67</t>
  </si>
  <si>
    <t>JP3219000001</t>
  </si>
  <si>
    <t>SHOWA DENKO</t>
  </si>
  <si>
    <t>25,06</t>
  </si>
  <si>
    <t>1.290.790</t>
  </si>
  <si>
    <t>1.290.790,43</t>
  </si>
  <si>
    <t>JP3368000000</t>
  </si>
  <si>
    <t>PARG</t>
  </si>
  <si>
    <t>PARGESA HOLDING SA</t>
  </si>
  <si>
    <t>83,12</t>
  </si>
  <si>
    <t>1.282.513</t>
  </si>
  <si>
    <t>1.282.513,33</t>
  </si>
  <si>
    <t>CH0021783391</t>
  </si>
  <si>
    <t>J254</t>
  </si>
  <si>
    <t>LAWSON INC</t>
  </si>
  <si>
    <t>59,15</t>
  </si>
  <si>
    <t>1.245.016</t>
  </si>
  <si>
    <t>1.245.016,43</t>
  </si>
  <si>
    <t>JP3982100004</t>
  </si>
  <si>
    <t>WELCIA HOLDINGS LTD</t>
  </si>
  <si>
    <t>62,89</t>
  </si>
  <si>
    <t>1.245.181</t>
  </si>
  <si>
    <t>1.245.180,72</t>
  </si>
  <si>
    <t>JP3274280001</t>
  </si>
  <si>
    <t>UHRN</t>
  </si>
  <si>
    <t>52,30</t>
  </si>
  <si>
    <t>1.243.252</t>
  </si>
  <si>
    <t>1.243.251,79</t>
  </si>
  <si>
    <t>CH0012255144</t>
  </si>
  <si>
    <t>PIRC</t>
  </si>
  <si>
    <t>PIRELLI &amp; C</t>
  </si>
  <si>
    <t>5,89</t>
  </si>
  <si>
    <t>1.241.309</t>
  </si>
  <si>
    <t>1.241.308,94</t>
  </si>
  <si>
    <t>IT0005278236</t>
  </si>
  <si>
    <t>TOKYO CENTURY CORP</t>
  </si>
  <si>
    <t>53,03</t>
  </si>
  <si>
    <t>1.240.909</t>
  </si>
  <si>
    <t>1.240.909,09</t>
  </si>
  <si>
    <t>JP3424950008</t>
  </si>
  <si>
    <t>SUZUKEN LTD</t>
  </si>
  <si>
    <t>40,80</t>
  </si>
  <si>
    <t>1.237.492</t>
  </si>
  <si>
    <t>1.237.491,51</t>
  </si>
  <si>
    <t>JP3398000004</t>
  </si>
  <si>
    <t>HIROSE ELECTRIC LTD</t>
  </si>
  <si>
    <t>129,61</t>
  </si>
  <si>
    <t>1.224.808</t>
  </si>
  <si>
    <t>1.224.808,32</t>
  </si>
  <si>
    <t>JP3799000009</t>
  </si>
  <si>
    <t>SUNDRUG LTD</t>
  </si>
  <si>
    <t>36,46</t>
  </si>
  <si>
    <t>1.221.545</t>
  </si>
  <si>
    <t>1.221.545,27</t>
  </si>
  <si>
    <t>JP3336600006</t>
  </si>
  <si>
    <t>RBI</t>
  </si>
  <si>
    <t>RAIFFEISEN BANK INTERNATIONAL AG</t>
  </si>
  <si>
    <t>0,00</t>
  </si>
  <si>
    <t>25,16</t>
  </si>
  <si>
    <t>1.208.909</t>
  </si>
  <si>
    <t>1.208.908,84</t>
  </si>
  <si>
    <t>AT0000606306</t>
  </si>
  <si>
    <t>EVR</t>
  </si>
  <si>
    <t>EVRAZ</t>
  </si>
  <si>
    <t>5,11</t>
  </si>
  <si>
    <t>1.178.907</t>
  </si>
  <si>
    <t>1.178.907,31</t>
  </si>
  <si>
    <t>GB00B71N6K86</t>
  </si>
  <si>
    <t>ETL</t>
  </si>
  <si>
    <t>EUTELSAT COMMUNICATIONS SA</t>
  </si>
  <si>
    <t>15,78</t>
  </si>
  <si>
    <t>1.175.015</t>
  </si>
  <si>
    <t>1.175.015,00</t>
  </si>
  <si>
    <t>FR0010221234</t>
  </si>
  <si>
    <t>D01</t>
  </si>
  <si>
    <t>DAIRY FARM INTERNATIONAL HOLDINGS</t>
  </si>
  <si>
    <t>5,71</t>
  </si>
  <si>
    <t>1.170.550</t>
  </si>
  <si>
    <t>1.170.550,00</t>
  </si>
  <si>
    <t>BMG2624N1535</t>
  </si>
  <si>
    <t>CO</t>
  </si>
  <si>
    <t>CASINO GUICHARD PERRACHON SA</t>
  </si>
  <si>
    <t>42,01</t>
  </si>
  <si>
    <t>1.160.289</t>
  </si>
  <si>
    <t>1.160.289,41</t>
  </si>
  <si>
    <t>FR0000125585</t>
  </si>
  <si>
    <t>MARUICHI STEEL TUBE LTD</t>
  </si>
  <si>
    <t>28,16</t>
  </si>
  <si>
    <t>1.157.297</t>
  </si>
  <si>
    <t>1.157.297,37</t>
  </si>
  <si>
    <t>JP3871200006</t>
  </si>
  <si>
    <t>LDO</t>
  </si>
  <si>
    <t>LEONARDO FINMECCANICA SPA</t>
  </si>
  <si>
    <t>12,61</t>
  </si>
  <si>
    <t>1.154.236</t>
  </si>
  <si>
    <t>1.154.236,30</t>
  </si>
  <si>
    <t>IT0003856405</t>
  </si>
  <si>
    <t>NOMURA REAL ESTATE HOLDINGS INC</t>
  </si>
  <si>
    <t>24,12</t>
  </si>
  <si>
    <t>1.153.116</t>
  </si>
  <si>
    <t>1.153.116,10</t>
  </si>
  <si>
    <t>JP3762900003</t>
  </si>
  <si>
    <t>THK LTD</t>
  </si>
  <si>
    <t>1.150.427</t>
  </si>
  <si>
    <t>1.150.426,80</t>
  </si>
  <si>
    <t>JP3539250005</t>
  </si>
  <si>
    <t>MERCARI INC</t>
  </si>
  <si>
    <t>20,22</t>
  </si>
  <si>
    <t>1.138.230</t>
  </si>
  <si>
    <t>1.138.230,19</t>
  </si>
  <si>
    <t>JP3921290007</t>
  </si>
  <si>
    <t>AST</t>
  </si>
  <si>
    <t>AUSNET SERVICES</t>
  </si>
  <si>
    <t>1,20</t>
  </si>
  <si>
    <t>1.136.731</t>
  </si>
  <si>
    <t>1.136.730,60</t>
  </si>
  <si>
    <t>AU000000AST5</t>
  </si>
  <si>
    <t>PERSOL HOLDINGS LTD</t>
  </si>
  <si>
    <t>1.127.895</t>
  </si>
  <si>
    <t>1.127.895,22</t>
  </si>
  <si>
    <t>JP3547670004</t>
  </si>
  <si>
    <t>ICL</t>
  </si>
  <si>
    <t>ICL ISRAEL CHEMICALS LTD</t>
  </si>
  <si>
    <t>4,65</t>
  </si>
  <si>
    <t>1.104.585</t>
  </si>
  <si>
    <t>1.104.584,81</t>
  </si>
  <si>
    <t>IL0002810146</t>
  </si>
  <si>
    <t>J255</t>
  </si>
  <si>
    <t>KANSAI PAINT LTD</t>
  </si>
  <si>
    <t>24,30</t>
  </si>
  <si>
    <t>1.105.522</t>
  </si>
  <si>
    <t>1.105.522,09</t>
  </si>
  <si>
    <t>JP3229400001</t>
  </si>
  <si>
    <t>MITSUBISHI MATERIALS CORP</t>
  </si>
  <si>
    <t>26,45</t>
  </si>
  <si>
    <t>1.105.663</t>
  </si>
  <si>
    <t>1.105.662,65</t>
  </si>
  <si>
    <t>JP3903000002</t>
  </si>
  <si>
    <t>CPF</t>
  </si>
  <si>
    <t>HITACHI CONSTRUCTION MACHINERY LTD</t>
  </si>
  <si>
    <t>30,71</t>
  </si>
  <si>
    <t>1.068.839</t>
  </si>
  <si>
    <t>1.068.838,99</t>
  </si>
  <si>
    <t>JP3787000003</t>
  </si>
  <si>
    <t>FPT</t>
  </si>
  <si>
    <t>PARK24 LTD</t>
  </si>
  <si>
    <t>23,75</t>
  </si>
  <si>
    <t>1.052.105</t>
  </si>
  <si>
    <t>1.052.104,78</t>
  </si>
  <si>
    <t>JP3780100008</t>
  </si>
  <si>
    <t>J256</t>
  </si>
  <si>
    <t>NH FOODS LTD</t>
  </si>
  <si>
    <t>43,31</t>
  </si>
  <si>
    <t>1.039.430</t>
  </si>
  <si>
    <t>1.039.430,45</t>
  </si>
  <si>
    <t>JP3743000006</t>
  </si>
  <si>
    <t>PMM</t>
  </si>
  <si>
    <t>BBD.B</t>
  </si>
  <si>
    <t>BOMBARDIER INC CLASS B</t>
  </si>
  <si>
    <t>1.036.523</t>
  </si>
  <si>
    <t>1.036.522,64</t>
  </si>
  <si>
    <t>CA0977512007</t>
  </si>
  <si>
    <t>J257</t>
  </si>
  <si>
    <t>SUMITOMO HEAVY INDUSTRIES LTD</t>
  </si>
  <si>
    <t>28,89</t>
  </si>
  <si>
    <t>1.028.423</t>
  </si>
  <si>
    <t>1.028.422,78</t>
  </si>
  <si>
    <t>JP3405400007</t>
  </si>
  <si>
    <t>NOK CASH</t>
  </si>
  <si>
    <t>11,25</t>
  </si>
  <si>
    <t>9.120.045</t>
  </si>
  <si>
    <t>1.026.408</t>
  </si>
  <si>
    <t>1.026.407,96</t>
  </si>
  <si>
    <t>B4B</t>
  </si>
  <si>
    <t>METRO AG</t>
  </si>
  <si>
    <t>14,93</t>
  </si>
  <si>
    <t>1.000.422</t>
  </si>
  <si>
    <t>1.000.421,76</t>
  </si>
  <si>
    <t>DE000BFB0019</t>
  </si>
  <si>
    <t>METSO</t>
  </si>
  <si>
    <t>38,02</t>
  </si>
  <si>
    <t>966.069,99</t>
  </si>
  <si>
    <t>FI0009007835</t>
  </si>
  <si>
    <t>KAWASAKI HEAVY INDUSTRIES LTD</t>
  </si>
  <si>
    <t>21,75</t>
  </si>
  <si>
    <t>965.728,37</t>
  </si>
  <si>
    <t>JP3224200000</t>
  </si>
  <si>
    <t>NMC</t>
  </si>
  <si>
    <t>NMC HEALTH PLC</t>
  </si>
  <si>
    <t>956.322,73</t>
  </si>
  <si>
    <t>GB00B7FC0762</t>
  </si>
  <si>
    <t>KERRY PROPERTIES LTD</t>
  </si>
  <si>
    <t>3,17</t>
  </si>
  <si>
    <t>952.160,23</t>
  </si>
  <si>
    <t>BMG524401079</t>
  </si>
  <si>
    <t>ACOM LTD</t>
  </si>
  <si>
    <t>4,62</t>
  </si>
  <si>
    <t>934.853,01</t>
  </si>
  <si>
    <t>JP3108600002</t>
  </si>
  <si>
    <t>MITSUBISHI GAS CHEMICAL INC</t>
  </si>
  <si>
    <t>15,06</t>
  </si>
  <si>
    <t>926.204,82</t>
  </si>
  <si>
    <t>JP3896800004</t>
  </si>
  <si>
    <t>SG HOLDINGS LTD</t>
  </si>
  <si>
    <t>22,62</t>
  </si>
  <si>
    <t>911.495,07</t>
  </si>
  <si>
    <t>JP3162770006</t>
  </si>
  <si>
    <t>WASHINGTON H SOUL PATTINSON &amp; COMP</t>
  </si>
  <si>
    <t>15,22</t>
  </si>
  <si>
    <t>874.951,38</t>
  </si>
  <si>
    <t>AU000000SOL3</t>
  </si>
  <si>
    <t>O2D</t>
  </si>
  <si>
    <t>TELEFONICA DEUTSCHLAND HOLDING AG</t>
  </si>
  <si>
    <t>3,03</t>
  </si>
  <si>
    <t>875.133,89</t>
  </si>
  <si>
    <t>DE000A1J5RX9</t>
  </si>
  <si>
    <t>COCA-COLA BOTTLERS JAPAN HOLDINGS</t>
  </si>
  <si>
    <t>876.950,53</t>
  </si>
  <si>
    <t>JP3293200006</t>
  </si>
  <si>
    <t>DAINIPPON SUMITOMO PHARMA LTD</t>
  </si>
  <si>
    <t>870.714,68</t>
  </si>
  <si>
    <t>JP3495000006</t>
  </si>
  <si>
    <t>TPM</t>
  </si>
  <si>
    <t>TPG TELECOM LTD</t>
  </si>
  <si>
    <t>4,82</t>
  </si>
  <si>
    <t>848.914,91</t>
  </si>
  <si>
    <t>AU000000TPM6</t>
  </si>
  <si>
    <t>IHI CORP</t>
  </si>
  <si>
    <t>25,39</t>
  </si>
  <si>
    <t>840.744,98</t>
  </si>
  <si>
    <t>JP3134800006</t>
  </si>
  <si>
    <t>CIM</t>
  </si>
  <si>
    <t>CIMIC GROUP LTD</t>
  </si>
  <si>
    <t>22,57</t>
  </si>
  <si>
    <t>834.669,50</t>
  </si>
  <si>
    <t>AU000000CIM7</t>
  </si>
  <si>
    <t>ELECTRIC POWER DEVELOPMENT LTD</t>
  </si>
  <si>
    <t>23,32</t>
  </si>
  <si>
    <t>830.211,76</t>
  </si>
  <si>
    <t>JP3551200003</t>
  </si>
  <si>
    <t>KAKAKU.COM INC</t>
  </si>
  <si>
    <t>27,04</t>
  </si>
  <si>
    <t>821.234,56</t>
  </si>
  <si>
    <t>JP3206000006</t>
  </si>
  <si>
    <t>SEVEN BANK LTD</t>
  </si>
  <si>
    <t>802.855,06</t>
  </si>
  <si>
    <t>JP3105220002</t>
  </si>
  <si>
    <t>TOHO GAS LTD</t>
  </si>
  <si>
    <t>40,07</t>
  </si>
  <si>
    <t>783.115,74</t>
  </si>
  <si>
    <t>JP3600200004</t>
  </si>
  <si>
    <t>STANLEY ELECTRIC LTD</t>
  </si>
  <si>
    <t>28,43</t>
  </si>
  <si>
    <t>779.034,32</t>
  </si>
  <si>
    <t>JP3399400005</t>
  </si>
  <si>
    <t>MITSUI OSK LINES LTD</t>
  </si>
  <si>
    <t>26,57</t>
  </si>
  <si>
    <t>759.182,21</t>
  </si>
  <si>
    <t>JP3362700001</t>
  </si>
  <si>
    <t>SOHGO SECURITY SERVICES LTD</t>
  </si>
  <si>
    <t>54,67</t>
  </si>
  <si>
    <t>734.042,90</t>
  </si>
  <si>
    <t>JP3431900004</t>
  </si>
  <si>
    <t>HISAMITSU PHARMACEUTICAL INC</t>
  </si>
  <si>
    <t>51,11</t>
  </si>
  <si>
    <t>692.384,08</t>
  </si>
  <si>
    <t>JP3784600003</t>
  </si>
  <si>
    <t>AEON MALL LTD</t>
  </si>
  <si>
    <t>17,28</t>
  </si>
  <si>
    <t>690.160,57</t>
  </si>
  <si>
    <t>JP3131430005</t>
  </si>
  <si>
    <t>AEON FINANCIAL SERVICES LTD</t>
  </si>
  <si>
    <t>15,89</t>
  </si>
  <si>
    <t>684.895,03</t>
  </si>
  <si>
    <t>JP3131400008</t>
  </si>
  <si>
    <t>SHINSEI BANK LTD</t>
  </si>
  <si>
    <t>15,28</t>
  </si>
  <si>
    <t>678.003,61</t>
  </si>
  <si>
    <t>JP3729000004</t>
  </si>
  <si>
    <t>IBE.D</t>
  </si>
  <si>
    <t>IBERDROLA RIGHTS SA</t>
  </si>
  <si>
    <t>629.627,36</t>
  </si>
  <si>
    <t>ES06445809J6</t>
  </si>
  <si>
    <t>MCDONALDS HOLDINGS (JAPAN) LTD</t>
  </si>
  <si>
    <t>47,74</t>
  </si>
  <si>
    <t>627.256,30</t>
  </si>
  <si>
    <t>JP3750500005</t>
  </si>
  <si>
    <t>NWS HOLDINGS LTD</t>
  </si>
  <si>
    <t>625.591,98</t>
  </si>
  <si>
    <t>BMG668971101</t>
  </si>
  <si>
    <t>MEBUKI FINANCIAL GROUP INC</t>
  </si>
  <si>
    <t>606.997,01</t>
  </si>
  <si>
    <t>JP3117700009</t>
  </si>
  <si>
    <t>FUKUOKA FINANCIAL GROUP INC</t>
  </si>
  <si>
    <t>18,83</t>
  </si>
  <si>
    <t>599.053,32</t>
  </si>
  <si>
    <t>JP3805010000</t>
  </si>
  <si>
    <t>YAMAZAKI BAKING LTD</t>
  </si>
  <si>
    <t>18,23</t>
  </si>
  <si>
    <t>599.683,28</t>
  </si>
  <si>
    <t>JP3935600001</t>
  </si>
  <si>
    <t>NGK SPARK PLUG LTD</t>
  </si>
  <si>
    <t>19,30</t>
  </si>
  <si>
    <t>592.367,65</t>
  </si>
  <si>
    <t>JP3738600000</t>
  </si>
  <si>
    <t>ILS CASH</t>
  </si>
  <si>
    <t>28,86</t>
  </si>
  <si>
    <t>2.028.351</t>
  </si>
  <si>
    <t>585.399,60</t>
  </si>
  <si>
    <t>U96</t>
  </si>
  <si>
    <t>SEMBCORP INDUSTRIES LTD</t>
  </si>
  <si>
    <t>1,72</t>
  </si>
  <si>
    <t>584.473,45</t>
  </si>
  <si>
    <t>SG1R50925390</t>
  </si>
  <si>
    <t>NIPPON YUSEN</t>
  </si>
  <si>
    <t>17,54</t>
  </si>
  <si>
    <t>578.915,66</t>
  </si>
  <si>
    <t>JP3753000003</t>
  </si>
  <si>
    <t>JGC HOLDINGS CORP</t>
  </si>
  <si>
    <t>15,76</t>
  </si>
  <si>
    <t>567.469,88</t>
  </si>
  <si>
    <t>JP3667600005</t>
  </si>
  <si>
    <t>CRON</t>
  </si>
  <si>
    <t>CRONOS GROUP INC</t>
  </si>
  <si>
    <t>6,80</t>
  </si>
  <si>
    <t>564.315,27</t>
  </si>
  <si>
    <t>CA22717L1013</t>
  </si>
  <si>
    <t>NZD CASH</t>
  </si>
  <si>
    <t>66,39</t>
  </si>
  <si>
    <t>563.855,72</t>
  </si>
  <si>
    <t>CALBEE INC</t>
  </si>
  <si>
    <t>33,18</t>
  </si>
  <si>
    <t>530.850,68</t>
  </si>
  <si>
    <t>JP3220580009</t>
  </si>
  <si>
    <t>N2IU</t>
  </si>
  <si>
    <t>MAPLETREE COMMERCIAL UNITS TRUST</t>
  </si>
  <si>
    <t>1,81</t>
  </si>
  <si>
    <t>482.426,58</t>
  </si>
  <si>
    <t>SG2D18969584</t>
  </si>
  <si>
    <t>IIDA GROUP HOLDINGS LTD</t>
  </si>
  <si>
    <t>17,75</t>
  </si>
  <si>
    <t>477.551,11</t>
  </si>
  <si>
    <t>JP3131090007</t>
  </si>
  <si>
    <t>FLIGHT CENTRE TRAVEL GROUP LTD</t>
  </si>
  <si>
    <t>30,58</t>
  </si>
  <si>
    <t>464.106,11</t>
  </si>
  <si>
    <t>AU000000FLT9</t>
  </si>
  <si>
    <t>TOYO SEIKAN GROUP HOLDINGS LTD</t>
  </si>
  <si>
    <t>17,73</t>
  </si>
  <si>
    <t>459.325,48</t>
  </si>
  <si>
    <t>JP3613400005</t>
  </si>
  <si>
    <t>C07</t>
  </si>
  <si>
    <t>JARDINE CYCLE AND CARRIAGE LTD</t>
  </si>
  <si>
    <t>22,63</t>
  </si>
  <si>
    <t>451.518,13</t>
  </si>
  <si>
    <t>SG1B51001017</t>
  </si>
  <si>
    <t>ACB</t>
  </si>
  <si>
    <t>AURORA CANNABIS INC</t>
  </si>
  <si>
    <t>1,65</t>
  </si>
  <si>
    <t>434.057,35</t>
  </si>
  <si>
    <t>CA05156X1087</t>
  </si>
  <si>
    <t>HITACHI METALS LTD</t>
  </si>
  <si>
    <t>15,01</t>
  </si>
  <si>
    <t>406.895,76</t>
  </si>
  <si>
    <t>JP3786200000</t>
  </si>
  <si>
    <t>BANK OF KYOTO LTD</t>
  </si>
  <si>
    <t>42,26</t>
  </si>
  <si>
    <t>394.031,76</t>
  </si>
  <si>
    <t>JP3251200006</t>
  </si>
  <si>
    <t>POLA ORBIS HOLDINGS INC</t>
  </si>
  <si>
    <t>24,14</t>
  </si>
  <si>
    <t>376.615,55</t>
  </si>
  <si>
    <t>JP3855900001</t>
  </si>
  <si>
    <t>REPSM</t>
  </si>
  <si>
    <t>375.391,98</t>
  </si>
  <si>
    <t>ES0173516172</t>
  </si>
  <si>
    <t>SEGA SAMMY HOLDINGS INC</t>
  </si>
  <si>
    <t>14,45</t>
  </si>
  <si>
    <t>375.767,44</t>
  </si>
  <si>
    <t>JP3419050004</t>
  </si>
  <si>
    <t>RINNAI CORP</t>
  </si>
  <si>
    <t>77,67</t>
  </si>
  <si>
    <t>368.409,36</t>
  </si>
  <si>
    <t>JP3977400005</t>
  </si>
  <si>
    <t>TAIYO NIPPON SANSO CORP</t>
  </si>
  <si>
    <t>323.491,24</t>
  </si>
  <si>
    <t>JP3711600001</t>
  </si>
  <si>
    <t>KURITA WATER INDUSTRIES LTD</t>
  </si>
  <si>
    <t>300.255,48</t>
  </si>
  <si>
    <t>JP3270000007</t>
  </si>
  <si>
    <t>AIR WATER INC</t>
  </si>
  <si>
    <t>270.190,76</t>
  </si>
  <si>
    <t>JP3160670000</t>
  </si>
  <si>
    <t>TEVA PHARMACEUTICAL INDUSTRIES ADR</t>
  </si>
  <si>
    <t>9,01</t>
  </si>
  <si>
    <t>264.146,17</t>
  </si>
  <si>
    <t>US8816242098</t>
  </si>
  <si>
    <t>BENESSE HOLDINGS INC</t>
  </si>
  <si>
    <t>26,87</t>
  </si>
  <si>
    <t>227.920,85</t>
  </si>
  <si>
    <t>JP3835620000</t>
  </si>
  <si>
    <t>SHIMAMURA LTD</t>
  </si>
  <si>
    <t>75,76</t>
  </si>
  <si>
    <t>224.166,67</t>
  </si>
  <si>
    <t>JP3358200008</t>
  </si>
  <si>
    <t>NGT</t>
  </si>
  <si>
    <t>104.117,99</t>
  </si>
  <si>
    <t>123,00</t>
  </si>
  <si>
    <t>23,37</t>
  </si>
  <si>
    <t>TPH0</t>
  </si>
  <si>
    <t>TOPIX INDEX MAR 20</t>
  </si>
  <si>
    <t>Futures</t>
  </si>
  <si>
    <t>15,80</t>
  </si>
  <si>
    <t>8.373.767,80</t>
  </si>
  <si>
    <t>Osaka Securities Exchange</t>
  </si>
  <si>
    <t>Z H0</t>
  </si>
  <si>
    <t>FTSE 100 INDEX MAR 20</t>
  </si>
  <si>
    <t>9.833,87</t>
  </si>
  <si>
    <t>11.210.649,96</t>
  </si>
  <si>
    <t>GB00F7D1RN68</t>
  </si>
  <si>
    <t>IFLL</t>
  </si>
  <si>
    <t>MFSH0</t>
  </si>
  <si>
    <t>EMINI MSCI EAFE INDEX MAR 20</t>
  </si>
  <si>
    <t>2.032,90</t>
  </si>
  <si>
    <t>30.493.500,00</t>
  </si>
  <si>
    <t>Ice Futures U.S.</t>
  </si>
  <si>
    <t>ESH0</t>
  </si>
  <si>
    <t>S&amp;P500 EMINI MAR 20</t>
  </si>
  <si>
    <t>3.264,70</t>
  </si>
  <si>
    <t>76.557.215,00</t>
  </si>
  <si>
    <t>Index And Options Market</t>
  </si>
  <si>
    <t>VGH0</t>
  </si>
  <si>
    <t>EURO STOXX 50 MAR 20</t>
  </si>
  <si>
    <t>4.200,89</t>
  </si>
  <si>
    <t>14.493.115,35</t>
  </si>
  <si>
    <t>DE000C174QX9</t>
  </si>
  <si>
    <t>Eurex Deutschland</t>
  </si>
  <si>
    <t>J258</t>
  </si>
  <si>
    <t>J272</t>
  </si>
  <si>
    <t>J273</t>
  </si>
  <si>
    <t>J275</t>
  </si>
  <si>
    <t>J277</t>
  </si>
  <si>
    <t>J279</t>
  </si>
  <si>
    <t>J300</t>
  </si>
  <si>
    <t>J303</t>
  </si>
  <si>
    <t>J335</t>
  </si>
  <si>
    <t>J353</t>
  </si>
  <si>
    <t>J357</t>
  </si>
  <si>
    <t>J372</t>
  </si>
  <si>
    <t>J374</t>
  </si>
  <si>
    <t>AMA</t>
  </si>
  <si>
    <t>J376</t>
  </si>
  <si>
    <t>J378</t>
  </si>
  <si>
    <t>J400</t>
  </si>
  <si>
    <t>J403</t>
  </si>
  <si>
    <t>J433</t>
  </si>
  <si>
    <t>OML</t>
  </si>
  <si>
    <t>REI</t>
  </si>
  <si>
    <t>HSP</t>
  </si>
  <si>
    <t>DST</t>
  </si>
  <si>
    <t>CVH</t>
  </si>
  <si>
    <t>TTO</t>
  </si>
  <si>
    <t>BGA</t>
  </si>
  <si>
    <t>J453</t>
  </si>
  <si>
    <t>J457</t>
  </si>
  <si>
    <t>J500</t>
  </si>
  <si>
    <t>J510</t>
  </si>
  <si>
    <t>J520</t>
  </si>
  <si>
    <t>J530</t>
  </si>
  <si>
    <t>J533</t>
  </si>
  <si>
    <t>J537</t>
  </si>
  <si>
    <t>J540</t>
  </si>
  <si>
    <t>J550</t>
  </si>
  <si>
    <t>J555</t>
  </si>
  <si>
    <t>J560</t>
  </si>
  <si>
    <t>J575</t>
  </si>
  <si>
    <t>J580</t>
  </si>
  <si>
    <t>J590</t>
  </si>
  <si>
    <t>J653</t>
  </si>
  <si>
    <t>J657</t>
  </si>
  <si>
    <t>J835</t>
  </si>
  <si>
    <t>J853</t>
  </si>
  <si>
    <t>J857</t>
  </si>
  <si>
    <t>J863</t>
  </si>
  <si>
    <t>J867</t>
  </si>
  <si>
    <t>J873</t>
  </si>
  <si>
    <t>ACP</t>
  </si>
  <si>
    <t>CPL</t>
  </si>
  <si>
    <t>HPA</t>
  </si>
  <si>
    <t>SYC</t>
  </si>
  <si>
    <t>LBT</t>
  </si>
  <si>
    <t>PAP</t>
  </si>
  <si>
    <t>J877</t>
  </si>
  <si>
    <t>J898</t>
  </si>
  <si>
    <t>J953</t>
  </si>
  <si>
    <t>J957</t>
  </si>
  <si>
    <t>SAGILB</t>
  </si>
  <si>
    <t>SPGIVI</t>
  </si>
  <si>
    <t>STEFI</t>
  </si>
  <si>
    <t>STEFI Composite</t>
  </si>
  <si>
    <t>Nominal Holding</t>
  </si>
  <si>
    <t>EQ</t>
  </si>
  <si>
    <t>Variation Margin [BN90 19(2)]</t>
  </si>
  <si>
    <t>SAFEX [BN90 19(2)]</t>
  </si>
  <si>
    <t>Forex rate</t>
  </si>
  <si>
    <t>Effective equity exposure from swaps</t>
  </si>
  <si>
    <t>ALSI Cover</t>
  </si>
  <si>
    <t>Incl underlying UTs</t>
  </si>
  <si>
    <t>Effective equity exposure from swaps, after MtM</t>
  </si>
  <si>
    <t>UT</t>
  </si>
  <si>
    <t>Cash (incl MMFs, excl margin)</t>
  </si>
  <si>
    <t>Bonds (excl &gt; 13 month bonds)</t>
  </si>
  <si>
    <t>Leverage (net effective exposure ÷ NAV)</t>
  </si>
  <si>
    <r>
      <rPr>
        <u/>
        <sz val="11"/>
        <color rgb="FF000000"/>
        <rFont val="Calibri"/>
        <family val="2"/>
        <scheme val="minor"/>
      </rPr>
      <t>excl</t>
    </r>
    <r>
      <rPr>
        <sz val="11"/>
        <color indexed="8"/>
        <rFont val="Calibri"/>
        <family val="2"/>
        <scheme val="minor"/>
      </rPr>
      <t xml:space="preserve"> MtM P&amp;L on internationally listed derivatives</t>
    </r>
  </si>
  <si>
    <r>
      <rPr>
        <u/>
        <sz val="11"/>
        <color rgb="FF000000"/>
        <rFont val="Calibri"/>
        <family val="2"/>
        <scheme val="minor"/>
      </rPr>
      <t>excl</t>
    </r>
    <r>
      <rPr>
        <sz val="11"/>
        <color indexed="8"/>
        <rFont val="Calibri"/>
        <family val="2"/>
        <scheme val="minor"/>
      </rPr>
      <t xml:space="preserve"> MtM P&amp;L on OTC swaps</t>
    </r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</si>
  <si>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rFont val="Calibri"/>
        <family val="2"/>
        <scheme val="minor"/>
      </rPr>
      <t xml:space="preserve"> Sold currency futures to be covered by cash [BN90 16(1)(i)] </t>
    </r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</si>
  <si>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rFont val="Calibri"/>
        <family val="2"/>
        <scheme val="minor"/>
      </rPr>
      <t xml:space="preserve"> Net negative MtM OTC derivative exposure [BN90 17(1)(a)]</t>
    </r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</si>
  <si>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rFont val="Calibri"/>
        <family val="2"/>
        <scheme val="minor"/>
      </rPr>
      <t xml:space="preserve"> Bought futures or calls &amp; sold puts to be covered by cash [BN90 16(1)(c)] </t>
    </r>
  </si>
  <si>
    <t>Mandate</t>
  </si>
  <si>
    <t>Total Equity</t>
  </si>
  <si>
    <t xml:space="preserve">Total property equity </t>
  </si>
  <si>
    <t>Property equity unit trusts</t>
  </si>
  <si>
    <t>Direct preference shares</t>
  </si>
  <si>
    <t>Direct property equity</t>
  </si>
  <si>
    <t>Direct equities, excl direct property equity</t>
  </si>
  <si>
    <t>UT?</t>
  </si>
  <si>
    <t>R186</t>
  </si>
  <si>
    <t>Equity linked notes</t>
  </si>
  <si>
    <t>Day of Reconciliation</t>
  </si>
  <si>
    <t>Christmas Day</t>
  </si>
  <si>
    <t>Boxing Day</t>
  </si>
  <si>
    <t>New Year's Day</t>
  </si>
  <si>
    <t>Human Rights Day</t>
  </si>
  <si>
    <t>Good Friday</t>
  </si>
  <si>
    <t>Family Day</t>
  </si>
  <si>
    <t>Freedom Day</t>
  </si>
  <si>
    <t>International Workers' Day</t>
  </si>
  <si>
    <t>Youth Day (in South Africa)</t>
  </si>
  <si>
    <t>National Women's Day</t>
  </si>
  <si>
    <t>Heritage Day</t>
  </si>
  <si>
    <t>Workers' Day</t>
  </si>
  <si>
    <t>Workers' Day Holiday</t>
  </si>
  <si>
    <t>Youth Day</t>
  </si>
  <si>
    <t>Day of Goodwill</t>
  </si>
  <si>
    <t>Election Day</t>
  </si>
  <si>
    <t>#</t>
  </si>
  <si>
    <t>Incl CLNs &amp; longer dated debt</t>
  </si>
  <si>
    <t>Total non-property equity</t>
  </si>
  <si>
    <t>Total equity, incl property equity</t>
  </si>
  <si>
    <t>AA+</t>
  </si>
  <si>
    <t>Cash on Call</t>
  </si>
  <si>
    <t>Prescient Money Market Fund B3</t>
  </si>
  <si>
    <t>PRMFB3</t>
  </si>
  <si>
    <t>CIS</t>
  </si>
  <si>
    <t>ZAE000140885</t>
  </si>
  <si>
    <t>Unsettled Cash</t>
  </si>
  <si>
    <t>DERIVATIVES</t>
  </si>
  <si>
    <t>DER</t>
  </si>
  <si>
    <t>FT</t>
  </si>
  <si>
    <t>IDXFT</t>
  </si>
  <si>
    <t>UNKNOWN</t>
  </si>
  <si>
    <t>SYTH</t>
  </si>
  <si>
    <t>SYNCASHFUT</t>
  </si>
  <si>
    <t>BANKS</t>
  </si>
  <si>
    <t>AA</t>
  </si>
  <si>
    <t>EQUITIES</t>
  </si>
  <si>
    <t>PBAL</t>
  </si>
  <si>
    <t>PIMBAL</t>
  </si>
  <si>
    <t>PABS</t>
  </si>
  <si>
    <t>PBAL Mandate</t>
  </si>
  <si>
    <t>PIMBAL Mandate</t>
  </si>
  <si>
    <t>PABS Mandate</t>
  </si>
  <si>
    <t>PLPRNA</t>
  </si>
  <si>
    <t>Safex Margin Deposits</t>
  </si>
  <si>
    <t>SAFEX Margin</t>
  </si>
  <si>
    <t>SAFEX</t>
  </si>
  <si>
    <t>Margin Account</t>
  </si>
  <si>
    <t>MARGIN</t>
  </si>
  <si>
    <t>Variation Margin</t>
  </si>
  <si>
    <t>VARMARG</t>
  </si>
  <si>
    <t>ABSA BANK LTD</t>
  </si>
  <si>
    <t>SYNZAR</t>
  </si>
  <si>
    <t>PLMED</t>
  </si>
  <si>
    <t>FINANCIALS</t>
  </si>
  <si>
    <t>Equites Property Fund Limited</t>
  </si>
  <si>
    <t>REAL ESTATE</t>
  </si>
  <si>
    <t>FINANCIAL SERVICES</t>
  </si>
  <si>
    <t>ZAE000188843</t>
  </si>
  <si>
    <t>Fortress Reit Limited A</t>
  </si>
  <si>
    <t>ZAE000248498</t>
  </si>
  <si>
    <t>ZAE000190724</t>
  </si>
  <si>
    <t>Redefine Properties Limited</t>
  </si>
  <si>
    <t>ZAE000190252</t>
  </si>
  <si>
    <t>Resilient REIT Limited</t>
  </si>
  <si>
    <t>Resilient Property Income Fund Ltd</t>
  </si>
  <si>
    <t>REIT</t>
  </si>
  <si>
    <t>ZAE000209557</t>
  </si>
  <si>
    <t>ZAE000180865</t>
  </si>
  <si>
    <t>ABMMABR</t>
  </si>
  <si>
    <t>ABMMBND</t>
  </si>
  <si>
    <t>ABMMEQU</t>
  </si>
  <si>
    <t>SISLP</t>
  </si>
  <si>
    <t>PSPAM</t>
  </si>
  <si>
    <t>SHNIPF</t>
  </si>
  <si>
    <t>ECICBALC</t>
  </si>
  <si>
    <t>ELCIPF</t>
  </si>
  <si>
    <t>ENGENMBF</t>
  </si>
  <si>
    <t>GTCWP2</t>
  </si>
  <si>
    <t>HOLDINC</t>
  </si>
  <si>
    <t>HOLYPF</t>
  </si>
  <si>
    <t>AMMIPF</t>
  </si>
  <si>
    <t>GAEMBF</t>
  </si>
  <si>
    <t>GMRETF2</t>
  </si>
  <si>
    <t>GMRETF</t>
  </si>
  <si>
    <t>GRFINV</t>
  </si>
  <si>
    <t>EMHPBQ</t>
  </si>
  <si>
    <t>IJGBAL</t>
  </si>
  <si>
    <t>IJGCOR</t>
  </si>
  <si>
    <t>IJGIPF</t>
  </si>
  <si>
    <t>LIBTAA</t>
  </si>
  <si>
    <t>MEDINC</t>
  </si>
  <si>
    <t>MWPFEQU</t>
  </si>
  <si>
    <t>MOMPRET</t>
  </si>
  <si>
    <t>NESEQU</t>
  </si>
  <si>
    <t>NFMWEQU</t>
  </si>
  <si>
    <t>OMFLXI5</t>
  </si>
  <si>
    <t>PCAEF</t>
  </si>
  <si>
    <t>PCCEF</t>
  </si>
  <si>
    <t>PCEQTF</t>
  </si>
  <si>
    <t>PCGEF</t>
  </si>
  <si>
    <t>PEQ</t>
  </si>
  <si>
    <t>PEAQ</t>
  </si>
  <si>
    <t>PBNDQ</t>
  </si>
  <si>
    <t>PFFIF</t>
  </si>
  <si>
    <t>PGIF</t>
  </si>
  <si>
    <t>PGGF</t>
  </si>
  <si>
    <t>PPOS</t>
  </si>
  <si>
    <t>PPEF</t>
  </si>
  <si>
    <t>PSTIF</t>
  </si>
  <si>
    <t>PSIF</t>
  </si>
  <si>
    <t>PCSHQ</t>
  </si>
  <si>
    <t>PORFGPR</t>
  </si>
  <si>
    <t>PPSBAL_C</t>
  </si>
  <si>
    <t>PPSNAM</t>
  </si>
  <si>
    <t>PPWEQU</t>
  </si>
  <si>
    <t>NGKINC</t>
  </si>
  <si>
    <t>POIF_C</t>
  </si>
  <si>
    <t>SAAMCAU</t>
  </si>
  <si>
    <t>SAAMMAN</t>
  </si>
  <si>
    <t>SAAMMOD</t>
  </si>
  <si>
    <t>CAPGIP</t>
  </si>
  <si>
    <t>MOMBBF</t>
  </si>
  <si>
    <t>MOMFLX</t>
  </si>
  <si>
    <t>ADRRC</t>
  </si>
  <si>
    <t>ASHFLX</t>
  </si>
  <si>
    <t>ASHGFB</t>
  </si>
  <si>
    <t>PPSFLEX</t>
  </si>
  <si>
    <t>STSBND</t>
  </si>
  <si>
    <t>SMMIBF</t>
  </si>
  <si>
    <t>SILEQF</t>
  </si>
  <si>
    <t>SMMAIF</t>
  </si>
  <si>
    <t>SMMBPR</t>
  </si>
  <si>
    <t>SMMEYP</t>
  </si>
  <si>
    <t>SMMRRF</t>
  </si>
  <si>
    <t>SWGSWX</t>
  </si>
  <si>
    <t>ASBTOS</t>
  </si>
  <si>
    <t>TOYCEF</t>
  </si>
  <si>
    <t>TSHMPF</t>
  </si>
  <si>
    <t>FRAs</t>
  </si>
  <si>
    <t>PLPRNA Mandate</t>
  </si>
  <si>
    <t>PLMED Mandate</t>
  </si>
  <si>
    <t>ABMMABR Mandate</t>
  </si>
  <si>
    <t>ABMMBND Mandate</t>
  </si>
  <si>
    <t>ABMMEQU Mandate</t>
  </si>
  <si>
    <t>SISLP Mandate</t>
  </si>
  <si>
    <t>PSPAM Mandate</t>
  </si>
  <si>
    <t>SHNIPF Mandate</t>
  </si>
  <si>
    <t>ECICBALC Mandate</t>
  </si>
  <si>
    <t>ELCIPF Mandate</t>
  </si>
  <si>
    <t>ENGENMBF Mandate</t>
  </si>
  <si>
    <t>GTCWP2 Mandate</t>
  </si>
  <si>
    <t>HOLDINC Mandate</t>
  </si>
  <si>
    <t>HOLYPF Mandate</t>
  </si>
  <si>
    <t>AMMIPF Mandate</t>
  </si>
  <si>
    <t>GAEMBF Mandate</t>
  </si>
  <si>
    <t>GMRETF2 Mandate</t>
  </si>
  <si>
    <t>GMRETF Mandate</t>
  </si>
  <si>
    <t>GRFINV Mandate</t>
  </si>
  <si>
    <t>EMHPBQ Mandate</t>
  </si>
  <si>
    <t>IJGBAL Mandate</t>
  </si>
  <si>
    <t>IJGCOR Mandate</t>
  </si>
  <si>
    <t>IJGIPF Mandate</t>
  </si>
  <si>
    <t>LIBTAA Mandate</t>
  </si>
  <si>
    <t>MEDINC Mandate</t>
  </si>
  <si>
    <t>MWPFEQU Mandate</t>
  </si>
  <si>
    <t>MOMPRET Mandate</t>
  </si>
  <si>
    <t>NESEQU Mandate</t>
  </si>
  <si>
    <t>NFMWEQU Mandate</t>
  </si>
  <si>
    <t>OMFLXI5 Mandate</t>
  </si>
  <si>
    <t>PCAEF Mandate</t>
  </si>
  <si>
    <t>PCCEF Mandate</t>
  </si>
  <si>
    <t>PCEQTF Mandate</t>
  </si>
  <si>
    <t>PCGEF Mandate</t>
  </si>
  <si>
    <t>PEQ Mandate</t>
  </si>
  <si>
    <t>PEAQ Mandate</t>
  </si>
  <si>
    <t>PBNDQ Mandate</t>
  </si>
  <si>
    <t>PFFIF Mandate</t>
  </si>
  <si>
    <t>PGIF Mandate</t>
  </si>
  <si>
    <t>PGGF Mandate</t>
  </si>
  <si>
    <t>PPOS Mandate</t>
  </si>
  <si>
    <t>PPEF Mandate</t>
  </si>
  <si>
    <t>PSTIF Mandate</t>
  </si>
  <si>
    <t>PSIF Mandate</t>
  </si>
  <si>
    <t>PCSHQ Mandate</t>
  </si>
  <si>
    <t>PORFGPR Mandate</t>
  </si>
  <si>
    <t>PPSBAL_C Mandate</t>
  </si>
  <si>
    <t>PPSNAM Mandate</t>
  </si>
  <si>
    <t>PPWEQU Mandate</t>
  </si>
  <si>
    <t>NGKINC Mandate</t>
  </si>
  <si>
    <t>POIF_C Mandate</t>
  </si>
  <si>
    <t>SAAMCAU Mandate</t>
  </si>
  <si>
    <t>SAAMMAN Mandate</t>
  </si>
  <si>
    <t>SAAMMOD Mandate</t>
  </si>
  <si>
    <t>CAPGIP Mandate</t>
  </si>
  <si>
    <t>MOMBBF Mandate</t>
  </si>
  <si>
    <t>MOMFLX Mandate</t>
  </si>
  <si>
    <t>ADRRC Mandate</t>
  </si>
  <si>
    <t>ASHFLX Mandate</t>
  </si>
  <si>
    <t>ASHGFB Mandate</t>
  </si>
  <si>
    <t>PPSFLEX Mandate</t>
  </si>
  <si>
    <t>STSBND Mandate</t>
  </si>
  <si>
    <t>SMMIBF Mandate</t>
  </si>
  <si>
    <t>SILEQF Mandate</t>
  </si>
  <si>
    <t>SMMAIF Mandate</t>
  </si>
  <si>
    <t>SMMBPR Mandate</t>
  </si>
  <si>
    <t>SMMEYP Mandate</t>
  </si>
  <si>
    <t>SMMRRF Mandate</t>
  </si>
  <si>
    <t>SWGSWX Mandate</t>
  </si>
  <si>
    <t>ASBTOS Mandate</t>
  </si>
  <si>
    <t>TOYCEF Mandate</t>
  </si>
  <si>
    <t>TSHMPF Mandate</t>
  </si>
  <si>
    <t>Total foreign</t>
  </si>
  <si>
    <t>&lt; 45%</t>
  </si>
  <si>
    <t>Direct foreign exposure excl foreign derivatives</t>
  </si>
  <si>
    <t>Direct foreign assets excl derivatives, cash, MMIs, 'SYNCASH', CISes</t>
  </si>
  <si>
    <t>Indirect foreign exposure from derivatives</t>
  </si>
  <si>
    <r>
      <rPr>
        <u/>
        <sz val="11"/>
        <color rgb="FF000000"/>
        <rFont val="Calibri"/>
        <family val="2"/>
        <scheme val="minor"/>
      </rPr>
      <t>less</t>
    </r>
    <r>
      <rPr>
        <sz val="11"/>
        <color indexed="8"/>
        <rFont val="Calibri"/>
        <family val="2"/>
        <scheme val="minor"/>
      </rPr>
      <t xml:space="preserve"> Foreign cash</t>
    </r>
  </si>
  <si>
    <t>"Additional foreign added by derivative"</t>
  </si>
  <si>
    <t>Synthetic cash</t>
  </si>
  <si>
    <t>Total Foreign</t>
  </si>
  <si>
    <t>PICPROV</t>
  </si>
  <si>
    <t>\\pim-cpt-statpro\SPC_602\Client\Profiles\PIM\Exports\PLPRNA Derv Calc 6Apr2022.xlsx</t>
  </si>
  <si>
    <t>\\pim-cpt-statpro\SPC_602\Client\Profiles\PIM\Exports\PLMED Derv Calc 6Apr2022.xlsx</t>
  </si>
  <si>
    <t>\\pim-cpt-statpro\SPC_602\Client\Profiles\PIM\Exports\ABMMABR Derv Calc 6Apr2022.xlsx</t>
  </si>
  <si>
    <t>\\pim-cpt-statpro\SPC_602\Client\Profiles\PIM\Exports\ABMMBND Derv Calc 6Apr2022.xlsx</t>
  </si>
  <si>
    <t>\\pim-cpt-statpro\SPC_602\Client\Profiles\PIM\Exports\ABMMEQU Derv Calc 6Apr2022.xlsx</t>
  </si>
  <si>
    <t>\\pim-cpt-statpro\SPC_602\Client\Profiles\PIM\Exports\SISLP Derv Calc 6Apr2022.xlsx</t>
  </si>
  <si>
    <t>\\pim-cpt-statpro\SPC_602\Client\Profiles\PIM\Exports\PSPAM Derv Calc 6Apr2022.xlsx</t>
  </si>
  <si>
    <t>\\pim-cpt-statpro\SPC_602\Client\Profiles\PIM\Exports\SHNIPF Derv Calc 6Apr2022.xlsx</t>
  </si>
  <si>
    <t>\\pim-cpt-statpro\SPC_602\Client\Profiles\PIM\Exports\ECICBALC Derv Calc 6Apr2022.xlsx</t>
  </si>
  <si>
    <t>\\pim-cpt-statpro\SPC_602\Client\Profiles\PIM\Exports\ELCIPF Derv Calc 6Apr2022.xlsx</t>
  </si>
  <si>
    <t>\\pim-cpt-statpro\SPC_602\Client\Profiles\PIM\Exports\ENGENMBF Derv Calc 6Apr2022.xlsx</t>
  </si>
  <si>
    <t>\\pim-cpt-statpro\SPC_602\Client\Profiles\PIM\Exports\GTCWP2 Derv Calc 6Apr2022.xlsx</t>
  </si>
  <si>
    <t>\\pim-cpt-statpro\SPC_602\Client\Profiles\PIM\Exports\HOLDINC Derv Calc 6Apr2022.xlsx</t>
  </si>
  <si>
    <t>\\pim-cpt-statpro\SPC_602\Client\Profiles\PIM\Exports\HOLYPF Derv Calc 6Apr2022.xlsx</t>
  </si>
  <si>
    <t>\\pim-cpt-statpro\SPC_602\Client\Profiles\PIM\Exports\AMMIPF Derv Calc 6Apr2022.xlsx</t>
  </si>
  <si>
    <t>\\pim-cpt-statpro\SPC_602\Client\Profiles\PIM\Exports\GAEMBF Derv Calc 6Apr2022.xlsx</t>
  </si>
  <si>
    <t>\\pim-cpt-statpro\SPC_602\Client\Profiles\PIM\Exports\GMRETF2 Derv Calc 6Apr2022.xlsx</t>
  </si>
  <si>
    <t>\\pim-cpt-statpro\SPC_602\Client\Profiles\PIM\Exports\GMRETF Derv Calc 6Apr2022.xlsx</t>
  </si>
  <si>
    <t>\\pim-cpt-statpro\SPC_602\Client\Profiles\PIM\Exports\GRFINV Derv Calc 6Apr2022.xlsx</t>
  </si>
  <si>
    <t>\\pim-cpt-statpro\SPC_602\Client\Profiles\PIM\Exports\EMHPBQ Derv Calc 6Apr2022.xlsx</t>
  </si>
  <si>
    <t>\\pim-cpt-statpro\SPC_602\Client\Profiles\PIM\Exports\IJGBAL Derv Calc 6Apr2022.xlsx</t>
  </si>
  <si>
    <t>\\pim-cpt-statpro\SPC_602\Client\Profiles\PIM\Exports\IJGCOR Derv Calc 6Apr2022.xlsx</t>
  </si>
  <si>
    <t>\\pim-cpt-statpro\SPC_602\Client\Profiles\PIM\Exports\IJGIPF Derv Calc 6Apr2022.xlsx</t>
  </si>
  <si>
    <t>\\pim-cpt-statpro\SPC_602\Client\Profiles\PIM\Exports\LIBTAA Derv Calc 6Apr2022.xlsx</t>
  </si>
  <si>
    <t>\\pim-cpt-statpro\SPC_602\Client\Profiles\PIM\Exports\MEDINC Derv Calc 6Apr2022.xlsx</t>
  </si>
  <si>
    <t>\\pim-cpt-statpro\SPC_602\Client\Profiles\PIM\Exports\MWPFEQU Derv Calc 6Apr2022.xlsx</t>
  </si>
  <si>
    <t>\\pim-cpt-statpro\SPC_602\Client\Profiles\PIM\Exports\MOMPRET Derv Calc 6Apr2022.xlsx</t>
  </si>
  <si>
    <t>\\pim-cpt-statpro\SPC_602\Client\Profiles\PIM\Exports\NESEQU Derv Calc 6Apr2022.xlsx</t>
  </si>
  <si>
    <t>\\pim-cpt-statpro\SPC_602\Client\Profiles\PIM\Exports\NFMWEQU Derv Calc 6Apr2022.xlsx</t>
  </si>
  <si>
    <t>\\pim-cpt-statpro\SPC_602\Client\Profiles\PIM\Exports\OMFLXI5 Derv Calc 6Apr2022.xlsx</t>
  </si>
  <si>
    <t>\\pim-cpt-statpro\SPC_602\Client\Profiles\PIM\Exports\PICPROV Derv Calc 6Apr2022.xlsx</t>
  </si>
  <si>
    <t>PICPROV Mandate</t>
  </si>
  <si>
    <t>\\pim-cpt-statpro\SPC_602\Client\Profiles\PIM\Exports\PBAL Derv Calc 6Apr2022.xlsx</t>
  </si>
  <si>
    <t>\\pim-cpt-statpro\SPC_602\Client\Profiles\PIM\Exports\PIMBAL Derv Calc 6Apr2022.xlsx</t>
  </si>
  <si>
    <t>\\pim-cpt-statpro\SPC_602\Client\Profiles\PIM\Exports\PCAEF Derv Calc 6Apr2022.xlsx</t>
  </si>
  <si>
    <t>\\pim-cpt-statpro\SPC_602\Client\Profiles\PIM\Exports\PCCEF Derv Calc 6Apr2022.xlsx</t>
  </si>
  <si>
    <t>\\pim-cpt-statpro\SPC_602\Client\Profiles\PIM\Exports\PCEQTF Derv Calc 6Apr2022.xlsx</t>
  </si>
  <si>
    <t>\\pim-cpt-statpro\SPC_602\Client\Profiles\PIM\Exports\PCGEF Derv Calc 6Apr2022.xlsx</t>
  </si>
  <si>
    <t>\\pim-cpt-statpro\SPC_602\Client\Profiles\PIM\Exports\PEQ Derv Calc 6Apr2022.xlsx</t>
  </si>
  <si>
    <t>\\pim-cpt-statpro\SPC_602\Client\Profiles\PIM\Exports\PABS Derv Calc 6Apr2022.xlsx</t>
  </si>
  <si>
    <t>\\pim-cpt-statpro\SPC_602\Client\Profiles\PIM\Exports\PEAQ Derv Calc 6Apr2022.xlsx</t>
  </si>
  <si>
    <t>\\pim-cpt-statpro\SPC_602\Client\Profiles\PIM\Exports\PBNDQ Derv Calc 6Apr2022.xlsx</t>
  </si>
  <si>
    <t>\\pim-cpt-statpro\SPC_602\Client\Profiles\PIM\Exports\PFFIF Derv Calc 6Apr2022.xlsx</t>
  </si>
  <si>
    <t>\\pim-cpt-statpro\SPC_602\Client\Profiles\PIM\Exports\PGIF Derv Calc 6Apr2022.xlsx</t>
  </si>
  <si>
    <t>\\pim-cpt-statpro\SPC_602\Client\Profiles\PIM\Exports\PGGF Derv Calc 6Apr2022.xlsx</t>
  </si>
  <si>
    <t>\\pim-cpt-statpro\SPC_602\Client\Profiles\PIM\Exports\PPOS Derv Calc 6Apr2022.xlsx</t>
  </si>
  <si>
    <t>\\pim-cpt-statpro\SPC_602\Client\Profiles\PIM\Exports\PPEF Derv Calc 6Apr2022.xlsx</t>
  </si>
  <si>
    <t>\\pim-cpt-statpro\SPC_602\Client\Profiles\PIM\Exports\PSTIF Derv Calc 6Apr2022.xlsx</t>
  </si>
  <si>
    <t>\\pim-cpt-statpro\SPC_602\Client\Profiles\PIM\Exports\PSIF Derv Calc 6Apr2022.xlsx</t>
  </si>
  <si>
    <t>\\pim-cpt-statpro\SPC_602\Client\Profiles\PIM\Exports\PCSHQ Derv Calc 6Apr2022.xlsx</t>
  </si>
  <si>
    <t>\\pim-cpt-statpro\SPC_602\Client\Profiles\PIM\Exports\PORFGPR Derv Calc 6Apr2022.xlsx</t>
  </si>
  <si>
    <t>\\pim-cpt-statpro\SPC_602\Client\Profiles\PIM\Exports\PPSBAL_C Derv Calc 6Apr2022.xlsx</t>
  </si>
  <si>
    <t>\\pim-cpt-statpro\SPC_602\Client\Profiles\PIM\Exports\PPSNAM Derv Calc 6Apr2022.xlsx</t>
  </si>
  <si>
    <t>\\pim-cpt-statpro\SPC_602\Client\Profiles\PIM\Exports\PPWEQU Derv Calc 6Apr2022.xlsx</t>
  </si>
  <si>
    <t>\\pim-cpt-statpro\SPC_602\Client\Profiles\PIM\Exports\NGKINC Derv Calc 6Apr2022.xlsx</t>
  </si>
  <si>
    <t>\\pim-cpt-statpro\SPC_602\Client\Profiles\PIM\Exports\POIF_C Derv Calc 6Apr2022.xlsx</t>
  </si>
  <si>
    <t>\\pim-cpt-statpro\SPC_602\Client\Profiles\PIM\Exports\SAAMCAU Derv Calc 6Apr2022.xlsx</t>
  </si>
  <si>
    <t>\\pim-cpt-statpro\SPC_602\Client\Profiles\PIM\Exports\SAAMMAN Derv Calc 6Apr2022.xlsx</t>
  </si>
  <si>
    <t>\\pim-cpt-statpro\SPC_602\Client\Profiles\PIM\Exports\SAAMMOD Derv Calc 6Apr2022.xlsx</t>
  </si>
  <si>
    <t>\\pim-cpt-statpro\SPC_602\Client\Profiles\PIM\Exports\CAPGIP Derv Calc 6Apr2022.xlsx</t>
  </si>
  <si>
    <t>\\pim-cpt-statpro\SPC_602\Client\Profiles\PIM\Exports\MOMBBF Derv Calc 6Apr2022.xlsx</t>
  </si>
  <si>
    <t>\\pim-cpt-statpro\SPC_602\Client\Profiles\PIM\Exports\MOMFLX Derv Calc 6Apr2022.xlsx</t>
  </si>
  <si>
    <t>\\pim-cpt-statpro\SPC_602\Client\Profiles\PIM\Exports\ADRRC Derv Calc 6Apr2022.xlsx</t>
  </si>
  <si>
    <t>\\pim-cpt-statpro\SPC_602\Client\Profiles\PIM\Exports\ASHFLX Derv Calc 6Apr2022.xlsx</t>
  </si>
  <si>
    <t>\\pim-cpt-statpro\SPC_602\Client\Profiles\PIM\Exports\ASHGFB Derv Calc 6Apr2022.xlsx</t>
  </si>
  <si>
    <t>\\pim-cpt-statpro\SPC_602\Client\Profiles\PIM\Exports\PPSFLEX Derv Calc 6Apr2022.xlsx</t>
  </si>
  <si>
    <t>\\pim-cpt-statpro\SPC_602\Client\Profiles\PIM\Exports\STSBND Derv Calc 6Apr2022.xlsx</t>
  </si>
  <si>
    <t>\\pim-cpt-statpro\SPC_602\Client\Profiles\PIM\Exports\SMMIBF Derv Calc 6Apr2022.xlsx</t>
  </si>
  <si>
    <t>\\pim-cpt-statpro\SPC_602\Client\Profiles\PIM\Exports\SILEQF Derv Calc 6Apr2022.xlsx</t>
  </si>
  <si>
    <t>\\pim-cpt-statpro\SPC_602\Client\Profiles\PIM\Exports\SMMAIF Derv Calc 6Apr2022.xlsx</t>
  </si>
  <si>
    <t>\\pim-cpt-statpro\SPC_602\Client\Profiles\PIM\Exports\SMMBPR Derv Calc 6Apr2022.xlsx</t>
  </si>
  <si>
    <t>\\pim-cpt-statpro\SPC_602\Client\Profiles\PIM\Exports\SMMEYP Derv Calc 6Apr2022.xlsx</t>
  </si>
  <si>
    <t>\\pim-cpt-statpro\SPC_602\Client\Profiles\PIM\Exports\SMMRRF Derv Calc 6Apr2022.xlsx</t>
  </si>
  <si>
    <t>\\pim-cpt-statpro\SPC_602\Client\Profiles\PIM\Exports\SWGSWX Derv Calc 6Apr2022.xlsx</t>
  </si>
  <si>
    <t>\\pim-cpt-statpro\SPC_602\Client\Profiles\PIM\Exports\ASBTOS Derv Calc 6Apr2022.xlsx</t>
  </si>
  <si>
    <t>\\pim-cpt-statpro\SPC_602\Client\Profiles\PIM\Exports\TOYCEF Derv Calc 6Apr2022.xlsx</t>
  </si>
  <si>
    <t>\\pim-cpt-statpro\SPC_602\Client\Profiles\PIM\Exports\TSHMPF Derv Calc 6Apr2022.xlsx</t>
  </si>
  <si>
    <t>GA Empolyees Medical BF</t>
  </si>
  <si>
    <t>BONDS</t>
  </si>
  <si>
    <t>Bonds (1 - 3 Years)</t>
  </si>
  <si>
    <t>Nedbank Group Ltd FRN   NGT104  150125 JB3+450</t>
  </si>
  <si>
    <t>NGT104</t>
  </si>
  <si>
    <t>FRN</t>
  </si>
  <si>
    <t>NEDBANK LTD</t>
  </si>
  <si>
    <t>ZAG000160441</t>
  </si>
  <si>
    <t>Bonds (3 - 7 Years)</t>
  </si>
  <si>
    <t>LBK28 10.565% 150528</t>
  </si>
  <si>
    <t>LBK28</t>
  </si>
  <si>
    <t>VB</t>
  </si>
  <si>
    <t>LANDBANK</t>
  </si>
  <si>
    <t>ZAG000151275</t>
  </si>
  <si>
    <t>RSA 10.50% R186 211226</t>
  </si>
  <si>
    <t>GOVI</t>
  </si>
  <si>
    <t>AAA</t>
  </si>
  <si>
    <t>REP OF SOUTH AFRICA</t>
  </si>
  <si>
    <t>ZAG000016320</t>
  </si>
  <si>
    <t>Standard Bank Group Ltd SBT107 Jb3+379 080427</t>
  </si>
  <si>
    <t>SBT107</t>
  </si>
  <si>
    <t>STANDARD BANK GROUP</t>
  </si>
  <si>
    <t>ZAG000184896</t>
  </si>
  <si>
    <t>Bonds (7 - 12 Years)</t>
  </si>
  <si>
    <t>Transnet 10.50% TN30 091030</t>
  </si>
  <si>
    <t>TN30</t>
  </si>
  <si>
    <t>TRANSNET SOC LTD</t>
  </si>
  <si>
    <t>ZAG000120312</t>
  </si>
  <si>
    <t>Bonds (Greater than 12 Years)</t>
  </si>
  <si>
    <t>R2048 8.75% 280248</t>
  </si>
  <si>
    <t>R2048</t>
  </si>
  <si>
    <t>ZAG000096173</t>
  </si>
  <si>
    <t>RSA 8.50% R2037 310137</t>
  </si>
  <si>
    <t>R2037</t>
  </si>
  <si>
    <t>ZAG000107012</t>
  </si>
  <si>
    <t>Inflation Linked Bonds</t>
  </si>
  <si>
    <t>I2038 2.25% 310138</t>
  </si>
  <si>
    <t>ILB</t>
  </si>
  <si>
    <t>ZAG000096595</t>
  </si>
  <si>
    <t>I2046 2.50% 310346</t>
  </si>
  <si>
    <t>ZAG000106980</t>
  </si>
  <si>
    <t>I2050 2.25% 2050</t>
  </si>
  <si>
    <t>ZAG000096603</t>
  </si>
  <si>
    <t>RSA 1.875% I2033 280233</t>
  </si>
  <si>
    <t>ZAG000125998</t>
  </si>
  <si>
    <t>15JUN22 ALSI</t>
  </si>
  <si>
    <t>ZAD000277663</t>
  </si>
  <si>
    <t>15SEP22 ALSI</t>
  </si>
  <si>
    <t>ZAD000277671</t>
  </si>
  <si>
    <t>15SEP22 ALSI 56000P</t>
  </si>
  <si>
    <t>OP</t>
  </si>
  <si>
    <t>IDXOP</t>
  </si>
  <si>
    <t>ZADA00260281</t>
  </si>
  <si>
    <t>15SEP22 ALSI 69000C</t>
  </si>
  <si>
    <t>ZADA00259275</t>
  </si>
  <si>
    <t>15SEP22 ALSI 70000C</t>
  </si>
  <si>
    <t>ZADA00256511</t>
  </si>
  <si>
    <t>15SEP22 ALSI 74000C</t>
  </si>
  <si>
    <t>ZADA00260075</t>
  </si>
  <si>
    <t>ZAE000179420</t>
  </si>
  <si>
    <t>MAS PLC</t>
  </si>
  <si>
    <t>VGG5884M1041</t>
  </si>
  <si>
    <t>Nepi Rockcastle PLC</t>
  </si>
  <si>
    <t>IM00BDD7WV31</t>
  </si>
  <si>
    <t>GG00B1W3VF54</t>
  </si>
  <si>
    <t>MONEY MARKET</t>
  </si>
  <si>
    <t>Money Market : Maturity (6-12) Months</t>
  </si>
  <si>
    <t>ABSA NCD 5.95% 220223</t>
  </si>
  <si>
    <t>ABSAN220223A</t>
  </si>
  <si>
    <t>MM</t>
  </si>
  <si>
    <t>NCD</t>
  </si>
  <si>
    <t>ZAM000566470</t>
  </si>
  <si>
    <t>Nedbank NCD 5.95% 140223</t>
  </si>
  <si>
    <t>NEDN140223</t>
  </si>
  <si>
    <t>ZAM000565282</t>
  </si>
  <si>
    <t>Standard Bank NCD 5.325% 141222</t>
  </si>
  <si>
    <t>STDN141222</t>
  </si>
  <si>
    <t>STANDARD BANK LTD</t>
  </si>
  <si>
    <t>ZAM000559558</t>
  </si>
  <si>
    <t>Standard Bank NCD 6.35% 310323</t>
  </si>
  <si>
    <t>STDN310323</t>
  </si>
  <si>
    <t>ZAM000571397</t>
  </si>
  <si>
    <t>Money Market : Maturity 12+ Months</t>
  </si>
  <si>
    <t>FirstRand NCD 6.43% 110523</t>
  </si>
  <si>
    <t>FSRN110523</t>
  </si>
  <si>
    <t>FIRSTRAND BANK LTD</t>
  </si>
  <si>
    <t>ZAM000572718</t>
  </si>
  <si>
    <t>Investec Tier1 FRN 12082024 Jb+425</t>
  </si>
  <si>
    <t>INLV01</t>
  </si>
  <si>
    <t>A-</t>
  </si>
  <si>
    <t>INVESTEC LTD</t>
  </si>
  <si>
    <t>ZAG000118647</t>
  </si>
  <si>
    <t>Standard bank NCD 6.51% 220224</t>
  </si>
  <si>
    <t>STDN220224</t>
  </si>
  <si>
    <t>ZAM000566447</t>
  </si>
  <si>
    <t>PREFERENCE SHARES</t>
  </si>
  <si>
    <t>Preference Shares</t>
  </si>
  <si>
    <t>Absa Bank Ltd Preference Shares</t>
  </si>
  <si>
    <t>ABSP</t>
  </si>
  <si>
    <t>PREF</t>
  </si>
  <si>
    <t>ZAE000079810</t>
  </si>
  <si>
    <t>Investec Ltd Preference Share</t>
  </si>
  <si>
    <t>INPR</t>
  </si>
  <si>
    <t>ZAE000063814</t>
  </si>
  <si>
    <t>Netcare Preference Share Ltd</t>
  </si>
  <si>
    <t>NTCP</t>
  </si>
  <si>
    <t>ZAE000081121</t>
  </si>
  <si>
    <t>Standard Bank Group Ltd Preference Shares</t>
  </si>
  <si>
    <t>SBPP</t>
  </si>
  <si>
    <t>Standard Bank Group Ltd Pref</t>
  </si>
  <si>
    <t>ZAE000056339</t>
  </si>
  <si>
    <t>PRIVATE COMPANY</t>
  </si>
  <si>
    <t>Private Company</t>
  </si>
  <si>
    <t>Prescient Clean Energy and Infrastructure Debt Fund Trust</t>
  </si>
  <si>
    <t>PIMEVOA</t>
  </si>
  <si>
    <t>PRIVATE COMP</t>
  </si>
  <si>
    <t>OTHER</t>
  </si>
  <si>
    <t>Synthetic Cash_15JUN22 ALSI</t>
  </si>
  <si>
    <t>Synthetic Cash_15SEP22 ALSI</t>
  </si>
  <si>
    <t>Synthetic Cash_15SEP22 ALSI 56000P</t>
  </si>
  <si>
    <t>SYNCASHOPT</t>
  </si>
  <si>
    <t>Synthetic Cash_15SEP22 ALSI 69000C</t>
  </si>
  <si>
    <t>Synthetic Cash_15SEP22 ALSI 70000C</t>
  </si>
  <si>
    <t>Synthetic Cash_15SEP22 ALSI 74000C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</si>
</sst>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(* #,##0.00_);_(* \(#,##0.00\);_(* &quot;-&quot;??_);_(@_)"/>
    <numFmt numFmtId="165" formatCode="#,##0.0000"/>
    <numFmt numFmtId="166" formatCode="#,##0.000000"/>
    <numFmt numFmtId="167" formatCode="#,##0.00000000"/>
    <numFmt numFmtId="168" formatCode="#,##0.000000000000"/>
    <numFmt numFmtId="170" formatCode="0.0000%"/>
    <numFmt numFmtId="171" formatCode="&quot;R&quot;\ #,##0;[Red]&quot;R&quot;\ \-#,##0"/>
    <numFmt numFmtId="172" formatCode="#,##0.00\ \ ;\(#,##0.00\);\ * &quot;-  &quot;"/>
    <numFmt numFmtId="173" formatCode="_-* #,##0_-;\-* #,##0_-;_-* &quot;-&quot;??_-;_-@_-"/>
    <numFmt numFmtId="174" formatCode="_-* #,##0.0000_-;\-* #,##0.0000_-;_-* &quot;-&quot;??_-;_-@_-"/>
    <numFmt numFmtId="175" formatCode="0.00%\ ;\-0.00%\ ;&quot;-     &quot;"/>
    <numFmt numFmtId="176" formatCode="0.000%"/>
    <numFmt numFmtId="177" formatCode="&quot;R&quot;#,##0_);[Red]\(&quot;R&quot;#,##0\)"/>
    <numFmt numFmtId="178" formatCode="ddd\ d\ mmm\ yyyy"/>
    <numFmt numFmtId="179" formatCode="_(* #,##0_);_(* \(#,##0\);_(* &quot;-&quot;??_);_(@_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name val="Trebuchet MS"/>
      <family val="2"/>
    </font>
    <font>
      <u/>
      <sz val="11"/>
      <color theme="10"/>
      <name val="Calibri"/>
      <family val="2"/>
    </font>
    <font>
      <sz val="8"/>
      <color indexed="8"/>
      <name val="Trebuchet MS"/>
      <family val="2"/>
    </font>
    <font>
      <b/>
      <u/>
      <sz val="8"/>
      <name val="Trebuchet MS"/>
      <family val="2"/>
    </font>
    <font>
      <sz val="8"/>
      <name val="Trebuchet MS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Trebuchet MS"/>
      <family val="2"/>
    </font>
    <font>
      <u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</font>
    <font>
      <u/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0">
    <xf numFmtId="0" fontId="0" fillId="0" borderId="0"/>
    <xf numFmtId="0" fontId="9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0" fontId="12" fillId="0" borderId="0" applyBorder="0"/>
    <xf numFmtId="9" fontId="12" fillId="0" borderId="0" applyFont="0" applyFill="0" applyBorder="0" applyAlignment="0" applyProtection="0"/>
    <xf numFmtId="0" fontId="8" fillId="0" borderId="0"/>
    <xf numFmtId="0" fontId="14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0" fontId="5" fillId="0" borderId="0"/>
    <xf numFmtId="0" fontId="4" fillId="0" borderId="0"/>
    <xf numFmtId="0" fontId="25" fillId="0" borderId="0" applyNumberFormat="0" applyFill="0" applyBorder="0" applyAlignment="0" applyProtection="0"/>
    <xf numFmtId="0" fontId="26" fillId="0" borderId="25" applyNumberFormat="0" applyFill="0" applyAlignment="0" applyProtection="0"/>
    <xf numFmtId="0" fontId="27" fillId="0" borderId="26" applyNumberFormat="0" applyFill="0" applyAlignment="0" applyProtection="0"/>
    <xf numFmtId="0" fontId="28" fillId="0" borderId="2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28" applyNumberFormat="0" applyAlignment="0" applyProtection="0"/>
    <xf numFmtId="0" fontId="33" fillId="12" borderId="29" applyNumberFormat="0" applyAlignment="0" applyProtection="0"/>
    <xf numFmtId="0" fontId="34" fillId="12" borderId="28" applyNumberFormat="0" applyAlignment="0" applyProtection="0"/>
    <xf numFmtId="0" fontId="35" fillId="0" borderId="30" applyNumberFormat="0" applyFill="0" applyAlignment="0" applyProtection="0"/>
    <xf numFmtId="0" fontId="36" fillId="13" borderId="3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33" applyNumberFormat="0" applyFill="0" applyAlignment="0" applyProtection="0"/>
    <xf numFmtId="0" fontId="3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9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14" borderId="32" applyNumberFormat="0" applyFont="0" applyAlignment="0" applyProtection="0"/>
    <xf numFmtId="9" fontId="45" fillId="0" borderId="0" applyFont="0" applyFill="0" applyBorder="0" applyAlignment="0" applyProtection="0"/>
    <xf numFmtId="0" fontId="2" fillId="14" borderId="32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1" fillId="14" borderId="32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190">
    <xf numFmtId="0" fontId="0" fillId="0" borderId="0" xfId="0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0" fillId="0" borderId="0" xfId="0" applyNumberFormat="1"/>
    <xf numFmtId="168" fontId="0" fillId="0" borderId="0" xfId="0" applyNumberFormat="1"/>
    <xf numFmtId="0" fontId="8" fillId="0" borderId="0" xfId="0" applyFont="1"/>
    <xf numFmtId="0" fontId="11" fillId="3" borderId="0" xfId="3" quotePrefix="1" applyFont="1" applyFill="1"/>
    <xf numFmtId="0" fontId="13" fillId="0" borderId="0" xfId="5" applyFont="1"/>
    <xf numFmtId="0" fontId="15" fillId="0" borderId="1" xfId="3" applyFont="1" applyBorder="1"/>
    <xf numFmtId="0" fontId="15" fillId="0" borderId="3" xfId="3" applyFont="1" applyBorder="1"/>
    <xf numFmtId="0" fontId="12" fillId="0" borderId="0" xfId="3" applyBorder="1"/>
    <xf numFmtId="0" fontId="12" fillId="0" borderId="0" xfId="3"/>
    <xf numFmtId="0" fontId="16" fillId="4" borderId="0" xfId="5" applyFont="1" applyFill="1"/>
    <xf numFmtId="170" fontId="15" fillId="5" borderId="4" xfId="4" applyNumberFormat="1" applyFont="1" applyFill="1" applyBorder="1"/>
    <xf numFmtId="170" fontId="15" fillId="5" borderId="0" xfId="4" applyNumberFormat="1" applyFont="1" applyFill="1" applyBorder="1"/>
    <xf numFmtId="170" fontId="15" fillId="5" borderId="5" xfId="4" applyNumberFormat="1" applyFont="1" applyFill="1" applyBorder="1"/>
    <xf numFmtId="171" fontId="13" fillId="0" borderId="0" xfId="5" applyNumberFormat="1" applyFont="1" applyAlignment="1">
      <alignment horizontal="right"/>
    </xf>
    <xf numFmtId="164" fontId="17" fillId="4" borderId="6" xfId="7" applyFont="1" applyFill="1" applyBorder="1"/>
    <xf numFmtId="171" fontId="17" fillId="4" borderId="0" xfId="5" applyNumberFormat="1" applyFont="1" applyFill="1"/>
    <xf numFmtId="0" fontId="15" fillId="0" borderId="0" xfId="3" applyFont="1"/>
    <xf numFmtId="170" fontId="15" fillId="0" borderId="4" xfId="4" applyNumberFormat="1" applyFont="1" applyFill="1" applyBorder="1"/>
    <xf numFmtId="170" fontId="15" fillId="0" borderId="0" xfId="4" applyNumberFormat="1" applyFont="1" applyFill="1" applyBorder="1"/>
    <xf numFmtId="170" fontId="15" fillId="0" borderId="5" xfId="4" applyNumberFormat="1" applyFont="1" applyFill="1" applyBorder="1"/>
    <xf numFmtId="164" fontId="17" fillId="4" borderId="8" xfId="7" applyFont="1" applyFill="1" applyBorder="1"/>
    <xf numFmtId="171" fontId="17" fillId="4" borderId="0" xfId="5" applyNumberFormat="1" applyFont="1" applyFill="1" applyAlignment="1">
      <alignment horizontal="left" indent="1"/>
    </xf>
    <xf numFmtId="0" fontId="15" fillId="0" borderId="4" xfId="3" applyFont="1" applyBorder="1"/>
    <xf numFmtId="0" fontId="15" fillId="0" borderId="0" xfId="3" applyFont="1" applyBorder="1"/>
    <xf numFmtId="0" fontId="15" fillId="0" borderId="5" xfId="3" applyFont="1" applyBorder="1"/>
    <xf numFmtId="164" fontId="17" fillId="6" borderId="6" xfId="7" applyFont="1" applyFill="1" applyBorder="1"/>
    <xf numFmtId="164" fontId="17" fillId="4" borderId="9" xfId="7" applyFont="1" applyFill="1" applyBorder="1"/>
    <xf numFmtId="164" fontId="17" fillId="6" borderId="12" xfId="7" applyFont="1" applyFill="1" applyBorder="1"/>
    <xf numFmtId="10" fontId="17" fillId="6" borderId="15" xfId="4" applyNumberFormat="1" applyFont="1" applyFill="1" applyBorder="1"/>
    <xf numFmtId="170" fontId="15" fillId="5" borderId="10" xfId="4" applyNumberFormat="1" applyFont="1" applyFill="1" applyBorder="1"/>
    <xf numFmtId="170" fontId="15" fillId="5" borderId="11" xfId="4" applyNumberFormat="1" applyFont="1" applyFill="1" applyBorder="1"/>
    <xf numFmtId="164" fontId="17" fillId="4" borderId="9" xfId="7" quotePrefix="1" applyFont="1" applyFill="1" applyBorder="1"/>
    <xf numFmtId="0" fontId="6" fillId="0" borderId="0" xfId="3" applyFont="1"/>
    <xf numFmtId="0" fontId="6" fillId="7" borderId="15" xfId="3" applyFont="1" applyFill="1" applyBorder="1" applyAlignment="1">
      <alignment horizontal="right" wrapText="1"/>
    </xf>
    <xf numFmtId="0" fontId="6" fillId="7" borderId="15" xfId="3" applyFont="1" applyFill="1" applyBorder="1" applyAlignment="1">
      <alignment horizontal="center" wrapText="1"/>
    </xf>
    <xf numFmtId="164" fontId="6" fillId="7" borderId="15" xfId="7" applyFont="1" applyFill="1" applyBorder="1" applyAlignment="1">
      <alignment wrapText="1"/>
    </xf>
    <xf numFmtId="164" fontId="6" fillId="7" borderId="15" xfId="7" applyFont="1" applyFill="1" applyBorder="1" applyAlignment="1">
      <alignment horizontal="left" wrapText="1"/>
    </xf>
    <xf numFmtId="170" fontId="0" fillId="0" borderId="0" xfId="0" applyNumberFormat="1"/>
    <xf numFmtId="0" fontId="8" fillId="0" borderId="0" xfId="5"/>
    <xf numFmtId="0" fontId="15" fillId="0" borderId="2" xfId="3" quotePrefix="1" applyFont="1" applyBorder="1"/>
    <xf numFmtId="0" fontId="9" fillId="0" borderId="0" xfId="1"/>
    <xf numFmtId="0" fontId="21" fillId="0" borderId="0" xfId="9" applyFont="1"/>
    <xf numFmtId="164" fontId="21" fillId="0" borderId="0" xfId="7" applyFont="1"/>
    <xf numFmtId="0" fontId="14" fillId="0" borderId="0" xfId="6"/>
    <xf numFmtId="177" fontId="21" fillId="0" borderId="0" xfId="9" applyNumberFormat="1" applyFont="1"/>
    <xf numFmtId="0" fontId="22" fillId="0" borderId="18" xfId="9" applyFont="1" applyBorder="1"/>
    <xf numFmtId="0" fontId="22" fillId="0" borderId="19" xfId="9" applyFont="1" applyBorder="1"/>
    <xf numFmtId="0" fontId="23" fillId="0" borderId="19" xfId="9" applyFont="1" applyBorder="1"/>
    <xf numFmtId="0" fontId="22" fillId="0" borderId="20" xfId="9" applyFont="1" applyBorder="1"/>
    <xf numFmtId="0" fontId="22" fillId="0" borderId="21" xfId="9" applyFont="1" applyBorder="1"/>
    <xf numFmtId="0" fontId="22" fillId="0" borderId="0" xfId="9" applyFont="1"/>
    <xf numFmtId="0" fontId="23" fillId="0" borderId="0" xfId="9" applyFont="1"/>
    <xf numFmtId="0" fontId="22" fillId="0" borderId="22" xfId="9" applyFont="1" applyBorder="1"/>
    <xf numFmtId="0" fontId="22" fillId="0" borderId="23" xfId="9" applyFont="1" applyBorder="1"/>
    <xf numFmtId="0" fontId="22" fillId="0" borderId="7" xfId="9" applyFont="1" applyBorder="1"/>
    <xf numFmtId="0" fontId="23" fillId="0" borderId="7" xfId="9" applyFont="1" applyBorder="1"/>
    <xf numFmtId="0" fontId="22" fillId="0" borderId="24" xfId="9" applyFont="1" applyBorder="1"/>
    <xf numFmtId="0" fontId="24" fillId="0" borderId="0" xfId="0" applyFont="1"/>
    <xf numFmtId="0" fontId="40" fillId="0" borderId="0" xfId="3" applyFont="1"/>
    <xf numFmtId="172" fontId="40" fillId="0" borderId="0" xfId="3" applyNumberFormat="1" applyFont="1" applyBorder="1"/>
    <xf numFmtId="10" fontId="41" fillId="0" borderId="0" xfId="4" applyNumberFormat="1" applyFont="1" applyBorder="1"/>
    <xf numFmtId="10" fontId="41" fillId="0" borderId="16" xfId="4" applyNumberFormat="1" applyFont="1" applyBorder="1"/>
    <xf numFmtId="10" fontId="19" fillId="0" borderId="7" xfId="4" applyNumberFormat="1" applyFont="1" applyBorder="1"/>
    <xf numFmtId="10" fontId="19" fillId="0" borderId="0" xfId="4" applyNumberFormat="1" applyFont="1" applyBorder="1"/>
    <xf numFmtId="10" fontId="19" fillId="0" borderId="3" xfId="4" applyNumberFormat="1" applyFont="1" applyBorder="1"/>
    <xf numFmtId="10" fontId="19" fillId="0" borderId="5" xfId="4" applyNumberFormat="1" applyFont="1" applyBorder="1"/>
    <xf numFmtId="10" fontId="19" fillId="0" borderId="11" xfId="4" applyNumberFormat="1" applyFont="1" applyBorder="1"/>
    <xf numFmtId="10" fontId="19" fillId="0" borderId="14" xfId="4" applyNumberFormat="1" applyFont="1" applyBorder="1"/>
    <xf numFmtId="164" fontId="15" fillId="0" borderId="0" xfId="2" applyFont="1" applyBorder="1"/>
    <xf numFmtId="164" fontId="17" fillId="6" borderId="16" xfId="7" applyFont="1" applyFill="1" applyBorder="1"/>
    <xf numFmtId="164" fontId="42" fillId="7" borderId="15" xfId="7" applyFont="1" applyFill="1" applyBorder="1" applyAlignment="1">
      <alignment horizontal="right"/>
    </xf>
    <xf numFmtId="173" fontId="42" fillId="7" borderId="15" xfId="7" applyNumberFormat="1" applyFont="1" applyFill="1" applyBorder="1" applyAlignment="1"/>
    <xf numFmtId="164" fontId="42" fillId="7" borderId="15" xfId="7" applyFont="1" applyFill="1" applyBorder="1" applyAlignment="1">
      <alignment horizontal="center"/>
    </xf>
    <xf numFmtId="174" fontId="42" fillId="7" borderId="15" xfId="7" applyNumberFormat="1" applyFont="1" applyFill="1" applyBorder="1" applyAlignment="1"/>
    <xf numFmtId="0" fontId="12" fillId="0" borderId="15" xfId="3" applyFont="1" applyBorder="1"/>
    <xf numFmtId="164" fontId="42" fillId="7" borderId="0" xfId="7" applyFont="1" applyFill="1" applyBorder="1" applyAlignment="1">
      <alignment horizontal="right"/>
    </xf>
    <xf numFmtId="173" fontId="42" fillId="7" borderId="0" xfId="7" applyNumberFormat="1" applyFont="1" applyFill="1" applyBorder="1" applyAlignment="1"/>
    <xf numFmtId="164" fontId="42" fillId="7" borderId="0" xfId="7" applyFont="1" applyFill="1" applyBorder="1" applyAlignment="1">
      <alignment horizontal="center"/>
    </xf>
    <xf numFmtId="174" fontId="42" fillId="7" borderId="0" xfId="7" applyNumberFormat="1" applyFont="1" applyFill="1" applyBorder="1" applyAlignment="1"/>
    <xf numFmtId="0" fontId="12" fillId="0" borderId="0" xfId="3" applyFont="1" applyBorder="1"/>
    <xf numFmtId="164" fontId="42" fillId="0" borderId="15" xfId="7" applyFont="1" applyFill="1" applyBorder="1" applyAlignment="1">
      <alignment horizontal="right"/>
    </xf>
    <xf numFmtId="0" fontId="12" fillId="0" borderId="0" xfId="3" applyFont="1"/>
    <xf numFmtId="164" fontId="42" fillId="7" borderId="15" xfId="7" applyFont="1" applyFill="1" applyBorder="1"/>
    <xf numFmtId="164" fontId="42" fillId="7" borderId="15" xfId="7" applyFont="1" applyFill="1" applyBorder="1" applyAlignment="1">
      <alignment horizontal="left"/>
    </xf>
    <xf numFmtId="175" fontId="42" fillId="7" borderId="15" xfId="7" applyNumberFormat="1" applyFont="1" applyFill="1" applyBorder="1"/>
    <xf numFmtId="164" fontId="42" fillId="0" borderId="15" xfId="7" applyFont="1" applyFill="1" applyBorder="1" applyAlignment="1">
      <alignment horizontal="left"/>
    </xf>
    <xf numFmtId="164" fontId="42" fillId="7" borderId="0" xfId="7" applyFont="1" applyFill="1" applyBorder="1"/>
    <xf numFmtId="164" fontId="42" fillId="7" borderId="0" xfId="7" applyFont="1" applyFill="1" applyBorder="1" applyAlignment="1">
      <alignment horizontal="left"/>
    </xf>
    <xf numFmtId="175" fontId="42" fillId="7" borderId="0" xfId="7" applyNumberFormat="1" applyFont="1" applyFill="1" applyBorder="1"/>
    <xf numFmtId="0" fontId="40" fillId="0" borderId="0" xfId="3" applyFont="1" applyAlignment="1">
      <alignment horizontal="center"/>
    </xf>
    <xf numFmtId="0" fontId="40" fillId="0" borderId="0" xfId="3" applyFont="1" applyAlignment="1">
      <alignment horizontal="right"/>
    </xf>
    <xf numFmtId="164" fontId="40" fillId="0" borderId="16" xfId="3" applyNumberFormat="1" applyFont="1" applyBorder="1"/>
    <xf numFmtId="164" fontId="40" fillId="0" borderId="17" xfId="3" applyNumberFormat="1" applyFont="1" applyBorder="1"/>
    <xf numFmtId="164" fontId="40" fillId="0" borderId="12" xfId="3" applyNumberFormat="1" applyFont="1" applyBorder="1"/>
    <xf numFmtId="176" fontId="19" fillId="6" borderId="0" xfId="4" applyNumberFormat="1" applyFont="1" applyFill="1" applyBorder="1"/>
    <xf numFmtId="176" fontId="40" fillId="0" borderId="0" xfId="3" applyNumberFormat="1" applyFont="1"/>
    <xf numFmtId="164" fontId="40" fillId="0" borderId="0" xfId="3" applyNumberFormat="1" applyFont="1" applyBorder="1"/>
    <xf numFmtId="170" fontId="40" fillId="0" borderId="0" xfId="3" applyNumberFormat="1" applyFont="1" applyBorder="1"/>
    <xf numFmtId="0" fontId="40" fillId="0" borderId="0" xfId="3" applyFont="1" applyAlignment="1">
      <alignment horizontal="left" indent="1"/>
    </xf>
    <xf numFmtId="164" fontId="40" fillId="0" borderId="4" xfId="3" applyNumberFormat="1" applyFont="1" applyBorder="1"/>
    <xf numFmtId="164" fontId="40" fillId="0" borderId="10" xfId="3" applyNumberFormat="1" applyFont="1" applyBorder="1"/>
    <xf numFmtId="170" fontId="19" fillId="0" borderId="16" xfId="4" applyNumberFormat="1" applyFont="1" applyBorder="1"/>
    <xf numFmtId="170" fontId="19" fillId="0" borderId="17" xfId="4" applyNumberFormat="1" applyFont="1" applyBorder="1"/>
    <xf numFmtId="176" fontId="19" fillId="0" borderId="0" xfId="4" applyNumberFormat="1" applyFont="1" applyBorder="1"/>
    <xf numFmtId="0" fontId="41" fillId="2" borderId="0" xfId="3" applyFont="1" applyFill="1" applyBorder="1" applyAlignment="1">
      <alignment horizontal="center" wrapText="1"/>
    </xf>
    <xf numFmtId="0" fontId="11" fillId="3" borderId="34" xfId="6" applyFont="1" applyFill="1" applyBorder="1"/>
    <xf numFmtId="0" fontId="41" fillId="2" borderId="34" xfId="3" applyFont="1" applyFill="1" applyBorder="1" applyAlignment="1">
      <alignment horizontal="center" wrapText="1"/>
    </xf>
    <xf numFmtId="172" fontId="40" fillId="0" borderId="7" xfId="3" applyNumberFormat="1" applyFont="1" applyBorder="1"/>
    <xf numFmtId="172" fontId="40" fillId="0" borderId="2" xfId="3" applyNumberFormat="1" applyFont="1" applyBorder="1"/>
    <xf numFmtId="172" fontId="40" fillId="0" borderId="4" xfId="3" applyNumberFormat="1" applyFont="1" applyBorder="1"/>
    <xf numFmtId="172" fontId="40" fillId="0" borderId="10" xfId="3" applyNumberFormat="1" applyFont="1" applyBorder="1"/>
    <xf numFmtId="0" fontId="40" fillId="0" borderId="0" xfId="3" applyFont="1" applyAlignment="1">
      <alignment wrapText="1"/>
    </xf>
    <xf numFmtId="172" fontId="40" fillId="0" borderId="13" xfId="3" applyNumberFormat="1" applyFont="1" applyBorder="1"/>
    <xf numFmtId="0" fontId="40" fillId="0" borderId="0" xfId="3" applyFont="1" applyAlignment="1">
      <alignment horizontal="left"/>
    </xf>
    <xf numFmtId="172" fontId="40" fillId="0" borderId="10" xfId="3" quotePrefix="1" applyNumberFormat="1" applyFont="1" applyBorder="1"/>
    <xf numFmtId="172" fontId="41" fillId="0" borderId="0" xfId="3" applyNumberFormat="1" applyFont="1" applyBorder="1"/>
    <xf numFmtId="0" fontId="40" fillId="0" borderId="0" xfId="3" applyFont="1" applyAlignment="1">
      <alignment horizontal="left" indent="2"/>
    </xf>
    <xf numFmtId="0" fontId="40" fillId="0" borderId="0" xfId="3" applyFont="1" applyBorder="1"/>
    <xf numFmtId="172" fontId="41" fillId="0" borderId="16" xfId="3" applyNumberFormat="1" applyFont="1" applyBorder="1"/>
    <xf numFmtId="0" fontId="40" fillId="0" borderId="0" xfId="3" applyFont="1" applyBorder="1" applyAlignment="1">
      <alignment horizontal="left" indent="1"/>
    </xf>
    <xf numFmtId="0" fontId="40" fillId="0" borderId="0" xfId="3" applyFont="1" applyBorder="1" applyAlignment="1">
      <alignment horizontal="left" indent="2"/>
    </xf>
    <xf numFmtId="0" fontId="40" fillId="0" borderId="0" xfId="3" quotePrefix="1" applyFont="1"/>
    <xf numFmtId="170" fontId="40" fillId="0" borderId="3" xfId="3" applyNumberFormat="1" applyFont="1" applyBorder="1"/>
    <xf numFmtId="170" fontId="40" fillId="0" borderId="5" xfId="3" applyNumberFormat="1" applyFont="1" applyBorder="1"/>
    <xf numFmtId="170" fontId="40" fillId="0" borderId="11" xfId="3" applyNumberFormat="1" applyFont="1" applyBorder="1"/>
    <xf numFmtId="170" fontId="40" fillId="0" borderId="0" xfId="3" applyNumberFormat="1" applyFont="1"/>
    <xf numFmtId="164" fontId="40" fillId="0" borderId="2" xfId="3" applyNumberFormat="1" applyFont="1" applyBorder="1"/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9" fillId="0" borderId="0" xfId="1" applyAlignment="1">
      <alignment horizontal="left"/>
    </xf>
    <xf numFmtId="170" fontId="9" fillId="0" borderId="0" xfId="1" applyNumberFormat="1" applyAlignment="1">
      <alignment horizontal="left"/>
    </xf>
    <xf numFmtId="4" fontId="9" fillId="0" borderId="0" xfId="1" applyNumberFormat="1"/>
    <xf numFmtId="10" fontId="19" fillId="0" borderId="35" xfId="4" applyNumberFormat="1" applyFont="1" applyBorder="1"/>
    <xf numFmtId="172" fontId="40" fillId="0" borderId="0" xfId="3" quotePrefix="1" applyNumberFormat="1" applyFont="1" applyBorder="1"/>
    <xf numFmtId="172" fontId="40" fillId="0" borderId="35" xfId="3" applyNumberFormat="1" applyFont="1" applyBorder="1"/>
    <xf numFmtId="170" fontId="40" fillId="0" borderId="0" xfId="51" applyNumberFormat="1" applyFont="1"/>
    <xf numFmtId="178" fontId="0" fillId="0" borderId="0" xfId="0" applyNumberFormat="1"/>
    <xf numFmtId="0" fontId="8" fillId="0" borderId="0" xfId="0" applyFont="1" applyAlignment="1">
      <alignment vertical="center" wrapText="1"/>
    </xf>
    <xf numFmtId="179" fontId="0" fillId="0" borderId="0" xfId="2" applyNumberFormat="1" applyFont="1"/>
    <xf numFmtId="179" fontId="8" fillId="0" borderId="0" xfId="2" applyNumberFormat="1" applyFont="1"/>
    <xf numFmtId="0" fontId="44" fillId="3" borderId="0" xfId="0" applyFont="1" applyFill="1" applyAlignment="1">
      <alignment horizontal="center" vertical="top" wrapText="1"/>
    </xf>
    <xf numFmtId="179" fontId="44" fillId="3" borderId="0" xfId="2" applyNumberFormat="1" applyFont="1" applyFill="1" applyAlignment="1">
      <alignment horizontal="center" vertical="top" wrapText="1"/>
    </xf>
    <xf numFmtId="0" fontId="44" fillId="3" borderId="0" xfId="0" applyFont="1" applyFill="1" applyAlignment="1">
      <alignment vertical="top" wrapText="1"/>
    </xf>
    <xf numFmtId="0" fontId="8" fillId="0" borderId="0" xfId="2" quotePrefix="1" applyNumberFormat="1" applyFont="1" applyAlignment="1">
      <alignment vertical="top"/>
    </xf>
    <xf numFmtId="0" fontId="0" fillId="0" borderId="0" xfId="0" applyAlignment="1">
      <alignment vertical="top"/>
    </xf>
    <xf numFmtId="0" fontId="44" fillId="3" borderId="0" xfId="0" applyFont="1" applyFill="1" applyAlignment="1">
      <alignment horizontal="left" wrapText="1"/>
    </xf>
    <xf numFmtId="0" fontId="46" fillId="0" borderId="0" xfId="1" applyFont="1" applyFill="1" applyBorder="1"/>
    <xf numFmtId="0" fontId="39" fillId="0" borderId="0" xfId="3" applyFont="1"/>
    <xf numFmtId="0" fontId="47" fillId="0" borderId="0" xfId="3" applyFont="1" applyAlignment="1">
      <alignment horizontal="center"/>
    </xf>
    <xf numFmtId="164" fontId="40" fillId="0" borderId="0" xfId="2" applyFont="1"/>
    <xf numFmtId="172" fontId="40" fillId="0" borderId="4" xfId="3" quotePrefix="1" applyNumberFormat="1" applyFont="1" applyBorder="1"/>
    <xf numFmtId="0" fontId="15" fillId="0" borderId="2" xfId="3" applyFont="1" applyBorder="1" applyAlignment="1">
      <alignment horizontal="right"/>
    </xf>
    <xf numFmtId="170" fontId="15" fillId="0" borderId="4" xfId="3" applyNumberFormat="1" applyFont="1" applyBorder="1"/>
    <xf numFmtId="0" fontId="15" fillId="0" borderId="4" xfId="3" applyFont="1" applyBorder="1" applyAlignment="1">
      <alignment horizontal="right"/>
    </xf>
    <xf numFmtId="170" fontId="15" fillId="0" borderId="10" xfId="3" applyNumberFormat="1" applyFont="1" applyBorder="1"/>
    <xf numFmtId="0" fontId="15" fillId="0" borderId="4" xfId="3" quotePrefix="1" applyFont="1" applyBorder="1"/>
    <xf numFmtId="43" fontId="40" fillId="0" borderId="0" xfId="3" applyNumberFormat="1" applyFont="1" applyBorder="1"/>
    <xf numFmtId="43" fontId="41" fillId="0" borderId="0" xfId="3" applyNumberFormat="1" applyFont="1" applyBorder="1"/>
    <xf numFmtId="170" fontId="41" fillId="0" borderId="0" xfId="3" applyNumberFormat="1" applyFont="1" applyBorder="1"/>
    <xf numFmtId="0" fontId="41" fillId="0" borderId="0" xfId="3" applyFont="1"/>
    <xf numFmtId="0" fontId="41" fillId="0" borderId="0" xfId="3" applyFont="1" applyAlignment="1">
      <alignment horizontal="left"/>
    </xf>
    <xf numFmtId="164" fontId="40" fillId="0" borderId="0" xfId="3" applyNumberFormat="1" applyFont="1"/>
    <xf numFmtId="164" fontId="40" fillId="0" borderId="2" xfId="2" applyFont="1" applyFill="1" applyBorder="1"/>
    <xf numFmtId="164" fontId="40" fillId="0" borderId="3" xfId="2" applyFont="1" applyFill="1" applyBorder="1"/>
    <xf numFmtId="164" fontId="40" fillId="0" borderId="4" xfId="2" applyFont="1" applyFill="1" applyBorder="1"/>
    <xf numFmtId="164" fontId="40" fillId="0" borderId="5" xfId="2" applyFont="1" applyFill="1" applyBorder="1"/>
    <xf numFmtId="164" fontId="40" fillId="0" borderId="10" xfId="2" applyFont="1" applyFill="1" applyBorder="1"/>
    <xf numFmtId="164" fontId="40" fillId="0" borderId="11" xfId="2" applyFont="1" applyFill="1" applyBorder="1"/>
    <xf numFmtId="164" fontId="40" fillId="0" borderId="3" xfId="3" applyNumberFormat="1" applyFont="1" applyBorder="1"/>
    <xf numFmtId="164" fontId="40" fillId="0" borderId="5" xfId="3" applyNumberFormat="1" applyFont="1" applyBorder="1"/>
    <xf numFmtId="164" fontId="40" fillId="0" borderId="11" xfId="3" applyNumberFormat="1" applyFont="1" applyBorder="1"/>
    <xf numFmtId="0" fontId="40" fillId="0" borderId="0" xfId="3" quotePrefix="1" applyFont="1" applyAlignment="1">
      <alignment horizontal="left" indent="1"/>
    </xf>
    <xf numFmtId="164" fontId="40" fillId="0" borderId="2" xfId="2" applyFont="1" applyBorder="1"/>
    <xf numFmtId="164" fontId="40" fillId="0" borderId="3" xfId="2" applyFont="1" applyBorder="1"/>
    <xf numFmtId="164" fontId="40" fillId="0" borderId="10" xfId="2" applyFont="1" applyBorder="1"/>
    <xf numFmtId="164" fontId="40" fillId="0" borderId="11" xfId="2" applyFont="1" applyBorder="1"/>
    <xf numFmtId="164" fontId="41" fillId="0" borderId="0" xfId="3" applyNumberFormat="1" applyFont="1"/>
    <xf numFmtId="0" fontId="47" fillId="0" borderId="0" xfId="3" applyFont="1" applyAlignment="1">
      <alignment horizontal="left"/>
    </xf>
    <xf numFmtId="0" fontId="15" fillId="0" borderId="9" xfId="3" applyFont="1" applyBorder="1"/>
    <xf numFmtId="170" fontId="15" fillId="5" borderId="37" xfId="4" applyNumberFormat="1" applyFont="1" applyFill="1" applyBorder="1"/>
    <xf numFmtId="0" fontId="44" fillId="3" borderId="0" xfId="2" quotePrefix="1" applyNumberFormat="1" applyFont="1" applyFill="1" applyAlignment="1">
      <alignment vertical="top" wrapText="1"/>
    </xf>
    <xf numFmtId="0" fontId="6" fillId="2" borderId="38" xfId="0" applyFont="1" applyFill="1" applyBorder="1" applyAlignment="1">
      <alignment horizontal="center"/>
    </xf>
    <xf numFmtId="0" fontId="6" fillId="2" borderId="38" xfId="3" applyNumberFormat="1" applyFont="1" applyFill="1" applyBorder="1" applyAlignment="1" applyProtection="1">
      <alignment horizontal="center"/>
    </xf>
    <xf numFmtId="0" fontId="9" fillId="0" borderId="36" xfId="1" applyBorder="1"/>
  </cellXfs>
  <cellStyles count="90">
    <cellStyle name="20% - Accent1" xfId="27" builtinId="30" customBuiltin="1"/>
    <cellStyle name="20% - Accent1 2" xfId="53" xr:uid="{0F1DBE2A-1F0C-441E-B066-12EDC9A52619}"/>
    <cellStyle name="20% - Accent1 3" xfId="72" xr:uid="{2B6E5399-ECA6-44B6-B325-AE67120CE8F5}"/>
    <cellStyle name="20% - Accent2" xfId="31" builtinId="34" customBuiltin="1"/>
    <cellStyle name="20% - Accent2 2" xfId="56" xr:uid="{1DF1D605-1029-42C5-90D2-A9015A25F02F}"/>
    <cellStyle name="20% - Accent2 3" xfId="75" xr:uid="{8E1D0692-CC00-40A5-91AE-982B90B01C00}"/>
    <cellStyle name="20% - Accent3" xfId="35" builtinId="38" customBuiltin="1"/>
    <cellStyle name="20% - Accent3 2" xfId="59" xr:uid="{44F3CAAE-4529-400C-878A-F29C0BA666B3}"/>
    <cellStyle name="20% - Accent3 3" xfId="78" xr:uid="{65A64FCF-DFA4-4CEC-AF8E-49366A8E9DFC}"/>
    <cellStyle name="20% - Accent4" xfId="39" builtinId="42" customBuiltin="1"/>
    <cellStyle name="20% - Accent4 2" xfId="62" xr:uid="{E5423FB5-8E57-4753-8F42-41ED5F3F45D0}"/>
    <cellStyle name="20% - Accent4 3" xfId="81" xr:uid="{36531D5C-F92F-406E-A6BA-A943F9306356}"/>
    <cellStyle name="20% - Accent5" xfId="43" builtinId="46" customBuiltin="1"/>
    <cellStyle name="20% - Accent5 2" xfId="65" xr:uid="{0C2C12DB-554C-46F1-B3B8-FB3F3A226BFB}"/>
    <cellStyle name="20% - Accent5 3" xfId="84" xr:uid="{263D9220-C983-4E9C-9ABB-99250389925A}"/>
    <cellStyle name="20% - Accent6" xfId="47" builtinId="50" customBuiltin="1"/>
    <cellStyle name="20% - Accent6 2" xfId="68" xr:uid="{4596741C-90B3-4CEA-A68E-989B4B4B4C53}"/>
    <cellStyle name="20% - Accent6 3" xfId="87" xr:uid="{D8C236E0-8B3C-4258-98AD-59E6DDD30BD9}"/>
    <cellStyle name="40% - Accent1" xfId="28" builtinId="31" customBuiltin="1"/>
    <cellStyle name="40% - Accent1 2" xfId="54" xr:uid="{AC1593B2-183B-4ED1-94C2-85A7F52BC549}"/>
    <cellStyle name="40% - Accent1 3" xfId="73" xr:uid="{74D8D601-CA0D-4F4B-8176-7408B9B65298}"/>
    <cellStyle name="40% - Accent2" xfId="32" builtinId="35" customBuiltin="1"/>
    <cellStyle name="40% - Accent2 2" xfId="57" xr:uid="{DB051FC0-A55C-45F8-B1F3-9B111FE96EAA}"/>
    <cellStyle name="40% - Accent2 3" xfId="76" xr:uid="{A0ACAE9D-31BE-4B9B-B9C8-09184B50D83B}"/>
    <cellStyle name="40% - Accent3" xfId="36" builtinId="39" customBuiltin="1"/>
    <cellStyle name="40% - Accent3 2" xfId="60" xr:uid="{C87CD9B9-9F74-427E-8305-40CC46FED6CC}"/>
    <cellStyle name="40% - Accent3 3" xfId="79" xr:uid="{707EEDEB-9ABA-478D-B2C4-6422DF99B3E0}"/>
    <cellStyle name="40% - Accent4" xfId="40" builtinId="43" customBuiltin="1"/>
    <cellStyle name="40% - Accent4 2" xfId="63" xr:uid="{713BC0FE-EB95-47CB-8950-D2E6F6CFC197}"/>
    <cellStyle name="40% - Accent4 3" xfId="82" xr:uid="{571E096E-DA00-467A-A830-FADBEBCFBC08}"/>
    <cellStyle name="40% - Accent5" xfId="44" builtinId="47" customBuiltin="1"/>
    <cellStyle name="40% - Accent5 2" xfId="66" xr:uid="{AA056A2D-FE6B-41CE-928B-8CB115C674B1}"/>
    <cellStyle name="40% - Accent5 3" xfId="85" xr:uid="{E3584884-B69D-4E0E-AB04-8599C2636022}"/>
    <cellStyle name="40% - Accent6" xfId="48" builtinId="51" customBuiltin="1"/>
    <cellStyle name="40% - Accent6 2" xfId="69" xr:uid="{D8E11119-CABE-42B2-BA74-DE0AF87F5B86}"/>
    <cellStyle name="40% - Accent6 3" xfId="88" xr:uid="{68710B82-97DA-4A05-9092-1CE0C5A11F79}"/>
    <cellStyle name="60% - Accent1" xfId="29" builtinId="32" customBuiltin="1"/>
    <cellStyle name="60% - Accent1 2" xfId="55" xr:uid="{DA7E9FE1-4EA7-4944-86DD-66A0A606CB40}"/>
    <cellStyle name="60% - Accent1 3" xfId="74" xr:uid="{9BEC743C-EC7F-4254-9330-C124F1905D6D}"/>
    <cellStyle name="60% - Accent2" xfId="33" builtinId="36" customBuiltin="1"/>
    <cellStyle name="60% - Accent2 2" xfId="58" xr:uid="{F121DD5E-C29A-43F2-BBCF-0F293C84AD63}"/>
    <cellStyle name="60% - Accent2 3" xfId="77" xr:uid="{6C4C0AEC-7CDA-49EB-9944-DD7B1252A312}"/>
    <cellStyle name="60% - Accent3" xfId="37" builtinId="40" customBuiltin="1"/>
    <cellStyle name="60% - Accent3 2" xfId="61" xr:uid="{7AB7F617-1452-4B08-942E-3682E9B56C91}"/>
    <cellStyle name="60% - Accent3 3" xfId="80" xr:uid="{85E49440-FBC2-44C5-940C-742EF9A04A39}"/>
    <cellStyle name="60% - Accent4" xfId="41" builtinId="44" customBuiltin="1"/>
    <cellStyle name="60% - Accent4 2" xfId="64" xr:uid="{ECD9B0CD-2867-4B8C-9EE0-8C171472AEFF}"/>
    <cellStyle name="60% - Accent4 3" xfId="83" xr:uid="{825D297C-2BAC-41DE-823D-AF868A608FE2}"/>
    <cellStyle name="60% - Accent5" xfId="45" builtinId="48" customBuiltin="1"/>
    <cellStyle name="60% - Accent5 2" xfId="67" xr:uid="{57C529EE-720C-4AC8-913E-033EE515320B}"/>
    <cellStyle name="60% - Accent5 3" xfId="86" xr:uid="{560F356B-E410-4B7D-A685-DB1A7BECB38B}"/>
    <cellStyle name="60% - Accent6" xfId="49" builtinId="52" customBuiltin="1"/>
    <cellStyle name="60% - Accent6 2" xfId="70" xr:uid="{48ECBAA9-ACFE-4330-A896-7AC97736321C}"/>
    <cellStyle name="60% - Accent6 3" xfId="89" xr:uid="{F9E4ADB9-8287-43EF-B395-24F9D6A959FF}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2" builtinId="3"/>
    <cellStyle name="Comma 2" xfId="7" xr:uid="{1F686FE8-E1A4-4E5C-9C48-EA06192BD89E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1" builtinId="8"/>
    <cellStyle name="Hyperlink 2" xfId="6" xr:uid="{BD16C4CB-BA31-4F7A-9159-DB96F74F80D8}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3" xr:uid="{1B1880E1-820D-4EF2-B675-A2FBBF275EA9}"/>
    <cellStyle name="Normal 2 2" xfId="5" xr:uid="{0DFD4AF9-D817-4402-85A0-88FD3AA104FE}"/>
    <cellStyle name="Normal 5" xfId="8" xr:uid="{74B7F916-7516-4E84-A025-51B82D9DD659}"/>
    <cellStyle name="Normal 5 2" xfId="9" xr:uid="{E3C1CA73-ACDC-42F6-B746-C40159E2B8E9}"/>
    <cellStyle name="Note 2" xfId="50" xr:uid="{F3D2F0BC-EB02-4F39-844E-F7C9C3043A3B}"/>
    <cellStyle name="Note 3" xfId="52" xr:uid="{0E069B5C-77F9-49C7-B6AA-6FA06AE47DEB}"/>
    <cellStyle name="Note 4" xfId="71" xr:uid="{FE9FE001-3685-4A34-837E-25244D218D51}"/>
    <cellStyle name="Output" xfId="19" builtinId="21" customBuiltin="1"/>
    <cellStyle name="Percent" xfId="51" builtinId="5"/>
    <cellStyle name="Percent 2" xfId="4" xr:uid="{084F6482-4B68-4BFB-BDA3-15160208314F}"/>
    <cellStyle name="Title" xfId="10" builtinId="15" customBuiltin="1"/>
    <cellStyle name="Total" xfId="25" builtinId="25" customBuiltin="1"/>
    <cellStyle name="Warning Text" xfId="23" builtinId="11" customBuiltin="1"/>
  </cellStyles>
  <dxfs count="43"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33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theme="0"/>
      </font>
    </dxf>
    <dxf>
      <font>
        <color theme="0"/>
      </font>
      <numFmt numFmtId="0" formatCode="General"/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/>
        <color rgb="FF00FF00"/>
      </font>
      <fill>
        <patternFill>
          <bgColor rgb="FFFF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/>
        <condense val="0"/>
        <extend val="0"/>
        <color indexed="11"/>
      </font>
      <fill>
        <patternFill>
          <bgColor indexed="1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1"/>
      </font>
      <fill>
        <patternFill patternType="solid">
          <fgColor auto="1"/>
          <bgColor rgb="FF00FF00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 patternType="solid">
          <fgColor auto="1"/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99C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76" Type="http://schemas.openxmlformats.org/officeDocument/2006/relationships/externalLink" Target="externalLinks/externalLink69.xml"/><Relationship Id="rId84" Type="http://schemas.openxmlformats.org/officeDocument/2006/relationships/externalLink" Target="externalLinks/externalLink77.xml"/><Relationship Id="rId89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66" Type="http://schemas.openxmlformats.org/officeDocument/2006/relationships/externalLink" Target="externalLinks/externalLink59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8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38100</xdr:rowOff>
        </xdr:from>
        <xdr:to>
          <xdr:col>0</xdr:col>
          <xdr:colOff>590550</xdr:colOff>
          <xdr:row>0</xdr:row>
          <xdr:rowOff>266700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ZA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123825</xdr:colOff>
      <xdr:row>0</xdr:row>
      <xdr:rowOff>0</xdr:rowOff>
    </xdr:from>
    <xdr:to>
      <xdr:col>24</xdr:col>
      <xdr:colOff>123244</xdr:colOff>
      <xdr:row>10</xdr:row>
      <xdr:rowOff>118985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0" y="0"/>
          <a:ext cx="4266619" cy="2290685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0</xdr:row>
      <xdr:rowOff>0</xdr:rowOff>
    </xdr:from>
    <xdr:to>
      <xdr:col>24</xdr:col>
      <xdr:colOff>123244</xdr:colOff>
      <xdr:row>10</xdr:row>
      <xdr:rowOff>118985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0" y="0"/>
          <a:ext cx="4266619" cy="22906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SBAL_C%20Derv%20Calc%206Apr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AEF%20Derv%20Calc%206Apr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DRRC%20Derv%20Calc%206Apr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OS%20Derv%20Calc%206Apr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BMMABR%20Derv%20Calc%206Apr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TCWP2%20Derv%20Calc%206Apr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IJGBAL%20Derv%20Calc%206Apr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CEF%20Derv%20Calc%206Apr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EQTF%20Derv%20Calc%206Apr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IMBAL%20Derv%20Calc%206Apr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EAQ%20Derv%20Calc%206Apr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BAL%20Derv%20Calc%206Apr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EF%20Derv%20Calc%206Apr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BMMEQU%20Derv%20Calc%206Apr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EQ%20Derv%20Calc%206Apr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AAMMAN%20Derv%20Calc%206Apr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AAMCAU%20Derv%20Calc%206Apr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ABS%20Derv%20Calc%206Apr202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AAMMOD%20Derv%20Calc%206Apr202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RRF%20Derv%20Calc%206Apr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HOLDINC%20Derv%20Calc%206Apr202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CAPGIP%20Derv%20Calc%206Apr202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OMBBF%20Derv%20Calc%206Apr202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SFLEX%20Derv%20Calc%206Apr202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HOLYPF%20Derv%20Calc%206Apr202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AIF%20Derv%20Calc%206Apr202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RFINV%20Derv%20Calc%206Apr202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SHFLX%20Derv%20Calc%206Apr202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OMFLX%20Derv%20Calc%206Apr2022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IBF%20Derv%20Calc%206Apr202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BNDQ%20Derv%20Calc%206Apr202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OMFLXI5%20Derv%20Calc%206Apr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BPR%20Derv%20Calc%206Apr202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TSBND%20Derv%20Calc%206Apr2022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SHGFB%20Derv%20Calc%206Apr2022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BMMBND%20Derv%20Calc%206Apr202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GEF%20Derv%20Calc%206Apr202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GGF%20Derv%20Calc%206Apr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IJGCOR%20Derv%20Calc%206Apr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GIF%20Derv%20Calc%206Apr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FFIF%20Derv%20Calc%206Apr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STIF%20Derv%20Calc%206Apr202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OIF_C%20Derv%20Calc%206Apr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IJGIPF%20Derv%20Calc%206Apr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SIF%20Derv%20Calc%206Apr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CSHQ%20Derv%20Calc%206Apr202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MMEYP%20Derv%20Calc%206Apr202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MHPBQ%20Derv%20Calc%206Apr202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WGSWX%20Derv%20Calc%206Apr202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SBTOS%20Derv%20Calc%206Apr202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OMPRET%20Derv%20Calc%206Apr202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SPAM%20Derv%20Calc%206Apr202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LPRNA%20Derv%20Calc%206Apr2022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ORFGPR%20Derv%20Calc%206Apr2022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MRETF%20Derv%20Calc%206Apr202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MRETF2%20Derv%20Calc%206Apr2022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LCIPF%20Derv%20Calc%206Apr202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TSHMPF%20Derv%20Calc%206Apr2022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NFMWEQU%20Derv%20Calc%206Apr202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WPFEQU%20Derv%20Calc%206Apr202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WEQU%20Derv%20Calc%206Apr202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TOYCEF%20Derv%20Calc%206Apr2022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LIBTAA%20Derv%20Calc%206Apr2022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NESEQU%20Derv%20Calc%206Apr2022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PSNAM%20Derv%20Calc%206Apr2022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NGENMBF%20Derv%20Calc%206Apr2022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LMED%20Derv%20Calc%206Apr202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GAEMBF%20Derv%20Calc%206Apr2022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PICPROV%20Derv%20Calc%206Apr2022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ECICBALC%20Derv%20Calc%206Apr202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ISLP%20Derv%20Calc%206Apr2022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ILEQF%20Derv%20Calc%206Apr2022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SHNIPF%20Derv%20Calc%206Apr2022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NGKINC%20Derv%20Calc%206Apr2022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AMMIPF%20Derv%20Calc%206Apr2022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statpro\SPC_602\Client\Profiles\PIM\Exports\MEDINC%20Derv%20Calc%206Apr2022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-cpt-fs\profile$\PProfile%20Operations\Legal\Legal%20and%20Compliance%20Framework\Hilton\PFS%20Daily%20Compliance\2A%20-%20Fund%20Codes,%20Breach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10</v>
          </cell>
        </row>
        <row r="3">
          <cell r="G3" t="str">
            <v>UT</v>
          </cell>
        </row>
        <row r="6">
          <cell r="E6">
            <v>2.1755042583784343</v>
          </cell>
        </row>
        <row r="10">
          <cell r="E10">
            <v>1.963769909580583</v>
          </cell>
        </row>
        <row r="14">
          <cell r="E14">
            <v>19.157251498396658</v>
          </cell>
        </row>
        <row r="32">
          <cell r="C32">
            <v>0</v>
          </cell>
        </row>
        <row r="34">
          <cell r="C34">
            <v>0.23653505665893348</v>
          </cell>
          <cell r="E34">
            <v>23.653505665893352</v>
          </cell>
        </row>
        <row r="36">
          <cell r="C36">
            <v>0.18917392732605318</v>
          </cell>
        </row>
        <row r="40">
          <cell r="C40">
            <v>0.59271598518059099</v>
          </cell>
        </row>
        <row r="54">
          <cell r="C54">
            <v>20.109193630113332</v>
          </cell>
        </row>
      </sheetData>
      <sheetData sheetId="1">
        <row r="2">
          <cell r="D2">
            <v>9.5371566710000466E-2</v>
          </cell>
        </row>
        <row r="3">
          <cell r="D3">
            <v>9.5371566710000466E-2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10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1.7757482741471329</v>
          </cell>
        </row>
        <row r="14">
          <cell r="E14">
            <v>12.463344952779496</v>
          </cell>
        </row>
        <row r="32">
          <cell r="C32">
            <v>0</v>
          </cell>
        </row>
        <row r="34">
          <cell r="C34">
            <v>0.50252908513151706</v>
          </cell>
          <cell r="E34">
            <v>50.252908513151709</v>
          </cell>
        </row>
        <row r="36">
          <cell r="C36">
            <v>0</v>
          </cell>
        </row>
        <row r="40">
          <cell r="C40">
            <v>0.9922376655995595</v>
          </cell>
        </row>
        <row r="54">
          <cell r="C54">
            <v>0</v>
          </cell>
        </row>
      </sheetData>
      <sheetData sheetId="1">
        <row r="2">
          <cell r="D2">
            <v>6.6275317312725221E-2</v>
          </cell>
        </row>
        <row r="3">
          <cell r="D3">
            <v>6.6275317312725221E-2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1.5604779996808871E-2</v>
          </cell>
          <cell r="E34">
            <v>1.5604779996808915</v>
          </cell>
        </row>
        <row r="36">
          <cell r="C36">
            <v>0.19828812595179601</v>
          </cell>
        </row>
        <row r="40">
          <cell r="C40">
            <v>0.4073067318186121</v>
          </cell>
        </row>
        <row r="54">
          <cell r="C54">
            <v>0</v>
          </cell>
        </row>
      </sheetData>
      <sheetData sheetId="1">
        <row r="2">
          <cell r="D2">
            <v>0.94737803873616511</v>
          </cell>
        </row>
        <row r="3">
          <cell r="D3">
            <v>0.21091173482206221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2.9279105369438341E-2</v>
          </cell>
          <cell r="E34">
            <v>2.9279105369438341</v>
          </cell>
        </row>
        <row r="36">
          <cell r="C36">
            <v>0.20279072826825034</v>
          </cell>
        </row>
        <row r="40">
          <cell r="C40">
            <v>0.42110671375095821</v>
          </cell>
        </row>
        <row r="54">
          <cell r="C54">
            <v>0</v>
          </cell>
        </row>
      </sheetData>
      <sheetData sheetId="1">
        <row r="2">
          <cell r="D2">
            <v>1.0335818767582066</v>
          </cell>
        </row>
        <row r="3">
          <cell r="D3">
            <v>0.21834448550066982</v>
          </cell>
        </row>
      </sheetData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3.2542982612068061E-2</v>
          </cell>
          <cell r="E34">
            <v>3.2542982612067988</v>
          </cell>
        </row>
        <row r="36">
          <cell r="C36">
            <v>0.16070469494604495</v>
          </cell>
        </row>
        <row r="40">
          <cell r="C40">
            <v>0.35493861049995618</v>
          </cell>
        </row>
        <row r="54">
          <cell r="C54">
            <v>19.462522957253299</v>
          </cell>
        </row>
      </sheetData>
      <sheetData sheetId="1">
        <row r="2">
          <cell r="D2">
            <v>0.84041325489881757</v>
          </cell>
        </row>
        <row r="3">
          <cell r="D3">
            <v>0.18768625060149291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5.8168227204522971E-2</v>
          </cell>
          <cell r="E34">
            <v>5.8168227204522935</v>
          </cell>
        </row>
        <row r="36">
          <cell r="C36">
            <v>0</v>
          </cell>
        </row>
        <row r="40">
          <cell r="C40">
            <v>0.68959519643609468</v>
          </cell>
        </row>
        <row r="54">
          <cell r="C54">
            <v>0</v>
          </cell>
        </row>
      </sheetData>
      <sheetData sheetId="1">
        <row r="2">
          <cell r="D2">
            <v>1.7138448119015433</v>
          </cell>
        </row>
        <row r="3">
          <cell r="D3">
            <v>0.50317318432866365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0.19963363509387122</v>
          </cell>
        </row>
        <row r="34">
          <cell r="C34">
            <v>0.31947410280438526</v>
          </cell>
          <cell r="E34">
            <v>31.947410280438518</v>
          </cell>
        </row>
        <row r="36">
          <cell r="C36" t="str">
            <v/>
          </cell>
        </row>
        <row r="40">
          <cell r="C40">
            <v>2.9931068840343156</v>
          </cell>
        </row>
        <row r="54">
          <cell r="C54">
            <v>17.269107547955265</v>
          </cell>
        </row>
      </sheetData>
      <sheetData sheetId="1">
        <row r="2">
          <cell r="D2">
            <v>2.8153900269441308</v>
          </cell>
        </row>
        <row r="3">
          <cell r="D3">
            <v>2.8153900269441308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3.3255527177279522</v>
          </cell>
        </row>
        <row r="14">
          <cell r="E14">
            <v>17.587447240949587</v>
          </cell>
        </row>
        <row r="32">
          <cell r="C32">
            <v>0</v>
          </cell>
        </row>
        <row r="34">
          <cell r="C34">
            <v>0.25044271472610008</v>
          </cell>
          <cell r="E34">
            <v>25.044271472610006</v>
          </cell>
        </row>
        <row r="36">
          <cell r="C36">
            <v>0</v>
          </cell>
        </row>
        <row r="40">
          <cell r="C40">
            <v>0.99069313163669115</v>
          </cell>
        </row>
        <row r="54">
          <cell r="C54">
            <v>0</v>
          </cell>
        </row>
      </sheetData>
      <sheetData sheetId="1">
        <row r="2">
          <cell r="D2">
            <v>0.23999994847078149</v>
          </cell>
        </row>
        <row r="3">
          <cell r="D3">
            <v>0.23999994847078149</v>
          </cell>
        </row>
      </sheetData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1.9768545457934672</v>
          </cell>
        </row>
        <row r="14">
          <cell r="E14">
            <v>14.712864829139912</v>
          </cell>
        </row>
        <row r="32">
          <cell r="C32">
            <v>0</v>
          </cell>
        </row>
        <row r="34">
          <cell r="C34">
            <v>0.34681845383052823</v>
          </cell>
          <cell r="E34">
            <v>34.681845383052824</v>
          </cell>
        </row>
        <row r="36">
          <cell r="C36">
            <v>0</v>
          </cell>
        </row>
        <row r="40">
          <cell r="C40">
            <v>0.930185582673272</v>
          </cell>
        </row>
        <row r="54">
          <cell r="C54">
            <v>0</v>
          </cell>
        </row>
      </sheetData>
      <sheetData sheetId="1">
        <row r="2">
          <cell r="D2">
            <v>8.8422854792313293E-2</v>
          </cell>
        </row>
        <row r="3">
          <cell r="D3">
            <v>8.8422854792313293E-2</v>
          </cell>
        </row>
      </sheetData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6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7.1720338346592249E-3</v>
          </cell>
          <cell r="E34">
            <v>3.7108756948949218</v>
          </cell>
        </row>
        <row r="36">
          <cell r="C36">
            <v>0.12636503396140378</v>
          </cell>
        </row>
        <row r="40">
          <cell r="C40">
            <v>0.64844859272333244</v>
          </cell>
        </row>
        <row r="54">
          <cell r="C54">
            <v>43.82541509217522</v>
          </cell>
        </row>
      </sheetData>
      <sheetData sheetId="1">
        <row r="2">
          <cell r="D2">
            <v>2.8740154228607546E-2</v>
          </cell>
        </row>
        <row r="3">
          <cell r="D3">
            <v>2.8740154228607546E-2</v>
          </cell>
        </row>
      </sheetData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5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4.2280308550503527</v>
          </cell>
        </row>
        <row r="14">
          <cell r="E14">
            <v>21.361832763964632</v>
          </cell>
        </row>
        <row r="32">
          <cell r="C32">
            <v>0</v>
          </cell>
        </row>
        <row r="34">
          <cell r="C34">
            <v>0.47815719082889774</v>
          </cell>
          <cell r="E34">
            <v>47.815719082889778</v>
          </cell>
        </row>
        <row r="36">
          <cell r="C36">
            <v>0</v>
          </cell>
        </row>
        <row r="40">
          <cell r="C40">
            <v>0.98260703816086792</v>
          </cell>
        </row>
        <row r="54">
          <cell r="C54">
            <v>0</v>
          </cell>
        </row>
      </sheetData>
      <sheetData sheetId="1">
        <row r="2">
          <cell r="D2">
            <v>0.29444411066288712</v>
          </cell>
        </row>
        <row r="3">
          <cell r="D3">
            <v>0.29444411066288712</v>
          </cell>
        </row>
      </sheetData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7.784560094300591E-3</v>
          </cell>
          <cell r="E34">
            <v>5.2814815189091551</v>
          </cell>
        </row>
        <row r="36">
          <cell r="C36">
            <v>0.1589352034581247</v>
          </cell>
        </row>
        <row r="40">
          <cell r="C40">
            <v>0.66108883876446189</v>
          </cell>
        </row>
        <row r="54">
          <cell r="C54">
            <v>44.692990555950111</v>
          </cell>
        </row>
      </sheetData>
      <sheetData sheetId="1">
        <row r="2">
          <cell r="D2">
            <v>2.812014966904006E-2</v>
          </cell>
        </row>
        <row r="3">
          <cell r="D3">
            <v>2.812014966904006E-2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1.7163906798883501</v>
          </cell>
        </row>
        <row r="14">
          <cell r="E14">
            <v>38.376814784895522</v>
          </cell>
        </row>
        <row r="32">
          <cell r="C32">
            <v>0</v>
          </cell>
        </row>
        <row r="34">
          <cell r="C34">
            <v>0.12496283330728392</v>
          </cell>
          <cell r="E34">
            <v>12.496283330728392</v>
          </cell>
        </row>
        <row r="36">
          <cell r="C36">
            <v>0</v>
          </cell>
        </row>
        <row r="40">
          <cell r="C40">
            <v>0.99371009133742394</v>
          </cell>
        </row>
        <row r="54">
          <cell r="C54">
            <v>0</v>
          </cell>
        </row>
      </sheetData>
      <sheetData sheetId="1">
        <row r="2">
          <cell r="D2">
            <v>0.3092736897789406</v>
          </cell>
        </row>
        <row r="3">
          <cell r="D3">
            <v>0.3092736897789406</v>
          </cell>
        </row>
      </sheetData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1.4180764122363887</v>
          </cell>
        </row>
        <row r="14">
          <cell r="E14">
            <v>11.70530259406755</v>
          </cell>
        </row>
        <row r="32">
          <cell r="C32">
            <v>0</v>
          </cell>
        </row>
        <row r="34">
          <cell r="C34">
            <v>0.36844941901963657</v>
          </cell>
          <cell r="E34">
            <v>36.844941901963658</v>
          </cell>
        </row>
        <row r="36">
          <cell r="C36">
            <v>0</v>
          </cell>
        </row>
        <row r="40">
          <cell r="C40">
            <v>0.99281601933131658</v>
          </cell>
        </row>
        <row r="54">
          <cell r="C54">
            <v>0</v>
          </cell>
        </row>
      </sheetData>
      <sheetData sheetId="1">
        <row r="2">
          <cell r="D2">
            <v>0.12444838236437988</v>
          </cell>
        </row>
        <row r="3">
          <cell r="D3">
            <v>0.12444838236437988</v>
          </cell>
        </row>
      </sheetData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0.46363122071181906</v>
          </cell>
          <cell r="E34">
            <v>46.363122071181905</v>
          </cell>
        </row>
        <row r="36">
          <cell r="C36">
            <v>0</v>
          </cell>
        </row>
        <row r="40">
          <cell r="C40">
            <v>0.99423061147177272</v>
          </cell>
        </row>
        <row r="54">
          <cell r="C54">
            <v>0</v>
          </cell>
        </row>
      </sheetData>
      <sheetData sheetId="1">
        <row r="2">
          <cell r="D2">
            <v>0.15333855704167892</v>
          </cell>
        </row>
        <row r="3">
          <cell r="D3">
            <v>0.15333855704167892</v>
          </cell>
        </row>
      </sheetData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6.4514804948632154E-3</v>
          </cell>
          <cell r="E34">
            <v>0.64514804948632332</v>
          </cell>
        </row>
        <row r="36">
          <cell r="C36">
            <v>0</v>
          </cell>
        </row>
        <row r="40">
          <cell r="C40">
            <v>4.5373425681166379</v>
          </cell>
        </row>
        <row r="54">
          <cell r="C54">
            <v>0</v>
          </cell>
        </row>
      </sheetData>
      <sheetData sheetId="1">
        <row r="2">
          <cell r="D2">
            <v>4.5373425681166379</v>
          </cell>
        </row>
        <row r="3">
          <cell r="D3">
            <v>4.5373425681166379</v>
          </cell>
        </row>
      </sheetData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8.7109861055939541E-3</v>
          </cell>
          <cell r="E34">
            <v>0.8710986105594003</v>
          </cell>
        </row>
        <row r="36">
          <cell r="C36">
            <v>0</v>
          </cell>
        </row>
        <row r="40">
          <cell r="C40">
            <v>4.8874986035305703</v>
          </cell>
        </row>
        <row r="54">
          <cell r="C54">
            <v>0</v>
          </cell>
        </row>
      </sheetData>
      <sheetData sheetId="1">
        <row r="2">
          <cell r="D2">
            <v>4.8874986035305703</v>
          </cell>
        </row>
        <row r="3">
          <cell r="D3">
            <v>4.8874986035305703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1.0002732848093054E-2</v>
          </cell>
          <cell r="E34">
            <v>10.72071914906445</v>
          </cell>
        </row>
        <row r="36">
          <cell r="C36">
            <v>0.29925093922767398</v>
          </cell>
        </row>
        <row r="40">
          <cell r="C40">
            <v>0.31714404250379247</v>
          </cell>
        </row>
        <row r="54">
          <cell r="C54">
            <v>43.613811116944809</v>
          </cell>
        </row>
      </sheetData>
      <sheetData sheetId="1">
        <row r="2">
          <cell r="D2">
            <v>9.2307134817465886E-3</v>
          </cell>
        </row>
        <row r="3">
          <cell r="D3">
            <v>9.2307134817465886E-3</v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3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1.1947853595659974E-2</v>
          </cell>
          <cell r="E34">
            <v>1.1947853595659979</v>
          </cell>
        </row>
        <row r="36">
          <cell r="C36">
            <v>0</v>
          </cell>
        </row>
        <row r="40">
          <cell r="C40">
            <v>4.5371611139734158</v>
          </cell>
        </row>
        <row r="54">
          <cell r="C54">
            <v>0</v>
          </cell>
        </row>
      </sheetData>
      <sheetData sheetId="1">
        <row r="2">
          <cell r="D2">
            <v>4.5371611139734158</v>
          </cell>
        </row>
        <row r="3">
          <cell r="D3">
            <v>4.5371611139734158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3.749167119073471E-3</v>
          </cell>
          <cell r="E34">
            <v>0.37491671190734621</v>
          </cell>
        </row>
        <row r="36">
          <cell r="C36">
            <v>9.9448085581634142E-3</v>
          </cell>
        </row>
        <row r="40">
          <cell r="C40">
            <v>0.35472693685821965</v>
          </cell>
        </row>
        <row r="54">
          <cell r="C54">
            <v>0</v>
          </cell>
        </row>
      </sheetData>
      <sheetData sheetId="1">
        <row r="2">
          <cell r="D2">
            <v>0.26707297282160175</v>
          </cell>
        </row>
        <row r="3">
          <cell r="D3">
            <v>0.26707297282160175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13.03783354394322</v>
          </cell>
        </row>
        <row r="10">
          <cell r="E10">
            <v>0</v>
          </cell>
        </row>
        <row r="14">
          <cell r="E14">
            <v>0.20140446448520827</v>
          </cell>
        </row>
        <row r="32">
          <cell r="C32">
            <v>0</v>
          </cell>
        </row>
        <row r="34">
          <cell r="C34">
            <v>0.1648012594216347</v>
          </cell>
          <cell r="E34">
            <v>16.480125942163472</v>
          </cell>
        </row>
        <row r="36">
          <cell r="C36">
            <v>0.67706999194002071</v>
          </cell>
        </row>
        <row r="40">
          <cell r="C40">
            <v>4.7540832771816491E-2</v>
          </cell>
        </row>
        <row r="54">
          <cell r="C54">
            <v>5.1072566343036474</v>
          </cell>
        </row>
      </sheetData>
      <sheetData sheetId="1">
        <row r="2">
          <cell r="D2">
            <v>1.9583205377522245E-4</v>
          </cell>
        </row>
        <row r="3">
          <cell r="D3">
            <v>1.9413205223935812E-4</v>
          </cell>
        </row>
      </sheetData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5.7555137872754294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0.1873958953144978</v>
          </cell>
          <cell r="E34">
            <v>18.739589531449781</v>
          </cell>
        </row>
        <row r="36">
          <cell r="C36">
            <v>0.45405665299056419</v>
          </cell>
        </row>
        <row r="40">
          <cell r="C40">
            <v>5.7927489378739538E-2</v>
          </cell>
        </row>
        <row r="54">
          <cell r="C54">
            <v>8.4597345360063905</v>
          </cell>
        </row>
      </sheetData>
      <sheetData sheetId="1">
        <row r="2">
          <cell r="D2">
            <v>1.7937063474477867E-4</v>
          </cell>
        </row>
        <row r="3">
          <cell r="D3">
            <v>1.7781353339861659E-4</v>
          </cell>
        </row>
      </sheetData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11.040074124200345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0.18812216281602598</v>
          </cell>
          <cell r="E34">
            <v>18.812216281602598</v>
          </cell>
        </row>
        <row r="36">
          <cell r="C36">
            <v>0.66968045324609626</v>
          </cell>
        </row>
        <row r="40">
          <cell r="C40">
            <v>5.6875317890049605E-2</v>
          </cell>
        </row>
        <row r="54">
          <cell r="C54">
            <v>5.6319493639135212</v>
          </cell>
        </row>
      </sheetData>
      <sheetData sheetId="1">
        <row r="2">
          <cell r="D2">
            <v>2.3108087404710823E-4</v>
          </cell>
        </row>
        <row r="3">
          <cell r="D3">
            <v>2.2907488047651611E-4</v>
          </cell>
        </row>
      </sheetData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10.877985740640014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0.19016157926427946</v>
          </cell>
          <cell r="E34">
            <v>19.016157926427944</v>
          </cell>
        </row>
        <row r="36">
          <cell r="C36">
            <v>0.63298717694242035</v>
          </cell>
        </row>
        <row r="40">
          <cell r="C40">
            <v>5.7519799129596108E-2</v>
          </cell>
        </row>
        <row r="54">
          <cell r="C54">
            <v>7.8233252074520863</v>
          </cell>
        </row>
      </sheetData>
      <sheetData sheetId="1">
        <row r="2">
          <cell r="D2">
            <v>2.832435092994678E-4</v>
          </cell>
        </row>
        <row r="3">
          <cell r="D3">
            <v>2.8078469629337345E-4</v>
          </cell>
        </row>
      </sheetData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12.072133872455131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0.22456623983175411</v>
          </cell>
          <cell r="E34">
            <v>22.456623983175412</v>
          </cell>
        </row>
        <row r="36">
          <cell r="C36">
            <v>0.77463767500605041</v>
          </cell>
        </row>
        <row r="40">
          <cell r="C40">
            <v>1.3893527314458827E-4</v>
          </cell>
        </row>
        <row r="54">
          <cell r="C54">
            <v>-1.4970155760724961</v>
          </cell>
        </row>
      </sheetData>
      <sheetData sheetId="1">
        <row r="2">
          <cell r="D2">
            <v>1.4015192013825582E-4</v>
          </cell>
        </row>
        <row r="3">
          <cell r="D3">
            <v>1.3893527314458827E-4</v>
          </cell>
        </row>
      </sheetData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4.2692009347955828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0.22633957483425532</v>
          </cell>
          <cell r="E34">
            <v>22.633957483425533</v>
          </cell>
        </row>
        <row r="36">
          <cell r="C36">
            <v>0.57166136057632588</v>
          </cell>
        </row>
        <row r="40">
          <cell r="C40">
            <v>3.6006720961438296E-2</v>
          </cell>
        </row>
        <row r="54">
          <cell r="C54">
            <v>4.7421055316347971</v>
          </cell>
        </row>
      </sheetData>
      <sheetData sheetId="1">
        <row r="2">
          <cell r="D2">
            <v>1.6216990180869644E-4</v>
          </cell>
        </row>
        <row r="3">
          <cell r="D3">
            <v>1.6076211857387327E-4</v>
          </cell>
        </row>
      </sheetData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4.6830666521438511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0.29621998232157276</v>
          </cell>
          <cell r="E34">
            <v>29.621998232157274</v>
          </cell>
        </row>
        <row r="36">
          <cell r="C36">
            <v>0.39682892592583946</v>
          </cell>
        </row>
        <row r="40">
          <cell r="C40">
            <v>4.3889842300107604E-2</v>
          </cell>
        </row>
        <row r="54">
          <cell r="C54">
            <v>2.0980707726969676</v>
          </cell>
        </row>
      </sheetData>
      <sheetData sheetId="1">
        <row r="2">
          <cell r="D2">
            <v>3.9647872906449125E-4</v>
          </cell>
        </row>
        <row r="3">
          <cell r="D3">
            <v>3.9303693066962371E-4</v>
          </cell>
        </row>
      </sheetData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2</v>
          </cell>
        </row>
        <row r="3">
          <cell r="G3" t="str">
            <v>UT</v>
          </cell>
        </row>
        <row r="6">
          <cell r="E6">
            <v>11.435549830290572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0.36241962834756325</v>
          </cell>
          <cell r="E34">
            <v>36.241962834756322</v>
          </cell>
        </row>
        <row r="36">
          <cell r="C36">
            <v>0.55031471002805266</v>
          </cell>
        </row>
        <row r="40">
          <cell r="C40">
            <v>3.8489006595728861E-2</v>
          </cell>
        </row>
        <row r="54">
          <cell r="C54">
            <v>1.975503189932363</v>
          </cell>
        </row>
      </sheetData>
      <sheetData sheetId="1">
        <row r="2">
          <cell r="D2">
            <v>2.6332107279023798E-4</v>
          </cell>
        </row>
        <row r="3">
          <cell r="D3">
            <v>2.6103520477456244E-4</v>
          </cell>
        </row>
      </sheetData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2.0567919934519818E-3</v>
          </cell>
          <cell r="E34">
            <v>0.20567919934519818</v>
          </cell>
        </row>
        <row r="36">
          <cell r="C36">
            <v>0.99794320800654801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2.3064704520936585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2.4365092889186406E-3</v>
          </cell>
          <cell r="E34">
            <v>0.24365092889186407</v>
          </cell>
        </row>
        <row r="36">
          <cell r="C36">
            <v>0.99756349071108141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3.0173300875988396E-3</v>
          </cell>
          <cell r="E34">
            <v>0.30173300875988396</v>
          </cell>
        </row>
        <row r="36">
          <cell r="C36">
            <v>0.99698266991240125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3.2614639035901112E-3</v>
          </cell>
          <cell r="E34">
            <v>0.32614639035901111</v>
          </cell>
        </row>
        <row r="36">
          <cell r="C36">
            <v>0.99673853609640994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0.64483780807543378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3.5404714804083575E-3</v>
          </cell>
          <cell r="E34">
            <v>0.35404714804083576</v>
          </cell>
        </row>
        <row r="36">
          <cell r="C36">
            <v>0.99645952851959174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1.5098339803486329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3.7745670525801372E-3</v>
          </cell>
          <cell r="E34">
            <v>0.37745670525801372</v>
          </cell>
        </row>
        <row r="36">
          <cell r="C36">
            <v>0.99622543294741983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4.2467954028573215E-3</v>
          </cell>
          <cell r="E34">
            <v>0.42467954028573218</v>
          </cell>
        </row>
        <row r="36">
          <cell r="C36">
            <v>0.99575320459714267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5.6691116156534615E-3</v>
          </cell>
          <cell r="E34">
            <v>0.56691116156534616</v>
          </cell>
        </row>
        <row r="36">
          <cell r="C36">
            <v>0.99433088838434658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9.444560637098233E-3</v>
          </cell>
          <cell r="E34">
            <v>0.94445606370982327</v>
          </cell>
        </row>
        <row r="36">
          <cell r="C36">
            <v>0</v>
          </cell>
        </row>
        <row r="40">
          <cell r="C40">
            <v>0.9905554393629018</v>
          </cell>
        </row>
        <row r="54">
          <cell r="C54">
            <v>99.055543936290178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1.0070441074043519E-2</v>
          </cell>
          <cell r="E34">
            <v>1.0070441074043519</v>
          </cell>
        </row>
        <row r="36">
          <cell r="C36">
            <v>0</v>
          </cell>
        </row>
        <row r="40">
          <cell r="C40">
            <v>0.98992955892595647</v>
          </cell>
        </row>
        <row r="54">
          <cell r="C54">
            <v>98.992955892595646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3.5793677091019438E-2</v>
          </cell>
          <cell r="E34">
            <v>3.5793677091019438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96.420632290898055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3.9919152221771323E-2</v>
          </cell>
          <cell r="E34">
            <v>3.9919152221771323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96.008084777822873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6.0509616695683253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0.11338492422161932</v>
          </cell>
          <cell r="E34">
            <v>11.338492422161933</v>
          </cell>
        </row>
        <row r="36">
          <cell r="C36">
            <v>0.68511498878296295</v>
          </cell>
        </row>
        <row r="40">
          <cell r="C40">
            <v>2.2371381349311381E-2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15.792862779843297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0.14451327254784388</v>
          </cell>
          <cell r="E34">
            <v>14.451327254784388</v>
          </cell>
        </row>
        <row r="36">
          <cell r="C36">
            <v>0.74948062068740895</v>
          </cell>
        </row>
        <row r="40">
          <cell r="C40">
            <v>4.0134910773338917E-2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4.6931226827195083</v>
          </cell>
        </row>
        <row r="14">
          <cell r="E14">
            <v>80.450020236838398</v>
          </cell>
        </row>
        <row r="32">
          <cell r="C32">
            <v>0</v>
          </cell>
        </row>
        <row r="34">
          <cell r="C34">
            <v>0.15540483718957582</v>
          </cell>
          <cell r="E34">
            <v>15.540483718957582</v>
          </cell>
        </row>
        <row r="36">
          <cell r="C36">
            <v>0</v>
          </cell>
        </row>
        <row r="40">
          <cell r="C40">
            <v>0.84459516281042402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5.4097084635874557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0.19236636326009787</v>
          </cell>
          <cell r="E34">
            <v>19.236636326009787</v>
          </cell>
        </row>
        <row r="36">
          <cell r="C36">
            <v>0.45836586739072971</v>
          </cell>
        </row>
        <row r="40">
          <cell r="C40">
            <v>7.0857989253251902E-2</v>
          </cell>
        </row>
        <row r="54">
          <cell r="C54">
            <v>22.561906836806681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8.7436614529622823</v>
          </cell>
        </row>
        <row r="10">
          <cell r="E10">
            <v>0</v>
          </cell>
        </row>
        <row r="14">
          <cell r="E14">
            <v>8.0769414899234102E-2</v>
          </cell>
        </row>
        <row r="32">
          <cell r="C32">
            <v>0</v>
          </cell>
        </row>
        <row r="34">
          <cell r="C34">
            <v>0.27139439327030362</v>
          </cell>
          <cell r="E34">
            <v>27.139439327030363</v>
          </cell>
        </row>
        <row r="36">
          <cell r="C36">
            <v>0.67762720673563359</v>
          </cell>
        </row>
        <row r="40">
          <cell r="C40">
            <v>5.0862439796568321E-2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0.41742216590388947</v>
          </cell>
          <cell r="E34">
            <v>41.742216590388949</v>
          </cell>
        </row>
        <row r="36">
          <cell r="C36">
            <v>0.58250211570675425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0.42282884267233301</v>
          </cell>
          <cell r="E34">
            <v>42.2828842672333</v>
          </cell>
        </row>
        <row r="36">
          <cell r="C36">
            <v>0.57700254111081595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1</v>
          </cell>
          <cell r="E34">
            <v>100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10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2.0171586716861483</v>
          </cell>
        </row>
        <row r="14">
          <cell r="E14">
            <v>15.776626100309816</v>
          </cell>
        </row>
        <row r="32">
          <cell r="C32">
            <v>0.70086344400370415</v>
          </cell>
        </row>
        <row r="34">
          <cell r="C34">
            <v>0.69521514140528284</v>
          </cell>
          <cell r="E34">
            <v>69.521514140528296</v>
          </cell>
        </row>
        <row r="36">
          <cell r="C36" t="str">
            <v/>
          </cell>
        </row>
        <row r="40">
          <cell r="C40">
            <v>0.9949679615439192</v>
          </cell>
        </row>
        <row r="54">
          <cell r="C54">
            <v>0</v>
          </cell>
        </row>
      </sheetData>
      <sheetData sheetId="1">
        <row r="2">
          <cell r="D2">
            <v>0.13254017073249072</v>
          </cell>
        </row>
        <row r="3">
          <cell r="D3">
            <v>0.13254017073249072</v>
          </cell>
        </row>
      </sheetData>
      <sheetData sheetId="2"/>
      <sheetData sheetId="3"/>
      <sheetData sheetId="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19.864303934324344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0.25839678798506682</v>
          </cell>
        </row>
        <row r="34">
          <cell r="C34">
            <v>0.48600155045119847</v>
          </cell>
          <cell r="E34">
            <v>48.600155045119855</v>
          </cell>
        </row>
        <row r="36">
          <cell r="C36" t="str">
            <v/>
          </cell>
        </row>
        <row r="40">
          <cell r="C40">
            <v>0.42661143005733571</v>
          </cell>
        </row>
        <row r="54">
          <cell r="C54">
            <v>0</v>
          </cell>
        </row>
      </sheetData>
      <sheetData sheetId="1">
        <row r="2">
          <cell r="D2">
            <v>1.000373820850617</v>
          </cell>
        </row>
        <row r="3">
          <cell r="D3">
            <v>0.22442117930177471</v>
          </cell>
        </row>
      </sheetData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19.841457652584111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0.36585764153878225</v>
          </cell>
        </row>
        <row r="34">
          <cell r="C34">
            <v>0.48881221752642923</v>
          </cell>
          <cell r="E34">
            <v>48.881221752642929</v>
          </cell>
        </row>
        <row r="36">
          <cell r="C36" t="str">
            <v/>
          </cell>
        </row>
        <row r="40">
          <cell r="C40">
            <v>0.42530382324940469</v>
          </cell>
        </row>
        <row r="54">
          <cell r="C54">
            <v>0</v>
          </cell>
        </row>
      </sheetData>
      <sheetData sheetId="1">
        <row r="2">
          <cell r="D2">
            <v>1.0281698406621547</v>
          </cell>
        </row>
        <row r="3">
          <cell r="D3">
            <v>0.2264676322717922</v>
          </cell>
        </row>
      </sheetData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19.412023775220888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0.25850493338706015</v>
          </cell>
        </row>
        <row r="34">
          <cell r="C34">
            <v>0.49519551574974868</v>
          </cell>
          <cell r="E34">
            <v>49.519551574974869</v>
          </cell>
        </row>
        <row r="36">
          <cell r="C36" t="str">
            <v/>
          </cell>
        </row>
        <row r="40">
          <cell r="C40">
            <v>0.4124737671459891</v>
          </cell>
        </row>
        <row r="54">
          <cell r="C54">
            <v>0</v>
          </cell>
        </row>
      </sheetData>
      <sheetData sheetId="1">
        <row r="2">
          <cell r="D2">
            <v>1.0412001536954085</v>
          </cell>
        </row>
        <row r="3">
          <cell r="D3">
            <v>0.2166133046310641</v>
          </cell>
        </row>
      </sheetData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21.370953148378664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0.35113290380893103</v>
          </cell>
        </row>
        <row r="34">
          <cell r="C34">
            <v>0.49592281658773052</v>
          </cell>
          <cell r="E34">
            <v>49.59228165877304</v>
          </cell>
        </row>
        <row r="36">
          <cell r="C36" t="str">
            <v/>
          </cell>
        </row>
        <row r="40">
          <cell r="C40">
            <v>0.41970655838578264</v>
          </cell>
        </row>
        <row r="54">
          <cell r="C54">
            <v>0</v>
          </cell>
        </row>
      </sheetData>
      <sheetData sheetId="1">
        <row r="2">
          <cell r="D2">
            <v>1.0584310246381223</v>
          </cell>
        </row>
        <row r="3">
          <cell r="D3">
            <v>0.2202218332182462</v>
          </cell>
        </row>
      </sheetData>
      <sheetData sheetId="2"/>
      <sheetData sheetId="3"/>
      <sheetData sheetId="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15.955253775302763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0.43251844551350366</v>
          </cell>
        </row>
        <row r="34">
          <cell r="C34">
            <v>0.52590718088758481</v>
          </cell>
          <cell r="E34">
            <v>52.590718088758486</v>
          </cell>
        </row>
        <row r="36">
          <cell r="C36" t="str">
            <v/>
          </cell>
        </row>
        <row r="40">
          <cell r="C40">
            <v>0.36624658538094823</v>
          </cell>
        </row>
        <row r="54">
          <cell r="C54">
            <v>19.625627977745872</v>
          </cell>
        </row>
      </sheetData>
      <sheetData sheetId="1">
        <row r="2">
          <cell r="D2">
            <v>0.93497344049035991</v>
          </cell>
        </row>
        <row r="3">
          <cell r="D3">
            <v>0.18306943720193292</v>
          </cell>
        </row>
      </sheetData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16.722988684328076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0.44788332579617962</v>
          </cell>
        </row>
        <row r="34">
          <cell r="C34">
            <v>0.54325361408210993</v>
          </cell>
          <cell r="E34">
            <v>54.325361408211002</v>
          </cell>
        </row>
        <row r="36">
          <cell r="C36" t="str">
            <v/>
          </cell>
        </row>
        <row r="40">
          <cell r="C40">
            <v>0.37438532381995299</v>
          </cell>
        </row>
        <row r="54">
          <cell r="C54">
            <v>19.668501060798086</v>
          </cell>
        </row>
      </sheetData>
      <sheetData sheetId="1">
        <row r="2">
          <cell r="D2">
            <v>0.8622360576707212</v>
          </cell>
        </row>
        <row r="3">
          <cell r="D3">
            <v>0.20501827432131325</v>
          </cell>
        </row>
      </sheetData>
      <sheetData sheetId="2"/>
      <sheetData sheetId="3"/>
      <sheetData sheetId="4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9</v>
          </cell>
        </row>
        <row r="3">
          <cell r="G3" t="str">
            <v>≠ UT</v>
          </cell>
        </row>
        <row r="6">
          <cell r="E6">
            <v>16.554408407617984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0.45606053784436917</v>
          </cell>
        </row>
        <row r="34">
          <cell r="C34">
            <v>0.54757375282038989</v>
          </cell>
          <cell r="E34">
            <v>54.757375282038979</v>
          </cell>
        </row>
        <row r="36">
          <cell r="C36" t="str">
            <v/>
          </cell>
        </row>
        <row r="40">
          <cell r="C40">
            <v>0.38361174245399193</v>
          </cell>
        </row>
        <row r="54">
          <cell r="C54">
            <v>18.873764806389612</v>
          </cell>
        </row>
      </sheetData>
      <sheetData sheetId="1">
        <row r="2">
          <cell r="D2">
            <v>0.88747080727816008</v>
          </cell>
        </row>
        <row r="3">
          <cell r="D3">
            <v>0.22052143422848419</v>
          </cell>
        </row>
      </sheetData>
      <sheetData sheetId="2"/>
      <sheetData sheetId="3"/>
      <sheetData sheetId="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8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3.3811282530387867</v>
          </cell>
        </row>
        <row r="14">
          <cell r="E14">
            <v>18.559154952318121</v>
          </cell>
        </row>
        <row r="32">
          <cell r="C32">
            <v>0</v>
          </cell>
        </row>
        <row r="34">
          <cell r="C34">
            <v>2.0179497581070072E-2</v>
          </cell>
          <cell r="E34">
            <v>2.0179497581070072</v>
          </cell>
        </row>
        <row r="36">
          <cell r="C36">
            <v>0</v>
          </cell>
        </row>
        <row r="40">
          <cell r="C40">
            <v>0.99149454072486121</v>
          </cell>
        </row>
        <row r="54">
          <cell r="C54">
            <v>0</v>
          </cell>
        </row>
      </sheetData>
      <sheetData sheetId="1">
        <row r="2">
          <cell r="D2">
            <v>0.15218442328480986</v>
          </cell>
        </row>
        <row r="3">
          <cell r="D3">
            <v>0.15218442328480986</v>
          </cell>
        </row>
      </sheetData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8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3.8791985711352854</v>
          </cell>
        </row>
        <row r="14">
          <cell r="E14">
            <v>19.91896807877794</v>
          </cell>
        </row>
        <row r="32">
          <cell r="C32">
            <v>0</v>
          </cell>
        </row>
        <row r="34">
          <cell r="C34">
            <v>3.6012352935663572E-2</v>
          </cell>
          <cell r="E34">
            <v>3.6012352935663507</v>
          </cell>
        </row>
        <row r="36">
          <cell r="C36">
            <v>0</v>
          </cell>
        </row>
        <row r="40">
          <cell r="C40">
            <v>0.99065848573954196</v>
          </cell>
        </row>
        <row r="54">
          <cell r="C54">
            <v>0</v>
          </cell>
        </row>
      </sheetData>
      <sheetData sheetId="1">
        <row r="2">
          <cell r="D2">
            <v>0.13466470706437381</v>
          </cell>
        </row>
        <row r="3">
          <cell r="D3">
            <v>0.13466470706437381</v>
          </cell>
        </row>
      </sheetData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8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4.145663354121651</v>
          </cell>
        </row>
        <row r="14">
          <cell r="E14">
            <v>20.559186659055577</v>
          </cell>
        </row>
        <row r="32">
          <cell r="C32">
            <v>0</v>
          </cell>
        </row>
        <row r="34">
          <cell r="C34">
            <v>8.2315026127079582E-2</v>
          </cell>
          <cell r="E34">
            <v>8.2315026127079562</v>
          </cell>
        </row>
        <row r="36">
          <cell r="C36">
            <v>0</v>
          </cell>
        </row>
        <row r="40">
          <cell r="C40">
            <v>0.99297479811736833</v>
          </cell>
        </row>
        <row r="54">
          <cell r="C54">
            <v>0</v>
          </cell>
        </row>
      </sheetData>
      <sheetData sheetId="1">
        <row r="2">
          <cell r="D2">
            <v>0.12791244304959171</v>
          </cell>
        </row>
        <row r="3">
          <cell r="D3">
            <v>0.12791244304959171</v>
          </cell>
        </row>
      </sheetData>
      <sheetData sheetId="2"/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9.2714644163798737E-2</v>
          </cell>
          <cell r="E34">
            <v>9.2714644163798745</v>
          </cell>
        </row>
        <row r="36">
          <cell r="C36">
            <v>0</v>
          </cell>
        </row>
        <row r="40">
          <cell r="C40">
            <v>0.99600667585557257</v>
          </cell>
        </row>
        <row r="54">
          <cell r="C54">
            <v>0</v>
          </cell>
        </row>
      </sheetData>
      <sheetData sheetId="1">
        <row r="2">
          <cell r="D2">
            <v>0.1544112473221359</v>
          </cell>
        </row>
        <row r="3">
          <cell r="D3">
            <v>0.1544112473221359</v>
          </cell>
        </row>
      </sheetData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3.8332914291951572</v>
          </cell>
        </row>
        <row r="14">
          <cell r="E14">
            <v>19.039019484894109</v>
          </cell>
        </row>
        <row r="32">
          <cell r="C32">
            <v>0</v>
          </cell>
        </row>
        <row r="34">
          <cell r="C34">
            <v>0.10865401863136318</v>
          </cell>
          <cell r="E34">
            <v>10.865401863136318</v>
          </cell>
        </row>
        <row r="36">
          <cell r="C36">
            <v>0</v>
          </cell>
        </row>
        <row r="40">
          <cell r="C40">
            <v>0.99150556755435637</v>
          </cell>
        </row>
        <row r="54">
          <cell r="C54">
            <v>0</v>
          </cell>
        </row>
      </sheetData>
      <sheetData sheetId="1">
        <row r="2">
          <cell r="D2">
            <v>6.0655969237357596E-2</v>
          </cell>
        </row>
        <row r="3">
          <cell r="D3">
            <v>6.0655969237357596E-2</v>
          </cell>
        </row>
      </sheetData>
      <sheetData sheetId="2"/>
      <sheetData sheetId="3"/>
      <sheetData sheetId="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7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1.8937928306982594</v>
          </cell>
        </row>
        <row r="14">
          <cell r="E14">
            <v>15.724512279862751</v>
          </cell>
        </row>
        <row r="32">
          <cell r="C32">
            <v>0</v>
          </cell>
        </row>
        <row r="34">
          <cell r="C34">
            <v>0.18388093880294221</v>
          </cell>
          <cell r="E34">
            <v>18.388093880294218</v>
          </cell>
        </row>
        <row r="36">
          <cell r="C36">
            <v>0</v>
          </cell>
        </row>
        <row r="40">
          <cell r="C40">
            <v>0.99324049018150706</v>
          </cell>
        </row>
        <row r="54">
          <cell r="C54">
            <v>0</v>
          </cell>
        </row>
      </sheetData>
      <sheetData sheetId="1">
        <row r="2">
          <cell r="D2">
            <v>4.9272183880701828E-2</v>
          </cell>
        </row>
        <row r="3">
          <cell r="D3">
            <v>4.9272183880701828E-2</v>
          </cell>
        </row>
      </sheetData>
      <sheetData sheetId="2"/>
      <sheetData sheetId="3"/>
      <sheetData sheetId="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6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-9.8724884401829467</v>
          </cell>
          <cell r="E34">
            <v>-987.24884401829456</v>
          </cell>
        </row>
        <row r="36">
          <cell r="C36" t="str">
            <v/>
          </cell>
        </row>
        <row r="40">
          <cell r="C40">
            <v>4.8229682585907572</v>
          </cell>
        </row>
        <row r="54">
          <cell r="C54">
            <v>0</v>
          </cell>
        </row>
      </sheetData>
      <sheetData sheetId="1">
        <row r="2">
          <cell r="D2">
            <v>4.8229682585907572</v>
          </cell>
        </row>
        <row r="3">
          <cell r="D3">
            <v>4.8229682585907572</v>
          </cell>
        </row>
      </sheetData>
      <sheetData sheetId="2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5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3.8329991626557507</v>
          </cell>
        </row>
        <row r="14">
          <cell r="E14">
            <v>19.845099581399904</v>
          </cell>
        </row>
        <row r="32">
          <cell r="C32">
            <v>0.61037529314338523</v>
          </cell>
        </row>
        <row r="34">
          <cell r="C34">
            <v>0.32332707183948056</v>
          </cell>
          <cell r="E34">
            <v>32.33270718394806</v>
          </cell>
        </row>
        <row r="36">
          <cell r="C36" t="str">
            <v/>
          </cell>
        </row>
        <row r="40">
          <cell r="C40">
            <v>0.99265782456107365</v>
          </cell>
        </row>
        <row r="54">
          <cell r="C54">
            <v>0</v>
          </cell>
        </row>
      </sheetData>
      <sheetData sheetId="1">
        <row r="2">
          <cell r="D2">
            <v>0.46525072678628832</v>
          </cell>
        </row>
        <row r="3">
          <cell r="D3">
            <v>0.46525072678628832</v>
          </cell>
        </row>
      </sheetData>
      <sheetData sheetId="2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5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0.34005022483828184</v>
          </cell>
          <cell r="E34">
            <v>34.005022483828178</v>
          </cell>
        </row>
        <row r="36">
          <cell r="C36">
            <v>0.14896869404590798</v>
          </cell>
        </row>
        <row r="40">
          <cell r="C40">
            <v>2.257332545165263</v>
          </cell>
        </row>
        <row r="54">
          <cell r="C54">
            <v>20.716682234448101</v>
          </cell>
        </row>
      </sheetData>
      <sheetData sheetId="1">
        <row r="2">
          <cell r="D2">
            <v>2.219385566083218</v>
          </cell>
        </row>
        <row r="3">
          <cell r="D3">
            <v>2.219385566083218</v>
          </cell>
        </row>
      </sheetData>
      <sheetData sheetId="2"/>
      <sheetData sheetId="3"/>
      <sheetData sheetId="4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≠ UT</v>
          </cell>
        </row>
        <row r="6">
          <cell r="E6">
            <v>18.080560784416285</v>
          </cell>
        </row>
        <row r="10">
          <cell r="E10">
            <v>0.24552068617346434</v>
          </cell>
        </row>
        <row r="14">
          <cell r="E14">
            <v>7.726651745776528</v>
          </cell>
        </row>
        <row r="32">
          <cell r="C32">
            <v>0</v>
          </cell>
        </row>
        <row r="34">
          <cell r="C34">
            <v>2.6913899178684059E-2</v>
          </cell>
          <cell r="E34">
            <v>2.6913899178684062</v>
          </cell>
        </row>
        <row r="36">
          <cell r="C36">
            <v>0.53939459032003356</v>
          </cell>
        </row>
        <row r="40">
          <cell r="C40">
            <v>0.26617113709753332</v>
          </cell>
        </row>
        <row r="54">
          <cell r="C54">
            <v>0</v>
          </cell>
        </row>
      </sheetData>
      <sheetData sheetId="1">
        <row r="2">
          <cell r="D2">
            <v>0.40592790663552347</v>
          </cell>
        </row>
        <row r="3">
          <cell r="D3">
            <v>9.5009305894028326E-2</v>
          </cell>
        </row>
      </sheetData>
      <sheetData sheetId="2"/>
      <sheetData sheetId="3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≠ UT</v>
          </cell>
        </row>
        <row r="6">
          <cell r="E6">
            <v>19.617423597439078</v>
          </cell>
        </row>
        <row r="10">
          <cell r="E10">
            <v>0.24544532771942168</v>
          </cell>
        </row>
        <row r="14">
          <cell r="E14">
            <v>7.7470100243151929</v>
          </cell>
        </row>
        <row r="32">
          <cell r="C32">
            <v>0</v>
          </cell>
        </row>
        <row r="34">
          <cell r="C34">
            <v>5.2054815566791146E-2</v>
          </cell>
          <cell r="E34">
            <v>5.2054815566791142</v>
          </cell>
        </row>
        <row r="36">
          <cell r="C36">
            <v>0.54928120973051187</v>
          </cell>
        </row>
        <row r="40">
          <cell r="C40">
            <v>0.23280053410809087</v>
          </cell>
        </row>
        <row r="54">
          <cell r="C54">
            <v>0</v>
          </cell>
        </row>
      </sheetData>
      <sheetData sheetId="1">
        <row r="2">
          <cell r="D2">
            <v>0.38805548996691258</v>
          </cell>
        </row>
        <row r="3">
          <cell r="D3">
            <v>7.7649449389764535E-2</v>
          </cell>
        </row>
      </sheetData>
      <sheetData sheetId="2"/>
      <sheetData sheetId="3"/>
      <sheetData sheetId="4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4</v>
          </cell>
        </row>
        <row r="3">
          <cell r="G3" t="str">
            <v>≠ UT</v>
          </cell>
        </row>
        <row r="6">
          <cell r="E6">
            <v>18.8723216770432</v>
          </cell>
        </row>
        <row r="10">
          <cell r="E10">
            <v>0.2472765174224415</v>
          </cell>
        </row>
        <row r="14">
          <cell r="E14">
            <v>7.7776726346302993</v>
          </cell>
        </row>
        <row r="32">
          <cell r="C32">
            <v>0</v>
          </cell>
        </row>
        <row r="34">
          <cell r="C34">
            <v>6.6435256197489551E-2</v>
          </cell>
          <cell r="E34">
            <v>6.6435256197489565</v>
          </cell>
        </row>
        <row r="36">
          <cell r="C36">
            <v>0.53472296414186282</v>
          </cell>
        </row>
        <row r="40">
          <cell r="C40">
            <v>0.23341990372194193</v>
          </cell>
        </row>
        <row r="54">
          <cell r="C54">
            <v>0</v>
          </cell>
        </row>
      </sheetData>
      <sheetData sheetId="1">
        <row r="2">
          <cell r="D2">
            <v>0.38630357641028418</v>
          </cell>
        </row>
        <row r="3">
          <cell r="D3">
            <v>7.708470969524707E-2</v>
          </cell>
        </row>
      </sheetData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2.2616534359339989E-4</v>
          </cell>
          <cell r="E34">
            <v>2.2616534359339989E-2</v>
          </cell>
        </row>
        <row r="36">
          <cell r="C36">
            <v>0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17.560308968043898</v>
          </cell>
        </row>
        <row r="14">
          <cell r="E14">
            <v>41.816658454898452</v>
          </cell>
        </row>
        <row r="32">
          <cell r="C32">
            <v>0</v>
          </cell>
        </row>
        <row r="34">
          <cell r="C34">
            <v>1.3665616217637087E-3</v>
          </cell>
          <cell r="E34">
            <v>0.13665616217637089</v>
          </cell>
        </row>
        <row r="36">
          <cell r="C36">
            <v>0.20375182256396532</v>
          </cell>
        </row>
        <row r="40">
          <cell r="C40">
            <v>0.79488161581427086</v>
          </cell>
        </row>
        <row r="54">
          <cell r="C54">
            <v>28.540720045533892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3.3739814544855619E-3</v>
          </cell>
          <cell r="E34">
            <v>0.33739814544855617</v>
          </cell>
        </row>
        <row r="36">
          <cell r="C36">
            <v>0.94846202065348939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0</v>
          </cell>
        </row>
        <row r="10">
          <cell r="E10">
            <v>40.608401499598699</v>
          </cell>
        </row>
        <row r="14">
          <cell r="E14">
            <v>91.193661568819863</v>
          </cell>
        </row>
        <row r="32">
          <cell r="C32">
            <v>0</v>
          </cell>
        </row>
        <row r="34">
          <cell r="C34">
            <v>3.773542327480609E-3</v>
          </cell>
          <cell r="E34">
            <v>0.3773542327480609</v>
          </cell>
        </row>
        <row r="36">
          <cell r="C36">
            <v>0</v>
          </cell>
        </row>
        <row r="40">
          <cell r="C40">
            <v>0.99622645767251916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8.492823755588411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0.24908775363343993</v>
          </cell>
          <cell r="E34">
            <v>24.908775363343992</v>
          </cell>
        </row>
        <row r="36">
          <cell r="C36">
            <v>0.69915416114403695</v>
          </cell>
        </row>
        <row r="40">
          <cell r="C40">
            <v>5.170602421472574E-2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8.6169346444363466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0.35447371101694414</v>
          </cell>
          <cell r="E34">
            <v>35.447371101694415</v>
          </cell>
        </row>
        <row r="36">
          <cell r="C36">
            <v>0.59734229462308497</v>
          </cell>
        </row>
        <row r="40">
          <cell r="C40">
            <v>4.8135573110101533E-2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25.836517033875822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0.44461666237146935</v>
          </cell>
          <cell r="E34">
            <v>44.461666237146936</v>
          </cell>
        </row>
        <row r="36">
          <cell r="C36">
            <v>0.55538333762853076</v>
          </cell>
        </row>
        <row r="40">
          <cell r="C40">
            <v>0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bl Expsr"/>
      <sheetName val="Data"/>
      <sheetName val="Deltas"/>
      <sheetName val="BM"/>
    </sheetNames>
    <sheetDataSet>
      <sheetData sheetId="0">
        <row r="1">
          <cell r="E1">
            <v>0</v>
          </cell>
        </row>
        <row r="3">
          <cell r="G3" t="str">
            <v>≠ UT</v>
          </cell>
        </row>
        <row r="6">
          <cell r="E6">
            <v>11.023489235247853</v>
          </cell>
        </row>
        <row r="10">
          <cell r="E10">
            <v>0</v>
          </cell>
        </row>
        <row r="14">
          <cell r="E14">
            <v>0</v>
          </cell>
        </row>
        <row r="32">
          <cell r="C32">
            <v>0</v>
          </cell>
        </row>
        <row r="34">
          <cell r="C34">
            <v>0.53402459447479511</v>
          </cell>
          <cell r="E34">
            <v>53.402459447479508</v>
          </cell>
        </row>
        <row r="36">
          <cell r="C36">
            <v>0.32152803490837717</v>
          </cell>
        </row>
        <row r="40">
          <cell r="C40">
            <v>9.470644618175672E-2</v>
          </cell>
        </row>
        <row r="54">
          <cell r="C54">
            <v>0</v>
          </cell>
        </row>
      </sheetData>
      <sheetData sheetId="1">
        <row r="2">
          <cell r="D2">
            <v>0</v>
          </cell>
        </row>
        <row r="3">
          <cell r="D3">
            <v>0</v>
          </cell>
        </row>
      </sheetData>
      <sheetData sheetId="2"/>
      <sheetData sheetId="3"/>
      <sheetData sheetId="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s"/>
      <sheetName val="Indices"/>
      <sheetName val="Sttlmnt"/>
      <sheetName val="All funds ever"/>
      <sheetName val="PIM Credit Ratings 1Sep2019"/>
      <sheetName val="s122"/>
      <sheetName val="Dates"/>
      <sheetName val="Sent to Confluence"/>
    </sheetNames>
    <sheetDataSet>
      <sheetData sheetId="0">
        <row r="1">
          <cell r="A1" t="str">
            <v>Fund Code</v>
          </cell>
          <cell r="E1" t="str">
            <v>UT</v>
          </cell>
        </row>
        <row r="2">
          <cell r="A2" t="str">
            <v>ABMMABR</v>
          </cell>
          <cell r="E2" t="str">
            <v>UT</v>
          </cell>
        </row>
        <row r="3">
          <cell r="A3" t="str">
            <v>ABMMBND</v>
          </cell>
          <cell r="E3" t="str">
            <v>UT</v>
          </cell>
        </row>
        <row r="4">
          <cell r="A4" t="str">
            <v>ABMMBLIQ</v>
          </cell>
          <cell r="E4" t="str">
            <v>UT</v>
          </cell>
        </row>
        <row r="5">
          <cell r="A5" t="str">
            <v>ABMMEQU</v>
          </cell>
          <cell r="E5" t="str">
            <v>UT</v>
          </cell>
        </row>
        <row r="6">
          <cell r="A6" t="str">
            <v>ADRRC</v>
          </cell>
          <cell r="E6" t="str">
            <v>UT</v>
          </cell>
        </row>
        <row r="7">
          <cell r="A7" t="str">
            <v>ADVMB</v>
          </cell>
          <cell r="E7" t="str">
            <v>≠ UT</v>
          </cell>
        </row>
        <row r="8">
          <cell r="A8" t="str">
            <v>ADVMM</v>
          </cell>
          <cell r="E8" t="str">
            <v>UT</v>
          </cell>
        </row>
        <row r="9">
          <cell r="A9" t="str">
            <v>AFIINC</v>
          </cell>
          <cell r="E9" t="str">
            <v>≠ UT</v>
          </cell>
        </row>
        <row r="10">
          <cell r="A10" t="str">
            <v>ASBTOS</v>
          </cell>
          <cell r="E10" t="str">
            <v>≠ UT</v>
          </cell>
        </row>
        <row r="11">
          <cell r="A11" t="str">
            <v>ASHFLX</v>
          </cell>
          <cell r="E11" t="str">
            <v>UT</v>
          </cell>
        </row>
        <row r="12">
          <cell r="A12" t="str">
            <v>ASHCEIDF</v>
          </cell>
          <cell r="E12" t="str">
            <v>UT</v>
          </cell>
        </row>
        <row r="13">
          <cell r="A13" t="str">
            <v>ASHGFB</v>
          </cell>
          <cell r="E13" t="str">
            <v>UT</v>
          </cell>
        </row>
        <row r="14">
          <cell r="A14" t="str">
            <v>CAPGIP</v>
          </cell>
          <cell r="E14" t="str">
            <v>UT</v>
          </cell>
        </row>
        <row r="15">
          <cell r="A15" t="str">
            <v>CCTCSH</v>
          </cell>
          <cell r="E15" t="str">
            <v>≠ UT</v>
          </cell>
        </row>
        <row r="16">
          <cell r="A16" t="str">
            <v>CMPFCASH</v>
          </cell>
          <cell r="E16" t="str">
            <v>≠ UT</v>
          </cell>
        </row>
        <row r="17">
          <cell r="A17" t="str">
            <v>CMPFFLEX</v>
          </cell>
          <cell r="E17" t="str">
            <v>≠ UT</v>
          </cell>
        </row>
        <row r="18">
          <cell r="A18" t="str">
            <v>CSIRBQP</v>
          </cell>
          <cell r="E18" t="str">
            <v>≠ UT</v>
          </cell>
        </row>
        <row r="19">
          <cell r="A19" t="str">
            <v>ELCIPF</v>
          </cell>
          <cell r="E19" t="str">
            <v>≠ UT</v>
          </cell>
        </row>
        <row r="20">
          <cell r="A20" t="str">
            <v>EMHMMF</v>
          </cell>
          <cell r="E20" t="str">
            <v>UT</v>
          </cell>
        </row>
        <row r="21">
          <cell r="A21" t="str">
            <v>EMHPBQ</v>
          </cell>
          <cell r="E21" t="str">
            <v>UT</v>
          </cell>
        </row>
        <row r="22">
          <cell r="A22" t="str">
            <v>EMHPIP</v>
          </cell>
          <cell r="E22" t="str">
            <v>UT</v>
          </cell>
        </row>
        <row r="23">
          <cell r="A23" t="str">
            <v>HPCF</v>
          </cell>
          <cell r="E23" t="str">
            <v>UT</v>
          </cell>
        </row>
        <row r="24">
          <cell r="A24" t="str">
            <v>ECICBAL</v>
          </cell>
          <cell r="E24" t="str">
            <v>≠ UT</v>
          </cell>
        </row>
        <row r="25">
          <cell r="A25" t="str">
            <v>ECICBALA</v>
          </cell>
          <cell r="E25" t="str">
            <v>≠ UT</v>
          </cell>
        </row>
        <row r="26">
          <cell r="A26" t="str">
            <v>ECICBALE</v>
          </cell>
          <cell r="E26" t="str">
            <v>≠ UT</v>
          </cell>
        </row>
        <row r="27">
          <cell r="A27" t="str">
            <v>ENGENIP</v>
          </cell>
          <cell r="E27" t="str">
            <v>≠ UT</v>
          </cell>
        </row>
        <row r="28">
          <cell r="A28" t="str">
            <v>ENGENMBF</v>
          </cell>
          <cell r="E28" t="str">
            <v>≠ UT</v>
          </cell>
        </row>
        <row r="29">
          <cell r="A29" t="str">
            <v>GACASH</v>
          </cell>
          <cell r="E29" t="str">
            <v>≠ UT</v>
          </cell>
        </row>
        <row r="30">
          <cell r="A30" t="str">
            <v>GAEMBF</v>
          </cell>
          <cell r="E30" t="str">
            <v>≠ UT</v>
          </cell>
        </row>
        <row r="31">
          <cell r="A31" t="str">
            <v>GMRETF</v>
          </cell>
          <cell r="E31" t="str">
            <v>≠ UT</v>
          </cell>
        </row>
        <row r="32">
          <cell r="A32" t="str">
            <v>GMRETF2</v>
          </cell>
          <cell r="E32" t="str">
            <v>≠ UT</v>
          </cell>
        </row>
        <row r="33">
          <cell r="A33" t="str">
            <v>GRFINV</v>
          </cell>
          <cell r="E33" t="str">
            <v>UT</v>
          </cell>
        </row>
        <row r="34">
          <cell r="A34" t="str">
            <v>GTCWP2</v>
          </cell>
          <cell r="E34" t="str">
            <v>UT</v>
          </cell>
        </row>
        <row r="35">
          <cell r="A35" t="str">
            <v>HOLDINC</v>
          </cell>
          <cell r="E35" t="str">
            <v>UT</v>
          </cell>
        </row>
        <row r="36">
          <cell r="A36" t="str">
            <v>HOLDINCR</v>
          </cell>
          <cell r="E36" t="str">
            <v>UT</v>
          </cell>
        </row>
        <row r="37">
          <cell r="A37" t="str">
            <v>HOLMMF</v>
          </cell>
          <cell r="E37" t="str">
            <v>UT</v>
          </cell>
        </row>
        <row r="38">
          <cell r="A38" t="str">
            <v>HOLYPF</v>
          </cell>
          <cell r="E38" t="str">
            <v>UT</v>
          </cell>
        </row>
        <row r="39">
          <cell r="A39" t="str">
            <v>HOSMED</v>
          </cell>
          <cell r="E39" t="str">
            <v>≠ UT</v>
          </cell>
        </row>
        <row r="40">
          <cell r="A40" t="str">
            <v>IMPALA</v>
          </cell>
          <cell r="E40" t="str">
            <v>≠ UT</v>
          </cell>
        </row>
        <row r="41">
          <cell r="A41" t="str">
            <v>IPCASH</v>
          </cell>
          <cell r="E41" t="str">
            <v>≠ UT</v>
          </cell>
        </row>
        <row r="42">
          <cell r="A42" t="str">
            <v>ISPFP</v>
          </cell>
          <cell r="E42" t="str">
            <v>≠ UT</v>
          </cell>
        </row>
        <row r="43">
          <cell r="A43" t="str">
            <v>LIBTAAST</v>
          </cell>
          <cell r="E43" t="str">
            <v>≠ UT</v>
          </cell>
        </row>
        <row r="44">
          <cell r="A44" t="str">
            <v>LIBTAA</v>
          </cell>
          <cell r="E44" t="str">
            <v>≠ UT</v>
          </cell>
        </row>
        <row r="45">
          <cell r="A45" t="str">
            <v>LARETCH</v>
          </cell>
          <cell r="E45" t="str">
            <v>≠ UT</v>
          </cell>
        </row>
        <row r="46">
          <cell r="A46" t="str">
            <v>LARETLB</v>
          </cell>
          <cell r="E46" t="str">
            <v>≠ UT</v>
          </cell>
        </row>
        <row r="47">
          <cell r="A47" t="str">
            <v>LARETLE</v>
          </cell>
          <cell r="E47" t="str">
            <v>≠ UT</v>
          </cell>
        </row>
        <row r="48">
          <cell r="A48" t="str">
            <v>LARETOE</v>
          </cell>
          <cell r="E48" t="str">
            <v>≠ UT</v>
          </cell>
        </row>
        <row r="49">
          <cell r="A49" t="str">
            <v>LIBTAAUT</v>
          </cell>
          <cell r="E49" t="str">
            <v>≠ UT</v>
          </cell>
        </row>
        <row r="50">
          <cell r="A50" t="str">
            <v>NFMWAGG</v>
          </cell>
          <cell r="E50" t="str">
            <v>≠ UT</v>
          </cell>
        </row>
        <row r="51">
          <cell r="A51" t="str">
            <v>NFMWGF</v>
          </cell>
          <cell r="E51" t="str">
            <v>≠ UT</v>
          </cell>
        </row>
        <row r="52">
          <cell r="A52" t="str">
            <v>NFMWSTA</v>
          </cell>
          <cell r="E52" t="str">
            <v>≠ UT</v>
          </cell>
        </row>
        <row r="53">
          <cell r="A53" t="str">
            <v>LPIIFTAA</v>
          </cell>
          <cell r="E53" t="str">
            <v>≠ UT</v>
          </cell>
        </row>
        <row r="54">
          <cell r="A54" t="str">
            <v>MASAMMF</v>
          </cell>
          <cell r="E54" t="str">
            <v>≠ UT</v>
          </cell>
        </row>
        <row r="55">
          <cell r="A55" t="str">
            <v>MASASI</v>
          </cell>
          <cell r="E55" t="str">
            <v>≠ UT</v>
          </cell>
        </row>
        <row r="56">
          <cell r="A56" t="str">
            <v>MEDIPOS</v>
          </cell>
          <cell r="E56" t="str">
            <v>≠ UT</v>
          </cell>
        </row>
        <row r="57">
          <cell r="A57" t="str">
            <v>METGRP</v>
          </cell>
          <cell r="E57" t="str">
            <v>≠ UT</v>
          </cell>
        </row>
        <row r="58">
          <cell r="A58" t="str">
            <v>MOMABIL</v>
          </cell>
          <cell r="E58" t="str">
            <v>≠ UT</v>
          </cell>
        </row>
        <row r="59">
          <cell r="A59" t="str">
            <v>MOMBBF</v>
          </cell>
          <cell r="E59" t="str">
            <v>UT</v>
          </cell>
        </row>
        <row r="60">
          <cell r="A60" t="str">
            <v>MOMBBRF</v>
          </cell>
          <cell r="E60" t="str">
            <v>≠ UT</v>
          </cell>
        </row>
        <row r="61">
          <cell r="A61" t="str">
            <v>MOMFLX</v>
          </cell>
          <cell r="E61" t="str">
            <v>UT</v>
          </cell>
        </row>
        <row r="62">
          <cell r="A62" t="str">
            <v>MOMPRET</v>
          </cell>
          <cell r="E62" t="str">
            <v>≠ UT</v>
          </cell>
        </row>
        <row r="63">
          <cell r="A63" t="str">
            <v>MOMSGPR</v>
          </cell>
          <cell r="E63" t="str">
            <v>≠ UT</v>
          </cell>
        </row>
        <row r="64">
          <cell r="A64" t="str">
            <v>NFMWEQU</v>
          </cell>
          <cell r="E64" t="str">
            <v>≠ UT</v>
          </cell>
        </row>
        <row r="65">
          <cell r="A65" t="str">
            <v>MWPFEQU</v>
          </cell>
          <cell r="E65" t="str">
            <v>≠ UT</v>
          </cell>
        </row>
        <row r="66">
          <cell r="A66" t="str">
            <v>NEDMED</v>
          </cell>
          <cell r="E66" t="str">
            <v>≠ UT</v>
          </cell>
        </row>
        <row r="67">
          <cell r="A67" t="str">
            <v>NELSON</v>
          </cell>
          <cell r="E67" t="str">
            <v>≠ UT</v>
          </cell>
        </row>
        <row r="68">
          <cell r="A68" t="str">
            <v>OMLMMF</v>
          </cell>
          <cell r="E68" t="str">
            <v>UT</v>
          </cell>
        </row>
        <row r="69">
          <cell r="A69" t="str">
            <v>PABS</v>
          </cell>
          <cell r="E69" t="str">
            <v>UT</v>
          </cell>
        </row>
        <row r="70">
          <cell r="A70" t="str">
            <v>PBAL</v>
          </cell>
          <cell r="E70" t="str">
            <v>UT</v>
          </cell>
        </row>
        <row r="71">
          <cell r="A71" t="str">
            <v>PBNDQ</v>
          </cell>
          <cell r="E71" t="str">
            <v>UT</v>
          </cell>
        </row>
        <row r="72">
          <cell r="A72" t="str">
            <v>PCBF</v>
          </cell>
          <cell r="E72" t="str">
            <v>UT</v>
          </cell>
        </row>
        <row r="73">
          <cell r="A73" t="str">
            <v>PCEQTF</v>
          </cell>
          <cell r="E73" t="str">
            <v>UT</v>
          </cell>
        </row>
        <row r="74">
          <cell r="A74" t="str">
            <v>PCSHQ</v>
          </cell>
          <cell r="E74" t="str">
            <v>UT</v>
          </cell>
        </row>
        <row r="75">
          <cell r="A75" t="str">
            <v>PEAQ</v>
          </cell>
          <cell r="E75" t="str">
            <v>UT</v>
          </cell>
        </row>
        <row r="76">
          <cell r="A76" t="str">
            <v>PEQ</v>
          </cell>
          <cell r="E76" t="str">
            <v>UT</v>
          </cell>
        </row>
        <row r="77">
          <cell r="A77" t="str">
            <v>PFFIF</v>
          </cell>
          <cell r="E77" t="str">
            <v>UT</v>
          </cell>
        </row>
        <row r="78">
          <cell r="A78" t="str">
            <v>PGGF</v>
          </cell>
          <cell r="E78" t="str">
            <v>UT</v>
          </cell>
        </row>
        <row r="79">
          <cell r="A79" t="str">
            <v>PGIF</v>
          </cell>
          <cell r="E79" t="str">
            <v>UT</v>
          </cell>
        </row>
        <row r="80">
          <cell r="A80" t="str">
            <v>PICPROV</v>
          </cell>
          <cell r="E80" t="str">
            <v>≠ UT</v>
          </cell>
        </row>
        <row r="81">
          <cell r="A81" t="str">
            <v>PIMBAL</v>
          </cell>
          <cell r="E81" t="str">
            <v>UT</v>
          </cell>
        </row>
        <row r="82">
          <cell r="A82" t="str">
            <v>PIMEVO</v>
          </cell>
          <cell r="E82" t="str">
            <v>≠ UT</v>
          </cell>
        </row>
        <row r="83">
          <cell r="A83" t="str">
            <v>PIMIDF</v>
          </cell>
          <cell r="E83" t="str">
            <v>≠ UT</v>
          </cell>
        </row>
        <row r="84">
          <cell r="A84" t="str">
            <v>PIPF</v>
          </cell>
          <cell r="E84" t="str">
            <v>UT</v>
          </cell>
        </row>
        <row r="85">
          <cell r="A85" t="str">
            <v>PIPFP</v>
          </cell>
          <cell r="E85" t="str">
            <v>UT</v>
          </cell>
        </row>
        <row r="86">
          <cell r="A86" t="str">
            <v>PLIPF</v>
          </cell>
          <cell r="E86" t="str">
            <v>≠ UT</v>
          </cell>
        </row>
        <row r="87">
          <cell r="A87" t="str">
            <v>PLMED</v>
          </cell>
          <cell r="E87" t="str">
            <v>≠ UT</v>
          </cell>
        </row>
        <row r="88">
          <cell r="A88" t="str">
            <v>PLPRGR</v>
          </cell>
          <cell r="E88" t="str">
            <v>≠ UT</v>
          </cell>
        </row>
        <row r="89">
          <cell r="A89" t="str">
            <v>PLPRNA</v>
          </cell>
          <cell r="E89" t="str">
            <v>≠ UT</v>
          </cell>
        </row>
        <row r="90">
          <cell r="A90" t="str">
            <v>PMMF</v>
          </cell>
          <cell r="E90" t="str">
            <v>UT</v>
          </cell>
        </row>
        <row r="91">
          <cell r="A91" t="str">
            <v>POIF</v>
          </cell>
          <cell r="E91" t="str">
            <v>UT</v>
          </cell>
        </row>
        <row r="92">
          <cell r="A92" t="str">
            <v>PORFGPR</v>
          </cell>
          <cell r="E92" t="str">
            <v>≠ UT</v>
          </cell>
        </row>
        <row r="93">
          <cell r="A93" t="str">
            <v>PPEF</v>
          </cell>
          <cell r="E93" t="str">
            <v>UT</v>
          </cell>
        </row>
        <row r="94">
          <cell r="A94" t="str">
            <v>PPOS</v>
          </cell>
          <cell r="E94" t="str">
            <v>UT</v>
          </cell>
        </row>
        <row r="95">
          <cell r="A95" t="str">
            <v>PCAEF</v>
          </cell>
          <cell r="E95" t="str">
            <v>UT</v>
          </cell>
        </row>
        <row r="96">
          <cell r="A96" t="str">
            <v>PPSRBNQ</v>
          </cell>
          <cell r="E96" t="str">
            <v>UT</v>
          </cell>
        </row>
        <row r="97">
          <cell r="A97" t="str">
            <v>PPSFLEX</v>
          </cell>
          <cell r="E97" t="str">
            <v>UT</v>
          </cell>
        </row>
        <row r="98">
          <cell r="A98" t="str">
            <v>PPSFLXRF</v>
          </cell>
          <cell r="E98" t="str">
            <v>≠ UT</v>
          </cell>
        </row>
        <row r="99">
          <cell r="A99" t="str">
            <v>PSILB</v>
          </cell>
          <cell r="E99" t="str">
            <v>≠ UT</v>
          </cell>
        </row>
        <row r="100">
          <cell r="A100" t="str">
            <v>PPSBAL</v>
          </cell>
          <cell r="E100" t="str">
            <v>≠ UT</v>
          </cell>
        </row>
        <row r="101">
          <cell r="A101" t="str">
            <v>PSPAM</v>
          </cell>
          <cell r="E101" t="str">
            <v>≠ UT</v>
          </cell>
        </row>
        <row r="102">
          <cell r="A102" t="str">
            <v>PSTIF</v>
          </cell>
          <cell r="E102" t="str">
            <v>UT</v>
          </cell>
        </row>
        <row r="103">
          <cell r="A103" t="str">
            <v>PTIF</v>
          </cell>
          <cell r="E103" t="str">
            <v>≠ UT</v>
          </cell>
        </row>
        <row r="104">
          <cell r="A104" t="str">
            <v>SAAMCAU</v>
          </cell>
          <cell r="E104" t="str">
            <v>UT</v>
          </cell>
        </row>
        <row r="105">
          <cell r="A105" t="str">
            <v>SAAMMAN</v>
          </cell>
          <cell r="E105" t="str">
            <v>UT</v>
          </cell>
        </row>
        <row r="106">
          <cell r="A106" t="str">
            <v>SAAMMOD</v>
          </cell>
          <cell r="E106" t="str">
            <v>UT</v>
          </cell>
        </row>
        <row r="107">
          <cell r="A107" t="str">
            <v>SABCCSHF</v>
          </cell>
          <cell r="E107" t="str">
            <v>≠ UT</v>
          </cell>
        </row>
        <row r="108">
          <cell r="A108" t="str">
            <v>SISLP</v>
          </cell>
          <cell r="E108" t="str">
            <v>≠ UT</v>
          </cell>
        </row>
        <row r="109">
          <cell r="A109" t="str">
            <v>SISMMF</v>
          </cell>
          <cell r="E109" t="str">
            <v>UT</v>
          </cell>
        </row>
        <row r="110">
          <cell r="A110" t="str">
            <v>SMMAIF</v>
          </cell>
          <cell r="E110" t="str">
            <v>UT</v>
          </cell>
        </row>
        <row r="111">
          <cell r="A111" t="str">
            <v>SMMBPR</v>
          </cell>
          <cell r="E111" t="str">
            <v>UT</v>
          </cell>
        </row>
        <row r="112">
          <cell r="A112" t="str">
            <v>SMMEYP</v>
          </cell>
          <cell r="E112" t="str">
            <v>UT</v>
          </cell>
        </row>
        <row r="113">
          <cell r="A113" t="str">
            <v>SMMIBF</v>
          </cell>
          <cell r="E113" t="str">
            <v>UT</v>
          </cell>
        </row>
        <row r="114">
          <cell r="A114" t="str">
            <v>SMMRRF</v>
          </cell>
          <cell r="E114" t="str">
            <v>UT</v>
          </cell>
        </row>
        <row r="115">
          <cell r="A115" t="str">
            <v>SSLSP</v>
          </cell>
          <cell r="E115" t="str">
            <v>≠ UT</v>
          </cell>
        </row>
        <row r="116">
          <cell r="A116" t="str">
            <v>STBFIP</v>
          </cell>
          <cell r="E116" t="str">
            <v>≠ UT</v>
          </cell>
        </row>
        <row r="117">
          <cell r="A117" t="str">
            <v>STSBND</v>
          </cell>
          <cell r="E117" t="str">
            <v>UT</v>
          </cell>
        </row>
        <row r="118">
          <cell r="A118" t="str">
            <v>STSYPF</v>
          </cell>
          <cell r="E118" t="str">
            <v>≠ UT</v>
          </cell>
        </row>
        <row r="119">
          <cell r="A119" t="str">
            <v>SWGSWX</v>
          </cell>
          <cell r="E119" t="str">
            <v>≠ UT</v>
          </cell>
        </row>
        <row r="120">
          <cell r="A120" t="str">
            <v>SYGCSWX</v>
          </cell>
          <cell r="E120" t="str">
            <v>≠ UT</v>
          </cell>
        </row>
        <row r="121">
          <cell r="A121" t="str">
            <v>CCNPF</v>
          </cell>
          <cell r="E121" t="str">
            <v>≠ UT</v>
          </cell>
        </row>
        <row r="122">
          <cell r="A122" t="str">
            <v>SYMMMF</v>
          </cell>
          <cell r="E122" t="str">
            <v>UT</v>
          </cell>
        </row>
        <row r="123">
          <cell r="A123" t="str">
            <v>TRFINC</v>
          </cell>
          <cell r="E123" t="str">
            <v>≠ UT</v>
          </cell>
        </row>
        <row r="124">
          <cell r="A124" t="str">
            <v>TRFWLTH</v>
          </cell>
          <cell r="E124" t="str">
            <v>≠ UT</v>
          </cell>
        </row>
        <row r="125">
          <cell r="A125" t="str">
            <v>TRSECRF</v>
          </cell>
          <cell r="E125" t="str">
            <v>≠ UT</v>
          </cell>
        </row>
        <row r="126">
          <cell r="A126" t="str">
            <v>UCT3IP</v>
          </cell>
          <cell r="E126" t="str">
            <v>≠ UT</v>
          </cell>
        </row>
        <row r="127">
          <cell r="A127" t="str">
            <v>UCT3YQ</v>
          </cell>
          <cell r="E127" t="str">
            <v>≠ UT</v>
          </cell>
        </row>
        <row r="128">
          <cell r="A128" t="str">
            <v>UCTINC</v>
          </cell>
          <cell r="E128" t="str">
            <v>≠ UT</v>
          </cell>
        </row>
        <row r="129">
          <cell r="A129" t="str">
            <v>UCTRFBND</v>
          </cell>
          <cell r="E129" t="str">
            <v>≠ UT</v>
          </cell>
        </row>
        <row r="130">
          <cell r="A130" t="str">
            <v>UCTRFINC</v>
          </cell>
          <cell r="E130" t="str">
            <v>≠ UT</v>
          </cell>
        </row>
        <row r="131">
          <cell r="A131" t="str">
            <v>UNVFRS</v>
          </cell>
          <cell r="E131" t="str">
            <v>≠ UT</v>
          </cell>
        </row>
        <row r="132">
          <cell r="A132" t="str">
            <v>USAIPF</v>
          </cell>
          <cell r="E132" t="str">
            <v>≠ UT</v>
          </cell>
        </row>
        <row r="133">
          <cell r="A133" t="str">
            <v>USA41</v>
          </cell>
          <cell r="E133"/>
        </row>
        <row r="134">
          <cell r="A134" t="str">
            <v>PGBF</v>
          </cell>
          <cell r="E134" t="str">
            <v>UT</v>
          </cell>
        </row>
        <row r="135">
          <cell r="A135" t="str">
            <v>PIF</v>
          </cell>
          <cell r="E135" t="str">
            <v>UT</v>
          </cell>
        </row>
        <row r="136">
          <cell r="A136" t="str">
            <v>PCGEF</v>
          </cell>
          <cell r="E136" t="str">
            <v>UT</v>
          </cell>
        </row>
        <row r="137">
          <cell r="A137" t="str">
            <v>PCCEF</v>
          </cell>
          <cell r="E137" t="str">
            <v>UT</v>
          </cell>
        </row>
        <row r="138">
          <cell r="A138" t="str">
            <v>OMFLXI5</v>
          </cell>
          <cell r="E138" t="str">
            <v>UT</v>
          </cell>
        </row>
        <row r="139">
          <cell r="A139" t="str">
            <v>AMMIPF</v>
          </cell>
          <cell r="E139" t="str">
            <v>≠ UT</v>
          </cell>
        </row>
        <row r="140">
          <cell r="A140" t="str">
            <v>TOYCEF</v>
          </cell>
          <cell r="E140" t="str">
            <v>≠ UT</v>
          </cell>
        </row>
        <row r="141">
          <cell r="A141" t="str">
            <v>ACIMMF</v>
          </cell>
          <cell r="E141" t="str">
            <v>UT</v>
          </cell>
        </row>
        <row r="142">
          <cell r="A142" t="str">
            <v>SHNIPF</v>
          </cell>
          <cell r="E142" t="str">
            <v>≠ UT</v>
          </cell>
        </row>
        <row r="143">
          <cell r="A143" t="str">
            <v>TSHMPF</v>
          </cell>
          <cell r="E143" t="str">
            <v>≠ UT</v>
          </cell>
        </row>
        <row r="144">
          <cell r="A144" t="str">
            <v>MASAINC</v>
          </cell>
          <cell r="E144" t="str">
            <v>≠ UT</v>
          </cell>
        </row>
        <row r="145">
          <cell r="A145" t="str">
            <v>MASAINRF</v>
          </cell>
          <cell r="E145" t="str">
            <v>≠ UT</v>
          </cell>
        </row>
        <row r="146">
          <cell r="A146" t="str">
            <v>PCMMF</v>
          </cell>
          <cell r="E146" t="str">
            <v>UT</v>
          </cell>
        </row>
        <row r="147">
          <cell r="A147" t="str">
            <v>SILEQF</v>
          </cell>
          <cell r="E147" t="str">
            <v>≠ UT</v>
          </cell>
        </row>
        <row r="148">
          <cell r="A148" t="str">
            <v>SILAIF</v>
          </cell>
          <cell r="E148" t="str">
            <v>UT</v>
          </cell>
        </row>
        <row r="149">
          <cell r="A149" t="str">
            <v>NESEQU</v>
          </cell>
          <cell r="E149" t="str">
            <v>≠ UT</v>
          </cell>
        </row>
        <row r="150">
          <cell r="A150" t="str">
            <v>NGKINC</v>
          </cell>
          <cell r="E150" t="str">
            <v>≠ UT</v>
          </cell>
        </row>
        <row r="151">
          <cell r="A151" t="str">
            <v>PPWEQU</v>
          </cell>
          <cell r="E151" t="str">
            <v>≠ UT</v>
          </cell>
        </row>
        <row r="152">
          <cell r="A152" t="str">
            <v>AFPFLB</v>
          </cell>
          <cell r="E152" t="str">
            <v>UT</v>
          </cell>
        </row>
        <row r="153">
          <cell r="A153" t="str">
            <v>IJGMMF</v>
          </cell>
          <cell r="E153" t="str">
            <v>UT</v>
          </cell>
        </row>
        <row r="154">
          <cell r="A154" t="str">
            <v>IJGBAL</v>
          </cell>
          <cell r="E154" t="str">
            <v>UT</v>
          </cell>
        </row>
        <row r="155">
          <cell r="A155" t="str">
            <v>IJGIPF</v>
          </cell>
          <cell r="E155" t="str">
            <v>UT</v>
          </cell>
        </row>
        <row r="156">
          <cell r="A156" t="str">
            <v>IJGCOR</v>
          </cell>
          <cell r="E156" t="str">
            <v>UT</v>
          </cell>
        </row>
        <row r="157">
          <cell r="A157" t="str">
            <v>ABMMABRF</v>
          </cell>
          <cell r="E157" t="str">
            <v>UT</v>
          </cell>
        </row>
        <row r="158">
          <cell r="A158" t="str">
            <v>PGPGIF</v>
          </cell>
          <cell r="E158" t="str">
            <v>≠ UT</v>
          </cell>
        </row>
        <row r="159">
          <cell r="A159" t="str">
            <v>PGPRF</v>
          </cell>
          <cell r="E159" t="str">
            <v>≠ UT</v>
          </cell>
        </row>
        <row r="160">
          <cell r="A160" t="str">
            <v>PGPRF_C</v>
          </cell>
          <cell r="E160" t="str">
            <v>≠ UT</v>
          </cell>
        </row>
        <row r="161">
          <cell r="A161" t="str">
            <v>PGPGBF</v>
          </cell>
          <cell r="E161" t="str">
            <v>≠ UT</v>
          </cell>
        </row>
        <row r="162">
          <cell r="A162" t="str">
            <v>PGCBF</v>
          </cell>
          <cell r="E162" t="str">
            <v>≠ UT</v>
          </cell>
        </row>
        <row r="163">
          <cell r="A163" t="str">
            <v>PGCCF</v>
          </cell>
          <cell r="E163" t="str">
            <v>≠ UT</v>
          </cell>
        </row>
        <row r="164">
          <cell r="A164" t="str">
            <v>PGCEF</v>
          </cell>
          <cell r="E164" t="str">
            <v>≠ UT</v>
          </cell>
        </row>
        <row r="165">
          <cell r="A165" t="str">
            <v>PGPGGF</v>
          </cell>
          <cell r="E165" t="str">
            <v>≠ UT</v>
          </cell>
        </row>
        <row r="166">
          <cell r="A166" t="str">
            <v>PGPGBF_C</v>
          </cell>
          <cell r="E166" t="str">
            <v>≠ UT</v>
          </cell>
        </row>
        <row r="167">
          <cell r="A167" t="str">
            <v>PGPGIF_C</v>
          </cell>
          <cell r="E167" t="str">
            <v>≠ UT</v>
          </cell>
        </row>
        <row r="168">
          <cell r="A168" t="str">
            <v>PGPCGE</v>
          </cell>
          <cell r="E168" t="str">
            <v>≠ UT</v>
          </cell>
        </row>
        <row r="169">
          <cell r="A169" t="str">
            <v>QIFFGIF</v>
          </cell>
          <cell r="E169" t="str">
            <v>≠ UT</v>
          </cell>
        </row>
        <row r="170">
          <cell r="A170" t="str">
            <v>POIF_C</v>
          </cell>
          <cell r="E170" t="str">
            <v>UT</v>
          </cell>
        </row>
        <row r="171">
          <cell r="A171" t="str">
            <v>REG29_HOSMED</v>
          </cell>
          <cell r="E171" t="str">
            <v>≠ UT</v>
          </cell>
        </row>
        <row r="172">
          <cell r="A172" t="str">
            <v>REG29_Golden</v>
          </cell>
          <cell r="E172" t="str">
            <v>≠ UT</v>
          </cell>
        </row>
        <row r="173">
          <cell r="A173" t="str">
            <v>PPSBAL_C</v>
          </cell>
          <cell r="E173" t="str">
            <v>UT</v>
          </cell>
        </row>
        <row r="174">
          <cell r="A174" t="str">
            <v>ECICBALC</v>
          </cell>
          <cell r="E174" t="str">
            <v>≠ UT</v>
          </cell>
        </row>
        <row r="175">
          <cell r="A175" t="str">
            <v>MEDINC</v>
          </cell>
          <cell r="E175" t="str">
            <v>≠ UT</v>
          </cell>
        </row>
        <row r="176">
          <cell r="A176" t="str">
            <v>PPSNAM</v>
          </cell>
          <cell r="E176" t="str">
            <v>≠ UT</v>
          </cell>
        </row>
        <row r="177">
          <cell r="A177" t="str">
            <v>POIFEQT</v>
          </cell>
          <cell r="E177" t="str">
            <v>UT</v>
          </cell>
        </row>
        <row r="178">
          <cell r="A178" t="str">
            <v>PPSALBI</v>
          </cell>
          <cell r="E178" t="str">
            <v>≠ UT</v>
          </cell>
        </row>
        <row r="179">
          <cell r="A179" t="str">
            <v>PPSCILI</v>
          </cell>
          <cell r="E179" t="str">
            <v>≠ UT</v>
          </cell>
        </row>
        <row r="180">
          <cell r="A180" t="str">
            <v>PSIF</v>
          </cell>
          <cell r="E180" t="str">
            <v>UT</v>
          </cell>
        </row>
        <row r="181">
          <cell r="A181" t="str">
            <v>ADVTAA</v>
          </cell>
          <cell r="E181" t="str">
            <v>≠ UT</v>
          </cell>
        </row>
        <row r="182">
          <cell r="A182" t="str">
            <v>MOMBAL</v>
          </cell>
          <cell r="E182" t="str">
            <v>≠ UT</v>
          </cell>
        </row>
        <row r="183">
          <cell r="A183" t="str">
            <v>SNPFEQU</v>
          </cell>
          <cell r="E183" t="str">
            <v>≠ UT</v>
          </cell>
        </row>
        <row r="184">
          <cell r="A184" t="str">
            <v>CMPFINC</v>
          </cell>
          <cell r="E184" t="str">
            <v>≠ UT</v>
          </cell>
        </row>
        <row r="185">
          <cell r="A185" t="str">
            <v>PBBGPF</v>
          </cell>
          <cell r="E185" t="str">
            <v>≠ UT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\\pim-cpt-fs\profile$\PProfile%20Operations\Legal\Legal%20and%20Compliance%20Framework\Hilton\Client%20Mandates\HOLDINC%20rules.docx" TargetMode="External"/><Relationship Id="rId117" Type="http://schemas.openxmlformats.org/officeDocument/2006/relationships/hyperlink" Target="file:///\\pim-cpt-statpro\SPC_602\Client\Profiles\PIM\Exports\CAPGIP%20Derv%20Calc%206Apr2022.xlsx" TargetMode="External"/><Relationship Id="rId21" Type="http://schemas.openxmlformats.org/officeDocument/2006/relationships/hyperlink" Target="file:///\\pim-cpt-statpro\SPC_602\Client\Profiles\PIM\Exports\ENGENMBF%20Derv%20Calc%206Apr2022.xlsx" TargetMode="External"/><Relationship Id="rId42" Type="http://schemas.openxmlformats.org/officeDocument/2006/relationships/hyperlink" Target="file:///\\pim-cpt-fs\profile$\PProfile%20Operations\Legal\Legal%20and%20Compliance%20Framework\Hilton\Client%20Mandates\IJGBAL%20rules.docx" TargetMode="External"/><Relationship Id="rId47" Type="http://schemas.openxmlformats.org/officeDocument/2006/relationships/hyperlink" Target="file:///\\pim-cpt-statpro\SPC_602\Client\Profiles\PIM\Exports\LIBTAA%20Derv%20Calc%206Apr2022.xlsx" TargetMode="External"/><Relationship Id="rId63" Type="http://schemas.openxmlformats.org/officeDocument/2006/relationships/hyperlink" Target="file:///\\pim-cpt-statpro\SPC_602\Client\Profiles\PIM\Exports\PBAL%20Derv%20Calc%206Apr2022.xlsx" TargetMode="External"/><Relationship Id="rId68" Type="http://schemas.openxmlformats.org/officeDocument/2006/relationships/hyperlink" Target="file:///\\pim-cpt-fs\profile$\PProfile%20Operations\Legal\Legal%20and%20Compliance%20Framework\Hilton\Client%20Mandates\PCAEF%20rules.docx" TargetMode="External"/><Relationship Id="rId84" Type="http://schemas.openxmlformats.org/officeDocument/2006/relationships/hyperlink" Target="file:///\\pim-cpt-fs\profile$\PProfile%20Operations\Legal\Legal%20and%20Compliance%20Framework\Hilton\Client%20Mandates\PFFIF%20rules.docx" TargetMode="External"/><Relationship Id="rId89" Type="http://schemas.openxmlformats.org/officeDocument/2006/relationships/hyperlink" Target="file:///\\pim-cpt-statpro\SPC_602\Client\Profiles\PIM\Exports\PPOS%20Derv%20Calc%206Apr2022.xlsx" TargetMode="External"/><Relationship Id="rId112" Type="http://schemas.openxmlformats.org/officeDocument/2006/relationships/hyperlink" Target="file:///\\pim-cpt-fs\profile$\PProfile%20Operations\Legal\Legal%20and%20Compliance%20Framework\Hilton\Client%20Mandates\SAAMCAU%20rules.docx" TargetMode="External"/><Relationship Id="rId133" Type="http://schemas.openxmlformats.org/officeDocument/2006/relationships/hyperlink" Target="file:///\\pim-cpt-statpro\SPC_602\Client\Profiles\PIM\Exports\SMMIBF%20Derv%20Calc%206Apr2022.xlsx" TargetMode="External"/><Relationship Id="rId138" Type="http://schemas.openxmlformats.org/officeDocument/2006/relationships/hyperlink" Target="file:///\\pim-cpt-fs\profile$\PProfile%20Operations\Legal\Legal%20and%20Compliance%20Framework\Hilton\Client%20Mandates\SMMAIF%20rules.docx" TargetMode="External"/><Relationship Id="rId154" Type="http://schemas.openxmlformats.org/officeDocument/2006/relationships/drawing" Target="../drawings/drawing1.xml"/><Relationship Id="rId16" Type="http://schemas.openxmlformats.org/officeDocument/2006/relationships/hyperlink" Target="file:///\\pim-cpt-fs\profile$\PProfile%20Operations\Legal\Legal%20and%20Compliance%20Framework\Hilton\Client%20Mandates\SHNIPF%20rules.docx" TargetMode="External"/><Relationship Id="rId107" Type="http://schemas.openxmlformats.org/officeDocument/2006/relationships/hyperlink" Target="file:///\\pim-cpt-statpro\SPC_602\Client\Profiles\PIM\Exports\NGKINC%20Derv%20Calc%206Apr2022.xlsx" TargetMode="External"/><Relationship Id="rId11" Type="http://schemas.openxmlformats.org/officeDocument/2006/relationships/hyperlink" Target="file:///\\pim-cpt-statpro\SPC_602\Client\Profiles\PIM\Exports\SISLP%20Derv%20Calc%206Apr2022.xlsx" TargetMode="External"/><Relationship Id="rId32" Type="http://schemas.openxmlformats.org/officeDocument/2006/relationships/hyperlink" Target="file:///\\pim-cpt-fs\profile$\PProfile%20Operations\Legal\Legal%20and%20Compliance%20Framework\Hilton\Client%20Mandates\GAEMBF%20rules.docx" TargetMode="External"/><Relationship Id="rId37" Type="http://schemas.openxmlformats.org/officeDocument/2006/relationships/hyperlink" Target="file:///\\pim-cpt-statpro\SPC_602\Client\Profiles\PIM\Exports\GRFINV%20Derv%20Calc%206Apr2022.xlsx" TargetMode="External"/><Relationship Id="rId53" Type="http://schemas.openxmlformats.org/officeDocument/2006/relationships/hyperlink" Target="file:///\\pim-cpt-statpro\SPC_602\Client\Profiles\PIM\Exports\MOMPRET%20Derv%20Calc%206Apr2022.xlsx" TargetMode="External"/><Relationship Id="rId58" Type="http://schemas.openxmlformats.org/officeDocument/2006/relationships/hyperlink" Target="file:///\\pim-cpt-fs\profile$\PProfile%20Operations\Legal\Legal%20and%20Compliance%20Framework\Hilton\Client%20Mandates\NFMWEQU%20rules.docx" TargetMode="External"/><Relationship Id="rId74" Type="http://schemas.openxmlformats.org/officeDocument/2006/relationships/hyperlink" Target="file:///\\pim-cpt-fs\profile$\PProfile%20Operations\Legal\Legal%20and%20Compliance%20Framework\Hilton\Client%20Mandates\PCGEF%20rules.docx" TargetMode="External"/><Relationship Id="rId79" Type="http://schemas.openxmlformats.org/officeDocument/2006/relationships/hyperlink" Target="file:///\\pim-cpt-statpro\SPC_602\Client\Profiles\PIM\Exports\PEAQ%20Derv%20Calc%206Apr2022.xlsx" TargetMode="External"/><Relationship Id="rId102" Type="http://schemas.openxmlformats.org/officeDocument/2006/relationships/hyperlink" Target="file:///\\pim-cpt-fs\profile$\PProfile%20Operations\Legal\Legal%20and%20Compliance%20Framework\Hilton\Client%20Mandates\PPSBAL_C%20rules.docx" TargetMode="External"/><Relationship Id="rId123" Type="http://schemas.openxmlformats.org/officeDocument/2006/relationships/hyperlink" Target="file:///\\pim-cpt-statpro\SPC_602\Client\Profiles\PIM\Exports\ADRRC%20Derv%20Calc%206Apr2022.xlsx" TargetMode="External"/><Relationship Id="rId128" Type="http://schemas.openxmlformats.org/officeDocument/2006/relationships/hyperlink" Target="file:///\\pim-cpt-fs\profile$\PProfile%20Operations\Legal\Legal%20and%20Compliance%20Framework\Hilton\Client%20Mandates\ASHGFB%20rules.docx" TargetMode="External"/><Relationship Id="rId144" Type="http://schemas.openxmlformats.org/officeDocument/2006/relationships/hyperlink" Target="file:///\\pim-cpt-fs\profile$\PProfile%20Operations\Legal\Legal%20and%20Compliance%20Framework\Hilton\Client%20Mandates\SMMRRF%20rules.docx" TargetMode="External"/><Relationship Id="rId149" Type="http://schemas.openxmlformats.org/officeDocument/2006/relationships/hyperlink" Target="file:///\\pim-cpt-statpro\SPC_602\Client\Profiles\PIM\Exports\TOYCEF%20Derv%20Calc%206Apr2022.xlsx" TargetMode="External"/><Relationship Id="rId5" Type="http://schemas.openxmlformats.org/officeDocument/2006/relationships/hyperlink" Target="file:///\\pim-cpt-statpro\SPC_602\Client\Profiles\PIM\Exports\ABMMABR%20Derv%20Calc%206Apr2022.xlsx" TargetMode="External"/><Relationship Id="rId90" Type="http://schemas.openxmlformats.org/officeDocument/2006/relationships/hyperlink" Target="file:///\\pim-cpt-fs\profile$\PProfile%20Operations\Legal\Legal%20and%20Compliance%20Framework\Hilton\Client%20Mandates\PPOS%20rules.docx" TargetMode="External"/><Relationship Id="rId95" Type="http://schemas.openxmlformats.org/officeDocument/2006/relationships/hyperlink" Target="file:///\\pim-cpt-statpro\SPC_602\Client\Profiles\PIM\Exports\PSIF%20Derv%20Calc%206Apr2022.xlsx" TargetMode="External"/><Relationship Id="rId22" Type="http://schemas.openxmlformats.org/officeDocument/2006/relationships/hyperlink" Target="file:///\\pim-cpt-fs\profile$\PProfile%20Operations\Legal\Legal%20and%20Compliance%20Framework\Hilton\Client%20Mandates\ENGENMBF%20rules.docx" TargetMode="External"/><Relationship Id="rId27" Type="http://schemas.openxmlformats.org/officeDocument/2006/relationships/hyperlink" Target="file:///\\pim-cpt-statpro\SPC_602\Client\Profiles\PIM\Exports\HOLYPF%20Derv%20Calc%206Apr2022.xlsx" TargetMode="External"/><Relationship Id="rId43" Type="http://schemas.openxmlformats.org/officeDocument/2006/relationships/hyperlink" Target="file:///\\pim-cpt-statpro\SPC_602\Client\Profiles\PIM\Exports\IJGCOR%20Derv%20Calc%206Apr2022.xlsx" TargetMode="External"/><Relationship Id="rId48" Type="http://schemas.openxmlformats.org/officeDocument/2006/relationships/hyperlink" Target="file:///\\pim-cpt-fs\profile$\PProfile%20Operations\Legal\Legal%20and%20Compliance%20Framework\Hilton\Client%20Mandates\LIBTAA%20rules.docx" TargetMode="External"/><Relationship Id="rId64" Type="http://schemas.openxmlformats.org/officeDocument/2006/relationships/hyperlink" Target="file:///\\pim-cpt-fs\profile$\PProfile%20Operations\Legal\Legal%20and%20Compliance%20Framework\Hilton\Client%20Mandates\PBAL%20rules.docx" TargetMode="External"/><Relationship Id="rId69" Type="http://schemas.openxmlformats.org/officeDocument/2006/relationships/hyperlink" Target="file:///\\pim-cpt-statpro\SPC_602\Client\Profiles\PIM\Exports\PCCEF%20Derv%20Calc%206Apr2022.xlsx" TargetMode="External"/><Relationship Id="rId113" Type="http://schemas.openxmlformats.org/officeDocument/2006/relationships/hyperlink" Target="file:///\\pim-cpt-statpro\SPC_602\Client\Profiles\PIM\Exports\SAAMMAN%20Derv%20Calc%206Apr2022.xlsx" TargetMode="External"/><Relationship Id="rId118" Type="http://schemas.openxmlformats.org/officeDocument/2006/relationships/hyperlink" Target="file:///\\pim-cpt-fs\profile$\PProfile%20Operations\Legal\Legal%20and%20Compliance%20Framework\Hilton\Client%20Mandates\CAPGIP%20rules.docx" TargetMode="External"/><Relationship Id="rId134" Type="http://schemas.openxmlformats.org/officeDocument/2006/relationships/hyperlink" Target="file:///\\pim-cpt-fs\profile$\PProfile%20Operations\Legal\Legal%20and%20Compliance%20Framework\Hilton\Client%20Mandates\SMMIBF%20rules.docx" TargetMode="External"/><Relationship Id="rId139" Type="http://schemas.openxmlformats.org/officeDocument/2006/relationships/hyperlink" Target="file:///\\pim-cpt-statpro\SPC_602\Client\Profiles\PIM\Exports\SMMBPR%20Derv%20Calc%206Apr2022.xlsx" TargetMode="External"/><Relationship Id="rId80" Type="http://schemas.openxmlformats.org/officeDocument/2006/relationships/hyperlink" Target="file:///\\pim-cpt-fs\profile$\PProfile%20Operations\Legal\Legal%20and%20Compliance%20Framework\Hilton\Client%20Mandates\PEAQ%20rules.docx" TargetMode="External"/><Relationship Id="rId85" Type="http://schemas.openxmlformats.org/officeDocument/2006/relationships/hyperlink" Target="file:///\\pim-cpt-statpro\SPC_602\Client\Profiles\PIM\Exports\PGIF%20Derv%20Calc%206Apr2022.xlsx" TargetMode="External"/><Relationship Id="rId150" Type="http://schemas.openxmlformats.org/officeDocument/2006/relationships/hyperlink" Target="file:///\\pim-cpt-fs\profile$\PProfile%20Operations\Legal\Legal%20and%20Compliance%20Framework\Hilton\Client%20Mandates\TOYCEF%20rules.docx" TargetMode="External"/><Relationship Id="rId155" Type="http://schemas.openxmlformats.org/officeDocument/2006/relationships/vmlDrawing" Target="../drawings/vmlDrawing1.vml"/><Relationship Id="rId12" Type="http://schemas.openxmlformats.org/officeDocument/2006/relationships/hyperlink" Target="file:///\\pim-cpt-fs\profile$\PProfile%20Operations\Legal\Legal%20and%20Compliance%20Framework\Hilton\Client%20Mandates\SISLP%20rules.docx" TargetMode="External"/><Relationship Id="rId17" Type="http://schemas.openxmlformats.org/officeDocument/2006/relationships/hyperlink" Target="file:///\\pim-cpt-statpro\SPC_602\Client\Profiles\PIM\Exports\ECICBALC%20Derv%20Calc%206Apr2022.xlsx" TargetMode="External"/><Relationship Id="rId25" Type="http://schemas.openxmlformats.org/officeDocument/2006/relationships/hyperlink" Target="file:///\\pim-cpt-statpro\SPC_602\Client\Profiles\PIM\Exports\HOLDINC%20Derv%20Calc%206Apr2022.xlsx" TargetMode="External"/><Relationship Id="rId33" Type="http://schemas.openxmlformats.org/officeDocument/2006/relationships/hyperlink" Target="file:///\\pim-cpt-statpro\SPC_602\Client\Profiles\PIM\Exports\GMRETF2%20Derv%20Calc%206Apr2022.xlsx" TargetMode="External"/><Relationship Id="rId38" Type="http://schemas.openxmlformats.org/officeDocument/2006/relationships/hyperlink" Target="file:///\\pim-cpt-fs\profile$\PProfile%20Operations\Legal\Legal%20and%20Compliance%20Framework\Hilton\Client%20Mandates\GRFINV%20rules.docx" TargetMode="External"/><Relationship Id="rId46" Type="http://schemas.openxmlformats.org/officeDocument/2006/relationships/hyperlink" Target="file:///\\pim-cpt-fs\profile$\PProfile%20Operations\Legal\Legal%20and%20Compliance%20Framework\Hilton\Client%20Mandates\IJGIPF%20rules.docx" TargetMode="External"/><Relationship Id="rId59" Type="http://schemas.openxmlformats.org/officeDocument/2006/relationships/hyperlink" Target="file:///\\pim-cpt-statpro\SPC_602\Client\Profiles\PIM\Exports\OMFLXI5%20Derv%20Calc%206Apr2022.xlsx" TargetMode="External"/><Relationship Id="rId67" Type="http://schemas.openxmlformats.org/officeDocument/2006/relationships/hyperlink" Target="file:///\\pim-cpt-statpro\SPC_602\Client\Profiles\PIM\Exports\PCAEF%20Derv%20Calc%206Apr2022.xlsx" TargetMode="External"/><Relationship Id="rId103" Type="http://schemas.openxmlformats.org/officeDocument/2006/relationships/hyperlink" Target="file:///\\pim-cpt-statpro\SPC_602\Client\Profiles\PIM\Exports\PPSNAM%20Derv%20Calc%206Apr2022.xlsx" TargetMode="External"/><Relationship Id="rId108" Type="http://schemas.openxmlformats.org/officeDocument/2006/relationships/hyperlink" Target="file:///\\pim-cpt-fs\profile$\PProfile%20Operations\Legal\Legal%20and%20Compliance%20Framework\Hilton\Client%20Mandates\NGKINC%20rules.docx" TargetMode="External"/><Relationship Id="rId116" Type="http://schemas.openxmlformats.org/officeDocument/2006/relationships/hyperlink" Target="file:///\\pim-cpt-fs\profile$\PProfile%20Operations\Legal\Legal%20and%20Compliance%20Framework\Hilton\Client%20Mandates\SAAMMOD%20rules.docx" TargetMode="External"/><Relationship Id="rId124" Type="http://schemas.openxmlformats.org/officeDocument/2006/relationships/hyperlink" Target="file:///\\pim-cpt-fs\profile$\PProfile%20Operations\Legal\Legal%20and%20Compliance%20Framework\Hilton\Client%20Mandates\ADRRC%20rules.docx" TargetMode="External"/><Relationship Id="rId129" Type="http://schemas.openxmlformats.org/officeDocument/2006/relationships/hyperlink" Target="file:///\\pim-cpt-statpro\SPC_602\Client\Profiles\PIM\Exports\PPSFLEX%20Derv%20Calc%206Apr2022.xlsx" TargetMode="External"/><Relationship Id="rId137" Type="http://schemas.openxmlformats.org/officeDocument/2006/relationships/hyperlink" Target="file:///\\pim-cpt-statpro\SPC_602\Client\Profiles\PIM\Exports\SMMAIF%20Derv%20Calc%206Apr2022.xlsx" TargetMode="External"/><Relationship Id="rId20" Type="http://schemas.openxmlformats.org/officeDocument/2006/relationships/hyperlink" Target="file:///\\pim-cpt-fs\profile$\PProfile%20Operations\Legal\Legal%20and%20Compliance%20Framework\Hilton\Client%20Mandates\ELCIPF%20rules.docx" TargetMode="External"/><Relationship Id="rId41" Type="http://schemas.openxmlformats.org/officeDocument/2006/relationships/hyperlink" Target="file:///\\pim-cpt-statpro\SPC_602\Client\Profiles\PIM\Exports\IJGBAL%20Derv%20Calc%206Apr2022.xlsx" TargetMode="External"/><Relationship Id="rId54" Type="http://schemas.openxmlformats.org/officeDocument/2006/relationships/hyperlink" Target="file:///\\pim-cpt-fs\profile$\PProfile%20Operations\Legal\Legal%20and%20Compliance%20Framework\Hilton\Client%20Mandates\MOMPRET%20rules.docx" TargetMode="External"/><Relationship Id="rId62" Type="http://schemas.openxmlformats.org/officeDocument/2006/relationships/hyperlink" Target="file:///\\pim-cpt-fs\profile$\PProfile%20Operations\Legal\Legal%20and%20Compliance%20Framework\Hilton\Client%20Mandates\PICPROV%20rules.docx" TargetMode="External"/><Relationship Id="rId70" Type="http://schemas.openxmlformats.org/officeDocument/2006/relationships/hyperlink" Target="file:///\\pim-cpt-fs\profile$\PProfile%20Operations\Legal\Legal%20and%20Compliance%20Framework\Hilton\Client%20Mandates\PCCEF%20rules.docx" TargetMode="External"/><Relationship Id="rId75" Type="http://schemas.openxmlformats.org/officeDocument/2006/relationships/hyperlink" Target="file:///\\pim-cpt-statpro\SPC_602\Client\Profiles\PIM\Exports\PEQ%20Derv%20Calc%206Apr2022.xlsx" TargetMode="External"/><Relationship Id="rId83" Type="http://schemas.openxmlformats.org/officeDocument/2006/relationships/hyperlink" Target="file:///\\pim-cpt-statpro\SPC_602\Client\Profiles\PIM\Exports\PFFIF%20Derv%20Calc%206Apr2022.xlsx" TargetMode="External"/><Relationship Id="rId88" Type="http://schemas.openxmlformats.org/officeDocument/2006/relationships/hyperlink" Target="file:///\\pim-cpt-fs\profile$\PProfile%20Operations\Legal\Legal%20and%20Compliance%20Framework\Hilton\Client%20Mandates\PGGF%20rules.docx" TargetMode="External"/><Relationship Id="rId91" Type="http://schemas.openxmlformats.org/officeDocument/2006/relationships/hyperlink" Target="file:///\\pim-cpt-statpro\SPC_602\Client\Profiles\PIM\Exports\PPEF%20Derv%20Calc%206Apr2022.xlsx" TargetMode="External"/><Relationship Id="rId96" Type="http://schemas.openxmlformats.org/officeDocument/2006/relationships/hyperlink" Target="file:///\\pim-cpt-fs\profile$\PProfile%20Operations\Legal\Legal%20and%20Compliance%20Framework\Hilton\Client%20Mandates\PSIF%20rules.docx" TargetMode="External"/><Relationship Id="rId111" Type="http://schemas.openxmlformats.org/officeDocument/2006/relationships/hyperlink" Target="file:///\\pim-cpt-statpro\SPC_602\Client\Profiles\PIM\Exports\SAAMCAU%20Derv%20Calc%206Apr2022.xlsx" TargetMode="External"/><Relationship Id="rId132" Type="http://schemas.openxmlformats.org/officeDocument/2006/relationships/hyperlink" Target="file:///\\pim-cpt-fs\profile$\PProfile%20Operations\Legal\Legal%20and%20Compliance%20Framework\Hilton\Client%20Mandates\STSBND%20rules.docx" TargetMode="External"/><Relationship Id="rId140" Type="http://schemas.openxmlformats.org/officeDocument/2006/relationships/hyperlink" Target="file:///\\pim-cpt-fs\profile$\PProfile%20Operations\Legal\Legal%20and%20Compliance%20Framework\Hilton\Client%20Mandates\SMMBPR%20rules.docx" TargetMode="External"/><Relationship Id="rId145" Type="http://schemas.openxmlformats.org/officeDocument/2006/relationships/hyperlink" Target="file:///\\pim-cpt-statpro\SPC_602\Client\Profiles\PIM\Exports\SWGSWX%20Derv%20Calc%206Apr2022.xlsx" TargetMode="External"/><Relationship Id="rId153" Type="http://schemas.openxmlformats.org/officeDocument/2006/relationships/printerSettings" Target="../printerSettings/printerSettings1.bin"/><Relationship Id="rId1" Type="http://schemas.openxmlformats.org/officeDocument/2006/relationships/hyperlink" Target="file:///\\pim-cpt-statpro\SPC_602\Client\Profiles\PIM\Exports\PLPRNA%20Derv%20Calc%206Apr2022.xlsx" TargetMode="External"/><Relationship Id="rId6" Type="http://schemas.openxmlformats.org/officeDocument/2006/relationships/hyperlink" Target="file:///\\pim-cpt-fs\profile$\PProfile%20Operations\Legal\Legal%20and%20Compliance%20Framework\Hilton\Client%20Mandates\ABMMABR%20rules.docx" TargetMode="External"/><Relationship Id="rId15" Type="http://schemas.openxmlformats.org/officeDocument/2006/relationships/hyperlink" Target="file:///\\pim-cpt-statpro\SPC_602\Client\Profiles\PIM\Exports\SHNIPF%20Derv%20Calc%206Apr2022.xlsx" TargetMode="External"/><Relationship Id="rId23" Type="http://schemas.openxmlformats.org/officeDocument/2006/relationships/hyperlink" Target="file:///\\pim-cpt-statpro\SPC_602\Client\Profiles\PIM\Exports\GTCWP2%20Derv%20Calc%206Apr2022.xlsx" TargetMode="External"/><Relationship Id="rId28" Type="http://schemas.openxmlformats.org/officeDocument/2006/relationships/hyperlink" Target="file:///\\pim-cpt-fs\profile$\PProfile%20Operations\Legal\Legal%20and%20Compliance%20Framework\Hilton\Client%20Mandates\HOLYPF%20rules.docx" TargetMode="External"/><Relationship Id="rId36" Type="http://schemas.openxmlformats.org/officeDocument/2006/relationships/hyperlink" Target="file:///\\pim-cpt-fs\profile$\PProfile%20Operations\Legal\Legal%20and%20Compliance%20Framework\Hilton\Client%20Mandates\GMRETF%20rules.docx" TargetMode="External"/><Relationship Id="rId49" Type="http://schemas.openxmlformats.org/officeDocument/2006/relationships/hyperlink" Target="file:///\\pim-cpt-statpro\SPC_602\Client\Profiles\PIM\Exports\MEDINC%20Derv%20Calc%206Apr2022.xlsx" TargetMode="External"/><Relationship Id="rId57" Type="http://schemas.openxmlformats.org/officeDocument/2006/relationships/hyperlink" Target="file:///\\pim-cpt-statpro\SPC_602\Client\Profiles\PIM\Exports\NFMWEQU%20Derv%20Calc%206Apr2022.xlsx" TargetMode="External"/><Relationship Id="rId106" Type="http://schemas.openxmlformats.org/officeDocument/2006/relationships/hyperlink" Target="file:///\\pim-cpt-fs\profile$\PProfile%20Operations\Legal\Legal%20and%20Compliance%20Framework\Hilton\Client%20Mandates\PPWEQU%20rules.docx" TargetMode="External"/><Relationship Id="rId114" Type="http://schemas.openxmlformats.org/officeDocument/2006/relationships/hyperlink" Target="file:///\\pim-cpt-fs\profile$\PProfile%20Operations\Legal\Legal%20and%20Compliance%20Framework\Hilton\Client%20Mandates\SAAMMAN%20rules.docx" TargetMode="External"/><Relationship Id="rId119" Type="http://schemas.openxmlformats.org/officeDocument/2006/relationships/hyperlink" Target="file:///\\pim-cpt-statpro\SPC_602\Client\Profiles\PIM\Exports\MOMBBF%20Derv%20Calc%206Apr2022.xlsx" TargetMode="External"/><Relationship Id="rId127" Type="http://schemas.openxmlformats.org/officeDocument/2006/relationships/hyperlink" Target="file:///\\pim-cpt-statpro\SPC_602\Client\Profiles\PIM\Exports\ASHGFB%20Derv%20Calc%206Apr2022.xlsx" TargetMode="External"/><Relationship Id="rId10" Type="http://schemas.openxmlformats.org/officeDocument/2006/relationships/hyperlink" Target="file:///\\pim-cpt-fs\profile$\PProfile%20Operations\Legal\Legal%20and%20Compliance%20Framework\Hilton\Client%20Mandates\ABMMEQU%20rules.docx" TargetMode="External"/><Relationship Id="rId31" Type="http://schemas.openxmlformats.org/officeDocument/2006/relationships/hyperlink" Target="file:///\\pim-cpt-statpro\SPC_602\Client\Profiles\PIM\Exports\GAEMBF%20Derv%20Calc%206Apr2022.xlsx" TargetMode="External"/><Relationship Id="rId44" Type="http://schemas.openxmlformats.org/officeDocument/2006/relationships/hyperlink" Target="file:///\\pim-cpt-fs\profile$\PProfile%20Operations\Legal\Legal%20and%20Compliance%20Framework\Hilton\Client%20Mandates\IJGCOR%20rules.docx" TargetMode="External"/><Relationship Id="rId52" Type="http://schemas.openxmlformats.org/officeDocument/2006/relationships/hyperlink" Target="file:///\\pim-cpt-fs\profile$\PProfile%20Operations\Legal\Legal%20and%20Compliance%20Framework\Hilton\Client%20Mandates\MWPFEQU%20rules.docx" TargetMode="External"/><Relationship Id="rId60" Type="http://schemas.openxmlformats.org/officeDocument/2006/relationships/hyperlink" Target="file:///\\pim-cpt-fs\profile$\PProfile%20Operations\Legal\Legal%20and%20Compliance%20Framework\Hilton\Client%20Mandates\OMFLXI5%20rules.docx" TargetMode="External"/><Relationship Id="rId65" Type="http://schemas.openxmlformats.org/officeDocument/2006/relationships/hyperlink" Target="file:///\\pim-cpt-statpro\SPC_602\Client\Profiles\PIM\Exports\PIMBAL%20Derv%20Calc%206Apr2022.xlsx" TargetMode="External"/><Relationship Id="rId73" Type="http://schemas.openxmlformats.org/officeDocument/2006/relationships/hyperlink" Target="file:///\\pim-cpt-statpro\SPC_602\Client\Profiles\PIM\Exports\PCGEF%20Derv%20Calc%206Apr2022.xlsx" TargetMode="External"/><Relationship Id="rId78" Type="http://schemas.openxmlformats.org/officeDocument/2006/relationships/hyperlink" Target="file:///\\pim-cpt-fs\profile$\PProfile%20Operations\Legal\Legal%20and%20Compliance%20Framework\Hilton\Client%20Mandates\PABS%20rules.docx" TargetMode="External"/><Relationship Id="rId81" Type="http://schemas.openxmlformats.org/officeDocument/2006/relationships/hyperlink" Target="file:///\\pim-cpt-statpro\SPC_602\Client\Profiles\PIM\Exports\PBNDQ%20Derv%20Calc%206Apr2022.xlsx" TargetMode="External"/><Relationship Id="rId86" Type="http://schemas.openxmlformats.org/officeDocument/2006/relationships/hyperlink" Target="file:///\\pim-cpt-fs\profile$\PProfile%20Operations\Legal\Legal%20and%20Compliance%20Framework\Hilton\Client%20Mandates\PGIF%20rules.docx" TargetMode="External"/><Relationship Id="rId94" Type="http://schemas.openxmlformats.org/officeDocument/2006/relationships/hyperlink" Target="file:///\\pim-cpt-fs\profile$\PProfile%20Operations\Legal\Legal%20and%20Compliance%20Framework\Hilton\Client%20Mandates\PSTIF%20rules.docx" TargetMode="External"/><Relationship Id="rId99" Type="http://schemas.openxmlformats.org/officeDocument/2006/relationships/hyperlink" Target="file:///\\pim-cpt-statpro\SPC_602\Client\Profiles\PIM\Exports\PORFGPR%20Derv%20Calc%206Apr2022.xlsx" TargetMode="External"/><Relationship Id="rId101" Type="http://schemas.openxmlformats.org/officeDocument/2006/relationships/hyperlink" Target="file:///\\pim-cpt-statpro\SPC_602\Client\Profiles\PIM\Exports\PPSBAL_C%20Derv%20Calc%206Apr2022.xlsx" TargetMode="External"/><Relationship Id="rId122" Type="http://schemas.openxmlformats.org/officeDocument/2006/relationships/hyperlink" Target="file:///\\pim-cpt-fs\profile$\PProfile%20Operations\Legal\Legal%20and%20Compliance%20Framework\Hilton\Client%20Mandates\MOMFLX%20rules.docx" TargetMode="External"/><Relationship Id="rId130" Type="http://schemas.openxmlformats.org/officeDocument/2006/relationships/hyperlink" Target="file:///\\pim-cpt-fs\profile$\PProfile%20Operations\Legal\Legal%20and%20Compliance%20Framework\Hilton\Client%20Mandates\PPSFLEX%20rules.docx" TargetMode="External"/><Relationship Id="rId135" Type="http://schemas.openxmlformats.org/officeDocument/2006/relationships/hyperlink" Target="file:///\\pim-cpt-statpro\SPC_602\Client\Profiles\PIM\Exports\SILEQF%20Derv%20Calc%206Apr2022.xlsx" TargetMode="External"/><Relationship Id="rId143" Type="http://schemas.openxmlformats.org/officeDocument/2006/relationships/hyperlink" Target="file:///\\pim-cpt-statpro\SPC_602\Client\Profiles\PIM\Exports\SMMRRF%20Derv%20Calc%206Apr2022.xlsx" TargetMode="External"/><Relationship Id="rId148" Type="http://schemas.openxmlformats.org/officeDocument/2006/relationships/hyperlink" Target="file:///\\pim-cpt-fs\profile$\PProfile%20Operations\Legal\Legal%20and%20Compliance%20Framework\Hilton\Client%20Mandates\ASBTOS%20rules.docx" TargetMode="External"/><Relationship Id="rId151" Type="http://schemas.openxmlformats.org/officeDocument/2006/relationships/hyperlink" Target="file:///\\pim-cpt-statpro\SPC_602\Client\Profiles\PIM\Exports\TSHMPF%20Derv%20Calc%206Apr2022.xlsx" TargetMode="External"/><Relationship Id="rId156" Type="http://schemas.openxmlformats.org/officeDocument/2006/relationships/ctrlProp" Target="../ctrlProps/ctrlProp1.xml"/><Relationship Id="rId4" Type="http://schemas.openxmlformats.org/officeDocument/2006/relationships/hyperlink" Target="file:///\\pim-cpt-fs\profile$\PProfile%20Operations\Legal\Legal%20and%20Compliance%20Framework\Hilton\Client%20Mandates\PLMED%20rules.docx" TargetMode="External"/><Relationship Id="rId9" Type="http://schemas.openxmlformats.org/officeDocument/2006/relationships/hyperlink" Target="file:///\\pim-cpt-statpro\SPC_602\Client\Profiles\PIM\Exports\ABMMEQU%20Derv%20Calc%206Apr2022.xlsx" TargetMode="External"/><Relationship Id="rId13" Type="http://schemas.openxmlformats.org/officeDocument/2006/relationships/hyperlink" Target="file:///\\pim-cpt-statpro\SPC_602\Client\Profiles\PIM\Exports\PSPAM%20Derv%20Calc%206Apr2022.xlsx" TargetMode="External"/><Relationship Id="rId18" Type="http://schemas.openxmlformats.org/officeDocument/2006/relationships/hyperlink" Target="file:///\\pim-cpt-fs\profile$\PProfile%20Operations\Legal\Legal%20and%20Compliance%20Framework\Hilton\Client%20Mandates\ECICBALC%20rules.docx" TargetMode="External"/><Relationship Id="rId39" Type="http://schemas.openxmlformats.org/officeDocument/2006/relationships/hyperlink" Target="file:///\\pim-cpt-statpro\SPC_602\Client\Profiles\PIM\Exports\EMHPBQ%20Derv%20Calc%206Apr2022.xlsx" TargetMode="External"/><Relationship Id="rId109" Type="http://schemas.openxmlformats.org/officeDocument/2006/relationships/hyperlink" Target="file:///\\pim-cpt-statpro\SPC_602\Client\Profiles\PIM\Exports\POIF_C%20Derv%20Calc%206Apr2022.xlsx" TargetMode="External"/><Relationship Id="rId34" Type="http://schemas.openxmlformats.org/officeDocument/2006/relationships/hyperlink" Target="file:///\\pim-cpt-fs\profile$\PProfile%20Operations\Legal\Legal%20and%20Compliance%20Framework\Hilton\Client%20Mandates\GMRETF2%20rules.docx" TargetMode="External"/><Relationship Id="rId50" Type="http://schemas.openxmlformats.org/officeDocument/2006/relationships/hyperlink" Target="file:///\\pim-cpt-fs\profile$\PProfile%20Operations\Legal\Legal%20and%20Compliance%20Framework\Hilton\Client%20Mandates\MEDINC%20rules.docx" TargetMode="External"/><Relationship Id="rId55" Type="http://schemas.openxmlformats.org/officeDocument/2006/relationships/hyperlink" Target="file:///\\pim-cpt-statpro\SPC_602\Client\Profiles\PIM\Exports\NESEQU%20Derv%20Calc%206Apr2022.xlsx" TargetMode="External"/><Relationship Id="rId76" Type="http://schemas.openxmlformats.org/officeDocument/2006/relationships/hyperlink" Target="file:///\\pim-cpt-fs\profile$\PProfile%20Operations\Legal\Legal%20and%20Compliance%20Framework\Hilton\Client%20Mandates\PEQ%20rules.docx" TargetMode="External"/><Relationship Id="rId97" Type="http://schemas.openxmlformats.org/officeDocument/2006/relationships/hyperlink" Target="file:///\\pim-cpt-statpro\SPC_602\Client\Profiles\PIM\Exports\PCSHQ%20Derv%20Calc%206Apr2022.xlsx" TargetMode="External"/><Relationship Id="rId104" Type="http://schemas.openxmlformats.org/officeDocument/2006/relationships/hyperlink" Target="file:///\\pim-cpt-fs\profile$\PProfile%20Operations\Legal\Legal%20and%20Compliance%20Framework\Hilton\Client%20Mandates\PPSNAM%20rules.docx" TargetMode="External"/><Relationship Id="rId120" Type="http://schemas.openxmlformats.org/officeDocument/2006/relationships/hyperlink" Target="file:///\\pim-cpt-fs\profile$\PProfile%20Operations\Legal\Legal%20and%20Compliance%20Framework\Hilton\Client%20Mandates\MOMBBF%20rules.docx" TargetMode="External"/><Relationship Id="rId125" Type="http://schemas.openxmlformats.org/officeDocument/2006/relationships/hyperlink" Target="file:///\\pim-cpt-statpro\SPC_602\Client\Profiles\PIM\Exports\ASHFLX%20Derv%20Calc%206Apr2022.xlsx" TargetMode="External"/><Relationship Id="rId141" Type="http://schemas.openxmlformats.org/officeDocument/2006/relationships/hyperlink" Target="file:///\\pim-cpt-statpro\SPC_602\Client\Profiles\PIM\Exports\SMMEYP%20Derv%20Calc%206Apr2022.xlsx" TargetMode="External"/><Relationship Id="rId146" Type="http://schemas.openxmlformats.org/officeDocument/2006/relationships/hyperlink" Target="file:///\\pim-cpt-fs\profile$\PProfile%20Operations\Legal\Legal%20and%20Compliance%20Framework\Hilton\Client%20Mandates\SWGSWX%20rules.docx" TargetMode="External"/><Relationship Id="rId7" Type="http://schemas.openxmlformats.org/officeDocument/2006/relationships/hyperlink" Target="file:///\\pim-cpt-statpro\SPC_602\Client\Profiles\PIM\Exports\ABMMBND%20Derv%20Calc%206Apr2022.xlsx" TargetMode="External"/><Relationship Id="rId71" Type="http://schemas.openxmlformats.org/officeDocument/2006/relationships/hyperlink" Target="file:///\\pim-cpt-statpro\SPC_602\Client\Profiles\PIM\Exports\PCEQTF%20Derv%20Calc%206Apr2022.xlsx" TargetMode="External"/><Relationship Id="rId92" Type="http://schemas.openxmlformats.org/officeDocument/2006/relationships/hyperlink" Target="file:///\\pim-cpt-fs\profile$\PProfile%20Operations\Legal\Legal%20and%20Compliance%20Framework\Hilton\Client%20Mandates\PPEF%20rules.docx" TargetMode="External"/><Relationship Id="rId2" Type="http://schemas.openxmlformats.org/officeDocument/2006/relationships/hyperlink" Target="file:///\\pim-cpt-fs\profile$\PProfile%20Operations\Legal\Legal%20and%20Compliance%20Framework\Hilton\Client%20Mandates\PLPRNA%20rules.docx" TargetMode="External"/><Relationship Id="rId29" Type="http://schemas.openxmlformats.org/officeDocument/2006/relationships/hyperlink" Target="file:///\\pim-cpt-statpro\SPC_602\Client\Profiles\PIM\Exports\AMMIPF%20Derv%20Calc%206Apr2022.xlsx" TargetMode="External"/><Relationship Id="rId24" Type="http://schemas.openxmlformats.org/officeDocument/2006/relationships/hyperlink" Target="file:///\\pim-cpt-fs\profile$\PProfile%20Operations\Legal\Legal%20and%20Compliance%20Framework\Hilton\Client%20Mandates\GTCWP2%20rules.docx" TargetMode="External"/><Relationship Id="rId40" Type="http://schemas.openxmlformats.org/officeDocument/2006/relationships/hyperlink" Target="file:///\\pim-cpt-fs\profile$\PProfile%20Operations\Legal\Legal%20and%20Compliance%20Framework\Hilton\Client%20Mandates\EMHPBQ%20rules.docx" TargetMode="External"/><Relationship Id="rId45" Type="http://schemas.openxmlformats.org/officeDocument/2006/relationships/hyperlink" Target="file:///\\pim-cpt-statpro\SPC_602\Client\Profiles\PIM\Exports\IJGIPF%20Derv%20Calc%206Apr2022.xlsx" TargetMode="External"/><Relationship Id="rId66" Type="http://schemas.openxmlformats.org/officeDocument/2006/relationships/hyperlink" Target="file:///\\pim-cpt-fs\profile$\PProfile%20Operations\Legal\Legal%20and%20Compliance%20Framework\Hilton\Client%20Mandates\PIMBAL%20rules.docx" TargetMode="External"/><Relationship Id="rId87" Type="http://schemas.openxmlformats.org/officeDocument/2006/relationships/hyperlink" Target="file:///\\pim-cpt-statpro\SPC_602\Client\Profiles\PIM\Exports\PGGF%20Derv%20Calc%206Apr2022.xlsx" TargetMode="External"/><Relationship Id="rId110" Type="http://schemas.openxmlformats.org/officeDocument/2006/relationships/hyperlink" Target="file:///\\pim-cpt-fs\profile$\PProfile%20Operations\Legal\Legal%20and%20Compliance%20Framework\Hilton\Client%20Mandates\POIF_C%20rules.docx" TargetMode="External"/><Relationship Id="rId115" Type="http://schemas.openxmlformats.org/officeDocument/2006/relationships/hyperlink" Target="file:///\\pim-cpt-statpro\SPC_602\Client\Profiles\PIM\Exports\SAAMMOD%20Derv%20Calc%206Apr2022.xlsx" TargetMode="External"/><Relationship Id="rId131" Type="http://schemas.openxmlformats.org/officeDocument/2006/relationships/hyperlink" Target="file:///\\pim-cpt-statpro\SPC_602\Client\Profiles\PIM\Exports\STSBND%20Derv%20Calc%206Apr2022.xlsx" TargetMode="External"/><Relationship Id="rId136" Type="http://schemas.openxmlformats.org/officeDocument/2006/relationships/hyperlink" Target="file:///\\pim-cpt-fs\profile$\PProfile%20Operations\Legal\Legal%20and%20Compliance%20Framework\Hilton\Client%20Mandates\SILEQF%20rules.docx" TargetMode="External"/><Relationship Id="rId61" Type="http://schemas.openxmlformats.org/officeDocument/2006/relationships/hyperlink" Target="file:///\\pim-cpt-statpro\SPC_602\Client\Profiles\PIM\Exports\PICPROV%20Derv%20Calc%206Apr2022.xlsx" TargetMode="External"/><Relationship Id="rId82" Type="http://schemas.openxmlformats.org/officeDocument/2006/relationships/hyperlink" Target="file:///\\pim-cpt-fs\profile$\PProfile%20Operations\Legal\Legal%20and%20Compliance%20Framework\Hilton\Client%20Mandates\PBNDQ%20rules.docx" TargetMode="External"/><Relationship Id="rId152" Type="http://schemas.openxmlformats.org/officeDocument/2006/relationships/hyperlink" Target="file:///\\pim-cpt-fs\profile$\PProfile%20Operations\Legal\Legal%20and%20Compliance%20Framework\Hilton\Client%20Mandates\TSHMPF%20rules.docx" TargetMode="External"/><Relationship Id="rId19" Type="http://schemas.openxmlformats.org/officeDocument/2006/relationships/hyperlink" Target="file:///\\pim-cpt-statpro\SPC_602\Client\Profiles\PIM\Exports\ELCIPF%20Derv%20Calc%206Apr2022.xlsx" TargetMode="External"/><Relationship Id="rId14" Type="http://schemas.openxmlformats.org/officeDocument/2006/relationships/hyperlink" Target="file:///\\pim-cpt-fs\profile$\PProfile%20Operations\Legal\Legal%20and%20Compliance%20Framework\Hilton\Client%20Mandates\PSPAM%20rules.docx" TargetMode="External"/><Relationship Id="rId30" Type="http://schemas.openxmlformats.org/officeDocument/2006/relationships/hyperlink" Target="file:///\\pim-cpt-fs\profile$\PProfile%20Operations\Legal\Legal%20and%20Compliance%20Framework\Hilton\Client%20Mandates\AMMIPF%20rules.docx" TargetMode="External"/><Relationship Id="rId35" Type="http://schemas.openxmlformats.org/officeDocument/2006/relationships/hyperlink" Target="file:///\\pim-cpt-statpro\SPC_602\Client\Profiles\PIM\Exports\GMRETF%20Derv%20Calc%206Apr2022.xlsx" TargetMode="External"/><Relationship Id="rId56" Type="http://schemas.openxmlformats.org/officeDocument/2006/relationships/hyperlink" Target="file:///\\pim-cpt-fs\profile$\PProfile%20Operations\Legal\Legal%20and%20Compliance%20Framework\Hilton\Client%20Mandates\NESEQU%20rules.docx" TargetMode="External"/><Relationship Id="rId77" Type="http://schemas.openxmlformats.org/officeDocument/2006/relationships/hyperlink" Target="file:///\\pim-cpt-statpro\SPC_602\Client\Profiles\PIM\Exports\PABS%20Derv%20Calc%206Apr2022.xlsx" TargetMode="External"/><Relationship Id="rId100" Type="http://schemas.openxmlformats.org/officeDocument/2006/relationships/hyperlink" Target="file:///\\pim-cpt-fs\profile$\PProfile%20Operations\Legal\Legal%20and%20Compliance%20Framework\Hilton\Client%20Mandates\PORFGPR%20rules.docx" TargetMode="External"/><Relationship Id="rId105" Type="http://schemas.openxmlformats.org/officeDocument/2006/relationships/hyperlink" Target="file:///\\pim-cpt-statpro\SPC_602\Client\Profiles\PIM\Exports\PPWEQU%20Derv%20Calc%206Apr2022.xlsx" TargetMode="External"/><Relationship Id="rId126" Type="http://schemas.openxmlformats.org/officeDocument/2006/relationships/hyperlink" Target="file:///\\pim-cpt-fs\profile$\PProfile%20Operations\Legal\Legal%20and%20Compliance%20Framework\Hilton\Client%20Mandates\ASHFLX%20rules.docx" TargetMode="External"/><Relationship Id="rId147" Type="http://schemas.openxmlformats.org/officeDocument/2006/relationships/hyperlink" Target="file:///\\pim-cpt-statpro\SPC_602\Client\Profiles\PIM\Exports\ASBTOS%20Derv%20Calc%206Apr2022.xlsx" TargetMode="External"/><Relationship Id="rId8" Type="http://schemas.openxmlformats.org/officeDocument/2006/relationships/hyperlink" Target="file:///\\pim-cpt-fs\profile$\PProfile%20Operations\Legal\Legal%20and%20Compliance%20Framework\Hilton\Client%20Mandates\ABMMBND%20rules.docx" TargetMode="External"/><Relationship Id="rId51" Type="http://schemas.openxmlformats.org/officeDocument/2006/relationships/hyperlink" Target="file:///\\pim-cpt-statpro\SPC_602\Client\Profiles\PIM\Exports\MWPFEQU%20Derv%20Calc%206Apr2022.xlsx" TargetMode="External"/><Relationship Id="rId72" Type="http://schemas.openxmlformats.org/officeDocument/2006/relationships/hyperlink" Target="file:///\\pim-cpt-fs\profile$\PProfile%20Operations\Legal\Legal%20and%20Compliance%20Framework\Hilton\Client%20Mandates\PCEQTF%20rules.docx" TargetMode="External"/><Relationship Id="rId93" Type="http://schemas.openxmlformats.org/officeDocument/2006/relationships/hyperlink" Target="file:///\\pim-cpt-statpro\SPC_602\Client\Profiles\PIM\Exports\PSTIF%20Derv%20Calc%206Apr2022.xlsx" TargetMode="External"/><Relationship Id="rId98" Type="http://schemas.openxmlformats.org/officeDocument/2006/relationships/hyperlink" Target="file:///\\pim-cpt-fs\profile$\PProfile%20Operations\Legal\Legal%20and%20Compliance%20Framework\Hilton\Client%20Mandates\PCSHQ%20rules.docx" TargetMode="External"/><Relationship Id="rId121" Type="http://schemas.openxmlformats.org/officeDocument/2006/relationships/hyperlink" Target="file:///\\pim-cpt-statpro\SPC_602\Client\Profiles\PIM\Exports\MOMFLX%20Derv%20Calc%206Apr2022.xlsx" TargetMode="External"/><Relationship Id="rId142" Type="http://schemas.openxmlformats.org/officeDocument/2006/relationships/hyperlink" Target="file:///\\pim-cpt-fs\profile$\PProfile%20Operations\Legal\Legal%20and%20Compliance%20Framework\Hilton\Client%20Mandates\SMMEYP%20rules.docx" TargetMode="External"/><Relationship Id="rId3" Type="http://schemas.openxmlformats.org/officeDocument/2006/relationships/hyperlink" Target="file:///\\pim-cpt-statpro\SPC_602\Client\Profiles\PIM\Exports\PLMED%20Derv%20Calc%206Apr2022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holidays.co.za/national-womens-day/" TargetMode="External"/><Relationship Id="rId3" Type="http://schemas.openxmlformats.org/officeDocument/2006/relationships/hyperlink" Target="https://publicholidays.co.za/easter/" TargetMode="External"/><Relationship Id="rId7" Type="http://schemas.openxmlformats.org/officeDocument/2006/relationships/hyperlink" Target="https://publicholidays.co.za/youth-day/" TargetMode="External"/><Relationship Id="rId12" Type="http://schemas.openxmlformats.org/officeDocument/2006/relationships/hyperlink" Target="https://publicholidays.co.za/day-of-goodwill/" TargetMode="External"/><Relationship Id="rId2" Type="http://schemas.openxmlformats.org/officeDocument/2006/relationships/hyperlink" Target="https://publicholidays.co.za/easter/" TargetMode="External"/><Relationship Id="rId1" Type="http://schemas.openxmlformats.org/officeDocument/2006/relationships/hyperlink" Target="https://publicholidays.co.za/human-rights-day/" TargetMode="External"/><Relationship Id="rId6" Type="http://schemas.openxmlformats.org/officeDocument/2006/relationships/hyperlink" Target="https://publicholidays.co.za/workers-day/" TargetMode="External"/><Relationship Id="rId11" Type="http://schemas.openxmlformats.org/officeDocument/2006/relationships/hyperlink" Target="https://publicholidays.co.za/christmas/" TargetMode="External"/><Relationship Id="rId5" Type="http://schemas.openxmlformats.org/officeDocument/2006/relationships/hyperlink" Target="https://publicholidays.co.za/workers-day/" TargetMode="External"/><Relationship Id="rId10" Type="http://schemas.openxmlformats.org/officeDocument/2006/relationships/hyperlink" Target="https://publicholidays.co.za/day-of-reconciliation/" TargetMode="External"/><Relationship Id="rId4" Type="http://schemas.openxmlformats.org/officeDocument/2006/relationships/hyperlink" Target="https://publicholidays.co.za/freedom-day/" TargetMode="External"/><Relationship Id="rId9" Type="http://schemas.openxmlformats.org/officeDocument/2006/relationships/hyperlink" Target="https://publicholidays.co.za/heritage-day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quant.stackexchange.com/questions/47142/where-to-get-msci-world-index-constituents-we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E13F-43D2-40AB-922B-4AA4669647F0}">
  <sheetPr codeName="shOnePage"/>
  <dimension ref="A1:AR97"/>
  <sheetViews>
    <sheetView workbookViewId="0">
      <pane xSplit="4" ySplit="1" topLeftCell="E5" activePane="bottomRight" state="frozen"/>
      <selection activeCell="L2" sqref="L2"/>
      <selection pane="topRight" activeCell="L2" sqref="L2"/>
      <selection pane="bottomLeft" activeCell="L2" sqref="L2"/>
      <selection pane="bottomRight" activeCell="R8" sqref="R8"/>
    </sheetView>
  </sheetViews>
  <sheetFormatPr defaultRowHeight="12.75" x14ac:dyDescent="0.2"/>
  <cols>
    <col min="1" max="1" width="10.5703125" bestFit="1" customWidth="1"/>
    <col min="2" max="2" width="5.5703125" style="133" customWidth="1"/>
    <col min="3" max="3" width="4.85546875" style="144" bestFit="1" customWidth="1"/>
    <col min="4" max="4" width="12" bestFit="1" customWidth="1"/>
    <col min="5" max="6" width="13.28515625" customWidth="1"/>
    <col min="7" max="7" width="11.28515625" bestFit="1" customWidth="1"/>
    <col min="8" max="8" width="10.28515625" bestFit="1" customWidth="1"/>
    <col min="9" max="9" width="11.140625" bestFit="1" customWidth="1"/>
    <col min="10" max="10" width="10.5703125" customWidth="1"/>
    <col min="11" max="11" width="11.85546875" bestFit="1" customWidth="1"/>
    <col min="12" max="12" width="11.140625" customWidth="1"/>
    <col min="13" max="13" width="10.85546875" bestFit="1" customWidth="1"/>
    <col min="14" max="14" width="10" style="133" customWidth="1"/>
    <col min="15" max="15" width="38.85546875" customWidth="1"/>
    <col min="16" max="16" width="19.5703125" bestFit="1" customWidth="1"/>
  </cols>
  <sheetData>
    <row r="1" spans="1:17" s="150" customFormat="1" ht="38.25" x14ac:dyDescent="0.2">
      <c r="A1" s="151" t="s">
        <v>36</v>
      </c>
      <c r="B1" s="146" t="s">
        <v>10922</v>
      </c>
      <c r="C1" s="147" t="s">
        <v>10942</v>
      </c>
      <c r="D1" s="148" t="s">
        <v>104</v>
      </c>
      <c r="E1" s="148" t="s">
        <v>103</v>
      </c>
      <c r="F1" s="148" t="s">
        <v>10943</v>
      </c>
      <c r="G1" s="148" t="s">
        <v>10904</v>
      </c>
      <c r="H1" s="148" t="s">
        <v>106</v>
      </c>
      <c r="I1" s="148" t="s">
        <v>105</v>
      </c>
      <c r="J1" s="148" t="s">
        <v>10903</v>
      </c>
      <c r="K1" s="148" t="s">
        <v>10916</v>
      </c>
      <c r="L1" s="148" t="s">
        <v>11146</v>
      </c>
      <c r="M1" s="148" t="s">
        <v>101</v>
      </c>
      <c r="N1" s="148" t="s">
        <v>102</v>
      </c>
      <c r="O1" s="148" t="str">
        <f>"Derivative Calculations "&amp;TEXT(Data!$AJ$2,"ddd d mmm yyyy")</f>
        <v>Derivative Calculations Sat 0 Jan 1900</v>
      </c>
      <c r="P1" s="186" t="s">
        <v>10915</v>
      </c>
      <c r="Q1" s="149"/>
    </row>
    <row r="2" spans="1:17" x14ac:dyDescent="0.2">
      <c r="A2" s="62" t="s">
        <v>11039</v>
      </c>
      <c r="B2" s="133" t="str">
        <f>[1]Summary!$G$3</f>
        <v>UT</v>
      </c>
      <c r="C2" s="144">
        <f>[1]Summary!$E$1</f>
        <v>10</v>
      </c>
      <c r="D2" s="42">
        <f>[1]Summary!$C$34</f>
        <v>0.23653505665893348</v>
      </c>
      <c r="E2" s="42">
        <f>[1]Summary!$E$34/100</f>
        <v>0.23653505665893351</v>
      </c>
      <c r="F2" s="42">
        <f>[1]Summary!$C$36</f>
        <v>0.18917392732605318</v>
      </c>
      <c r="G2" s="42">
        <f>[1]Summary!$C$32</f>
        <v>0</v>
      </c>
      <c r="H2" s="42">
        <f>[1]Summary!$E$6/100</f>
        <v>2.1755042583784343E-2</v>
      </c>
      <c r="I2" s="42">
        <f>[1]Summary!$E$10/100</f>
        <v>1.963769909580583E-2</v>
      </c>
      <c r="J2" s="42">
        <f>[1]Summary!$E$14/100</f>
        <v>0.19157251498396657</v>
      </c>
      <c r="K2" s="42">
        <f>[1]Summary!$C$40</f>
        <v>0.59271598518059099</v>
      </c>
      <c r="L2" s="42">
        <f>[1]Summary!$C$54</f>
        <v>20.109193630113332</v>
      </c>
      <c r="M2" s="42">
        <f>'[1]Glbl Expsr'!$D$2</f>
        <v>9.5371566710000466E-2</v>
      </c>
      <c r="N2" s="132">
        <f>'[1]Glbl Expsr'!$D$3</f>
        <v>9.5371566710000466E-2</v>
      </c>
      <c r="O2" s="137" t="s">
        <v>11199</v>
      </c>
      <c r="P2" s="137" t="s">
        <v>11112</v>
      </c>
    </row>
    <row r="3" spans="1:17" x14ac:dyDescent="0.2">
      <c r="A3" s="62" t="s">
        <v>11023</v>
      </c>
      <c r="B3" s="133" t="str">
        <f>[2]Summary!$G$3</f>
        <v>UT</v>
      </c>
      <c r="C3" s="144">
        <f>[2]Summary!$E$1</f>
        <v>10</v>
      </c>
      <c r="D3" s="42">
        <f>[2]Summary!$C$34</f>
        <v>0.50252908513151706</v>
      </c>
      <c r="E3" s="42">
        <f>[2]Summary!$E$34/100</f>
        <v>0.50252908513151706</v>
      </c>
      <c r="F3" s="42">
        <f>[2]Summary!$C$36</f>
        <v>0</v>
      </c>
      <c r="G3" s="42">
        <f>[2]Summary!$C$32</f>
        <v>0</v>
      </c>
      <c r="H3" s="42">
        <f>[2]Summary!$E$6/100</f>
        <v>0</v>
      </c>
      <c r="I3" s="42">
        <f>[2]Summary!$E$10/100</f>
        <v>1.775748274147133E-2</v>
      </c>
      <c r="J3" s="42">
        <f>[2]Summary!$E$14/100</f>
        <v>0.12463344952779495</v>
      </c>
      <c r="K3" s="42">
        <f>[2]Summary!$C$40</f>
        <v>0.9922376655995595</v>
      </c>
      <c r="L3" s="42">
        <f>[2]Summary!$C$54</f>
        <v>0</v>
      </c>
      <c r="M3" s="42">
        <f>'[2]Glbl Expsr'!$D$2</f>
        <v>6.6275317312725221E-2</v>
      </c>
      <c r="N3" s="132">
        <f>'[2]Glbl Expsr'!$D$3</f>
        <v>6.6275317312725221E-2</v>
      </c>
      <c r="O3" s="137" t="s">
        <v>11182</v>
      </c>
      <c r="P3" s="137" t="s">
        <v>11096</v>
      </c>
      <c r="Q3" s="7"/>
    </row>
    <row r="4" spans="1:17" x14ac:dyDescent="0.2">
      <c r="A4" s="62" t="s">
        <v>11050</v>
      </c>
      <c r="B4" s="133" t="str">
        <f>[3]Summary!$G$3</f>
        <v>UT</v>
      </c>
      <c r="C4" s="144">
        <f>[3]Summary!$E$1</f>
        <v>9</v>
      </c>
      <c r="D4" s="42">
        <f>[3]Summary!$C$34</f>
        <v>1.5604779996808871E-2</v>
      </c>
      <c r="E4" s="42">
        <f>[3]Summary!$E$34/100</f>
        <v>1.5604779996808916E-2</v>
      </c>
      <c r="F4" s="42">
        <f>[3]Summary!$C$36</f>
        <v>0.19828812595179601</v>
      </c>
      <c r="G4" s="42">
        <f>[3]Summary!$C$32</f>
        <v>0</v>
      </c>
      <c r="H4" s="42">
        <f>[3]Summary!$E$6/100</f>
        <v>0</v>
      </c>
      <c r="I4" s="42">
        <f>[3]Summary!$E$10/100</f>
        <v>0</v>
      </c>
      <c r="J4" s="42">
        <f>[3]Summary!$E$14/100</f>
        <v>0</v>
      </c>
      <c r="K4" s="42">
        <f>[3]Summary!$C$40</f>
        <v>0.4073067318186121</v>
      </c>
      <c r="L4" s="42">
        <f>[3]Summary!$C$54</f>
        <v>0</v>
      </c>
      <c r="M4" s="42">
        <f>'[3]Glbl Expsr'!$D$2</f>
        <v>0.94737803873616511</v>
      </c>
      <c r="N4" s="132">
        <f>'[3]Glbl Expsr'!$D$3</f>
        <v>0.21091173482206221</v>
      </c>
      <c r="O4" s="137" t="s">
        <v>11210</v>
      </c>
      <c r="P4" s="137" t="s">
        <v>11123</v>
      </c>
    </row>
    <row r="5" spans="1:17" x14ac:dyDescent="0.2">
      <c r="A5" s="62" t="s">
        <v>11033</v>
      </c>
      <c r="B5" s="133" t="str">
        <f>[4]Summary!$G$3</f>
        <v>UT</v>
      </c>
      <c r="C5" s="144">
        <f>[4]Summary!$E$1</f>
        <v>9</v>
      </c>
      <c r="D5" s="42">
        <f>[4]Summary!$C$34</f>
        <v>2.9279105369438341E-2</v>
      </c>
      <c r="E5" s="42">
        <f>[4]Summary!$E$34/100</f>
        <v>2.9279105369438341E-2</v>
      </c>
      <c r="F5" s="42">
        <f>[4]Summary!$C$36</f>
        <v>0.20279072826825034</v>
      </c>
      <c r="G5" s="42">
        <f>[4]Summary!$C$32</f>
        <v>0</v>
      </c>
      <c r="H5" s="42">
        <f>[4]Summary!$E$6/100</f>
        <v>0</v>
      </c>
      <c r="I5" s="42">
        <f>[4]Summary!$E$10/100</f>
        <v>0</v>
      </c>
      <c r="J5" s="42">
        <f>[4]Summary!$E$14/100</f>
        <v>0</v>
      </c>
      <c r="K5" s="42">
        <f>[4]Summary!$C$40</f>
        <v>0.42110671375095821</v>
      </c>
      <c r="L5" s="42">
        <f>[4]Summary!$C$54</f>
        <v>0</v>
      </c>
      <c r="M5" s="42">
        <f>'[4]Glbl Expsr'!$D$2</f>
        <v>1.0335818767582066</v>
      </c>
      <c r="N5" s="132">
        <f>'[4]Glbl Expsr'!$D$3</f>
        <v>0.21834448550066982</v>
      </c>
      <c r="O5" s="137" t="s">
        <v>11193</v>
      </c>
      <c r="P5" s="137" t="s">
        <v>11106</v>
      </c>
    </row>
    <row r="6" spans="1:17" x14ac:dyDescent="0.2">
      <c r="A6" s="62" t="s">
        <v>10995</v>
      </c>
      <c r="B6" s="133" t="str">
        <f>[5]Summary!$G$3</f>
        <v>UT</v>
      </c>
      <c r="C6" s="144">
        <f>[5]Summary!$E$1</f>
        <v>9</v>
      </c>
      <c r="D6" s="42">
        <f>[5]Summary!$C$34</f>
        <v>3.2542982612068061E-2</v>
      </c>
      <c r="E6" s="42">
        <f>[5]Summary!$E$34/100</f>
        <v>3.2542982612067985E-2</v>
      </c>
      <c r="F6" s="42">
        <f>[5]Summary!$C$36</f>
        <v>0.16070469494604495</v>
      </c>
      <c r="G6" s="42">
        <f>[5]Summary!$C$32</f>
        <v>0</v>
      </c>
      <c r="H6" s="42">
        <f>[5]Summary!$E$6/100</f>
        <v>0</v>
      </c>
      <c r="I6" s="42">
        <f>[5]Summary!$E$10/100</f>
        <v>0</v>
      </c>
      <c r="J6" s="42">
        <f>[5]Summary!$E$14/100</f>
        <v>0</v>
      </c>
      <c r="K6" s="42">
        <f>[5]Summary!$C$40</f>
        <v>0.35493861049995618</v>
      </c>
      <c r="L6" s="42">
        <f>[5]Summary!$C$54</f>
        <v>19.462522957253299</v>
      </c>
      <c r="M6" s="42">
        <f>'[5]Glbl Expsr'!$D$2</f>
        <v>0.84041325489881757</v>
      </c>
      <c r="N6" s="132">
        <f>'[5]Glbl Expsr'!$D$3</f>
        <v>0.18768625060149291</v>
      </c>
      <c r="O6" s="135" t="s">
        <v>11150</v>
      </c>
      <c r="P6" s="45" t="s">
        <v>11068</v>
      </c>
    </row>
    <row r="7" spans="1:17" x14ac:dyDescent="0.2">
      <c r="A7" s="62" t="s">
        <v>11004</v>
      </c>
      <c r="B7" s="133" t="str">
        <f>[6]Summary!$G$3</f>
        <v>UT</v>
      </c>
      <c r="C7" s="144">
        <f>[6]Summary!$E$1</f>
        <v>9</v>
      </c>
      <c r="D7" s="42">
        <f>[6]Summary!$C$34</f>
        <v>5.8168227204522971E-2</v>
      </c>
      <c r="E7" s="42">
        <f>[6]Summary!$E$34/100</f>
        <v>5.8168227204522936E-2</v>
      </c>
      <c r="F7" s="42">
        <f>[6]Summary!$C$36</f>
        <v>0</v>
      </c>
      <c r="G7" s="42">
        <f>[6]Summary!$C$32</f>
        <v>0</v>
      </c>
      <c r="H7" s="42">
        <f>[6]Summary!$E$6/100</f>
        <v>0</v>
      </c>
      <c r="I7" s="42">
        <f>[6]Summary!$E$10/100</f>
        <v>0</v>
      </c>
      <c r="J7" s="42">
        <f>[6]Summary!$E$14/100</f>
        <v>0</v>
      </c>
      <c r="K7" s="42">
        <f>[6]Summary!$C$40</f>
        <v>0.68959519643609468</v>
      </c>
      <c r="L7" s="42">
        <f>[6]Summary!$C$54</f>
        <v>0</v>
      </c>
      <c r="M7" s="42">
        <f>'[6]Glbl Expsr'!$D$2</f>
        <v>1.7138448119015433</v>
      </c>
      <c r="N7" s="132">
        <f>'[6]Glbl Expsr'!$D$3</f>
        <v>0.50317318432866365</v>
      </c>
      <c r="O7" s="137" t="s">
        <v>11159</v>
      </c>
      <c r="P7" s="137" t="s">
        <v>11077</v>
      </c>
    </row>
    <row r="8" spans="1:17" x14ac:dyDescent="0.2">
      <c r="A8" s="62" t="s">
        <v>11013</v>
      </c>
      <c r="B8" s="133" t="str">
        <f>[7]Summary!$G$3</f>
        <v>UT</v>
      </c>
      <c r="C8" s="144">
        <f>[7]Summary!$E$1</f>
        <v>7</v>
      </c>
      <c r="D8" s="42">
        <f>[7]Summary!$C$34</f>
        <v>0.31947410280438526</v>
      </c>
      <c r="E8" s="42">
        <f>[7]Summary!$E$34/100</f>
        <v>0.31947410280438521</v>
      </c>
      <c r="F8" s="42" t="str">
        <f>[7]Summary!$C$36</f>
        <v/>
      </c>
      <c r="G8" s="42">
        <f>[7]Summary!$C$32</f>
        <v>0.19963363509387122</v>
      </c>
      <c r="H8" s="42">
        <f>[7]Summary!$E$6/100</f>
        <v>0</v>
      </c>
      <c r="I8" s="42">
        <f>[7]Summary!$E$10/100</f>
        <v>0</v>
      </c>
      <c r="J8" s="42">
        <f>[7]Summary!$E$14/100</f>
        <v>0</v>
      </c>
      <c r="K8" s="42">
        <f>[7]Summary!$C$40</f>
        <v>2.9931068840343156</v>
      </c>
      <c r="L8" s="42">
        <f>[7]Summary!$C$54</f>
        <v>17.269107547955265</v>
      </c>
      <c r="M8" s="42">
        <f>'[7]Glbl Expsr'!$D$2</f>
        <v>2.8153900269441308</v>
      </c>
      <c r="N8" s="132">
        <f>'[7]Glbl Expsr'!$D$3</f>
        <v>2.8153900269441308</v>
      </c>
      <c r="O8" s="135" t="s">
        <v>11168</v>
      </c>
      <c r="P8" s="45" t="s">
        <v>11086</v>
      </c>
    </row>
    <row r="9" spans="1:17" x14ac:dyDescent="0.2">
      <c r="A9" s="62" t="s">
        <v>11024</v>
      </c>
      <c r="B9" s="133" t="str">
        <f>[8]Summary!$G$3</f>
        <v>UT</v>
      </c>
      <c r="C9" s="144">
        <f>[8]Summary!$E$1</f>
        <v>7</v>
      </c>
      <c r="D9" s="42">
        <f>[8]Summary!$C$34</f>
        <v>0.25044271472610008</v>
      </c>
      <c r="E9" s="42">
        <f>[8]Summary!$E$34/100</f>
        <v>0.25044271472610008</v>
      </c>
      <c r="F9" s="42">
        <f>[8]Summary!$C$36</f>
        <v>0</v>
      </c>
      <c r="G9" s="42">
        <f>[8]Summary!$C$32</f>
        <v>0</v>
      </c>
      <c r="H9" s="42">
        <f>[8]Summary!$E$6/100</f>
        <v>0</v>
      </c>
      <c r="I9" s="42">
        <f>[8]Summary!$E$10/100</f>
        <v>3.3255527177279524E-2</v>
      </c>
      <c r="J9" s="42">
        <f>[8]Summary!$E$14/100</f>
        <v>0.17587447240949586</v>
      </c>
      <c r="K9" s="42">
        <f>[8]Summary!$C$40</f>
        <v>0.99069313163669115</v>
      </c>
      <c r="L9" s="42">
        <f>[8]Summary!$C$54</f>
        <v>0</v>
      </c>
      <c r="M9" s="42">
        <f>'[8]Glbl Expsr'!$D$2</f>
        <v>0.23999994847078149</v>
      </c>
      <c r="N9" s="132">
        <f>'[8]Glbl Expsr'!$D$3</f>
        <v>0.23999994847078149</v>
      </c>
      <c r="O9" s="135" t="s">
        <v>11183</v>
      </c>
      <c r="P9" s="45" t="s">
        <v>11097</v>
      </c>
    </row>
    <row r="10" spans="1:17" x14ac:dyDescent="0.2">
      <c r="A10" s="62" t="s">
        <v>11025</v>
      </c>
      <c r="B10" s="133" t="str">
        <f>[9]Summary!$G$3</f>
        <v>UT</v>
      </c>
      <c r="C10" s="144">
        <f>[9]Summary!$E$1</f>
        <v>7</v>
      </c>
      <c r="D10" s="42">
        <f>[9]Summary!$C$34</f>
        <v>0.34681845383052823</v>
      </c>
      <c r="E10" s="42">
        <f>[9]Summary!$E$34/100</f>
        <v>0.34681845383052823</v>
      </c>
      <c r="F10" s="42">
        <f>[9]Summary!$C$36</f>
        <v>0</v>
      </c>
      <c r="G10" s="42">
        <f>[9]Summary!$C$32</f>
        <v>0</v>
      </c>
      <c r="H10" s="42">
        <f>[9]Summary!$E$6/100</f>
        <v>0</v>
      </c>
      <c r="I10" s="42">
        <f>[9]Summary!$E$10/100</f>
        <v>1.9768545457934671E-2</v>
      </c>
      <c r="J10" s="42">
        <f>[9]Summary!$E$14/100</f>
        <v>0.14712864829139913</v>
      </c>
      <c r="K10" s="42">
        <f>[9]Summary!$C$40</f>
        <v>0.930185582673272</v>
      </c>
      <c r="L10" s="42">
        <f>[9]Summary!$C$54</f>
        <v>0</v>
      </c>
      <c r="M10" s="42">
        <f>'[9]Glbl Expsr'!$D$2</f>
        <v>8.8422854792313293E-2</v>
      </c>
      <c r="N10" s="132">
        <f>'[9]Glbl Expsr'!$D$3</f>
        <v>8.8422854792313293E-2</v>
      </c>
      <c r="O10" s="135" t="s">
        <v>11184</v>
      </c>
      <c r="P10" s="45" t="s">
        <v>11098</v>
      </c>
    </row>
    <row r="11" spans="1:17" x14ac:dyDescent="0.2">
      <c r="A11" s="62" t="s">
        <v>10964</v>
      </c>
      <c r="B11" s="133" t="str">
        <f>[10]Summary!$G$3</f>
        <v>UT</v>
      </c>
      <c r="C11" s="144">
        <f>[10]Summary!$E$1</f>
        <v>6</v>
      </c>
      <c r="D11" s="42">
        <f>[10]Summary!$C$34</f>
        <v>7.1720338346592249E-3</v>
      </c>
      <c r="E11" s="42">
        <f>[10]Summary!$E$34/100</f>
        <v>3.7108756948949218E-2</v>
      </c>
      <c r="F11" s="42">
        <f>[10]Summary!$C$36</f>
        <v>0.12636503396140378</v>
      </c>
      <c r="G11" s="42">
        <f>[10]Summary!$C$32</f>
        <v>0</v>
      </c>
      <c r="H11" s="42">
        <f>[10]Summary!$E$6/100</f>
        <v>0</v>
      </c>
      <c r="I11" s="42">
        <f>[10]Summary!$E$10/100</f>
        <v>0</v>
      </c>
      <c r="J11" s="42">
        <f>[10]Summary!$E$14/100</f>
        <v>0</v>
      </c>
      <c r="K11" s="42">
        <f>[10]Summary!$C$40</f>
        <v>0.64844859272333244</v>
      </c>
      <c r="L11" s="42">
        <f>[10]Summary!$C$54</f>
        <v>43.82541509217522</v>
      </c>
      <c r="M11" s="42">
        <f>'[10]Glbl Expsr'!$D$2</f>
        <v>2.8740154228607546E-2</v>
      </c>
      <c r="N11" s="132">
        <f>'[10]Glbl Expsr'!$D$3</f>
        <v>2.8740154228607546E-2</v>
      </c>
      <c r="O11" s="135" t="s">
        <v>11181</v>
      </c>
      <c r="P11" s="45" t="s">
        <v>10967</v>
      </c>
    </row>
    <row r="12" spans="1:17" x14ac:dyDescent="0.2">
      <c r="A12" s="62" t="s">
        <v>11028</v>
      </c>
      <c r="B12" s="133" t="str">
        <f>[11]Summary!$G$3</f>
        <v>UT</v>
      </c>
      <c r="C12" s="144">
        <f>[11]Summary!$E$1</f>
        <v>5</v>
      </c>
      <c r="D12" s="42">
        <f>[11]Summary!$C$34</f>
        <v>0.47815719082889774</v>
      </c>
      <c r="E12" s="42">
        <f>[11]Summary!$E$34/100</f>
        <v>0.47815719082889779</v>
      </c>
      <c r="F12" s="42">
        <f>[11]Summary!$C$36</f>
        <v>0</v>
      </c>
      <c r="G12" s="42">
        <f>[11]Summary!$C$32</f>
        <v>0</v>
      </c>
      <c r="H12" s="42">
        <f>[11]Summary!$E$6/100</f>
        <v>0</v>
      </c>
      <c r="I12" s="42">
        <f>[11]Summary!$E$10/100</f>
        <v>4.2280308550503527E-2</v>
      </c>
      <c r="J12" s="42">
        <f>[11]Summary!$E$14/100</f>
        <v>0.2136183276396463</v>
      </c>
      <c r="K12" s="42">
        <f>[11]Summary!$C$40</f>
        <v>0.98260703816086792</v>
      </c>
      <c r="L12" s="42">
        <f>[11]Summary!$C$54</f>
        <v>0</v>
      </c>
      <c r="M12" s="42">
        <f>'[11]Glbl Expsr'!$D$2</f>
        <v>0.29444411066288712</v>
      </c>
      <c r="N12" s="132">
        <f>'[11]Glbl Expsr'!$D$3</f>
        <v>0.29444411066288712</v>
      </c>
      <c r="O12" s="135" t="s">
        <v>11188</v>
      </c>
      <c r="P12" s="45" t="s">
        <v>11101</v>
      </c>
    </row>
    <row r="13" spans="1:17" x14ac:dyDescent="0.2">
      <c r="A13" s="62" t="s">
        <v>10963</v>
      </c>
      <c r="B13" s="133" t="str">
        <f>[12]Summary!$G$3</f>
        <v>UT</v>
      </c>
      <c r="C13" s="144">
        <f>[12]Summary!$E$1</f>
        <v>4</v>
      </c>
      <c r="D13" s="42">
        <f>[12]Summary!$C$34</f>
        <v>7.784560094300591E-3</v>
      </c>
      <c r="E13" s="42">
        <f>[12]Summary!$E$34/100</f>
        <v>5.2814815189091549E-2</v>
      </c>
      <c r="F13" s="42">
        <f>[12]Summary!$C$36</f>
        <v>0.1589352034581247</v>
      </c>
      <c r="G13" s="42">
        <f>[12]Summary!$C$32</f>
        <v>0</v>
      </c>
      <c r="H13" s="42">
        <f>[12]Summary!$E$6/100</f>
        <v>0</v>
      </c>
      <c r="I13" s="42">
        <f>[12]Summary!$E$10/100</f>
        <v>0</v>
      </c>
      <c r="J13" s="42">
        <f>[12]Summary!$E$14/100</f>
        <v>0</v>
      </c>
      <c r="K13" s="42">
        <f>[12]Summary!$C$40</f>
        <v>0.66108883876446189</v>
      </c>
      <c r="L13" s="42">
        <f>[12]Summary!$C$54</f>
        <v>44.692990555950111</v>
      </c>
      <c r="M13" s="42">
        <f>'[12]Glbl Expsr'!$D$2</f>
        <v>2.812014966904006E-2</v>
      </c>
      <c r="N13" s="132">
        <f>'[12]Glbl Expsr'!$D$3</f>
        <v>2.812014966904006E-2</v>
      </c>
      <c r="O13" s="137" t="s">
        <v>11180</v>
      </c>
      <c r="P13" s="137" t="s">
        <v>10966</v>
      </c>
    </row>
    <row r="14" spans="1:17" x14ac:dyDescent="0.2">
      <c r="A14" s="62" t="s">
        <v>11034</v>
      </c>
      <c r="B14" s="133" t="str">
        <f>[13]Summary!$G$3</f>
        <v>UT</v>
      </c>
      <c r="C14" s="144">
        <f>[13]Summary!$E$1</f>
        <v>4</v>
      </c>
      <c r="D14" s="42">
        <f>[13]Summary!$C$34</f>
        <v>0.12496283330728392</v>
      </c>
      <c r="E14" s="42">
        <f>[13]Summary!$E$34/100</f>
        <v>0.12496283330728392</v>
      </c>
      <c r="F14" s="42">
        <f>[13]Summary!$C$36</f>
        <v>0</v>
      </c>
      <c r="G14" s="42">
        <f>[13]Summary!$C$32</f>
        <v>0</v>
      </c>
      <c r="H14" s="42">
        <f>[13]Summary!$E$6/100</f>
        <v>0</v>
      </c>
      <c r="I14" s="42">
        <f>[13]Summary!$E$10/100</f>
        <v>1.7163906798883501E-2</v>
      </c>
      <c r="J14" s="42">
        <f>[13]Summary!$E$14/100</f>
        <v>0.38376814784895524</v>
      </c>
      <c r="K14" s="42">
        <f>[13]Summary!$C$40</f>
        <v>0.99371009133742394</v>
      </c>
      <c r="L14" s="42">
        <f>[13]Summary!$C$54</f>
        <v>0</v>
      </c>
      <c r="M14" s="42">
        <f>'[13]Glbl Expsr'!$D$2</f>
        <v>0.3092736897789406</v>
      </c>
      <c r="N14" s="132">
        <f>'[13]Glbl Expsr'!$D$3</f>
        <v>0.3092736897789406</v>
      </c>
      <c r="O14" s="135" t="s">
        <v>11194</v>
      </c>
      <c r="P14" s="45" t="s">
        <v>11107</v>
      </c>
    </row>
    <row r="15" spans="1:17" x14ac:dyDescent="0.2">
      <c r="A15" s="62" t="s">
        <v>10997</v>
      </c>
      <c r="B15" s="133" t="str">
        <f>[14]Summary!$G$3</f>
        <v>UT</v>
      </c>
      <c r="C15" s="144">
        <f>[14]Summary!$E$1</f>
        <v>4</v>
      </c>
      <c r="D15" s="42">
        <f>[14]Summary!$C$34</f>
        <v>0.36844941901963657</v>
      </c>
      <c r="E15" s="42">
        <f>[14]Summary!$E$34/100</f>
        <v>0.36844941901963657</v>
      </c>
      <c r="F15" s="42">
        <f>[14]Summary!$C$36</f>
        <v>0</v>
      </c>
      <c r="G15" s="42">
        <f>[14]Summary!$C$32</f>
        <v>0</v>
      </c>
      <c r="H15" s="42">
        <f>[14]Summary!$E$6/100</f>
        <v>0</v>
      </c>
      <c r="I15" s="42">
        <f>[14]Summary!$E$10/100</f>
        <v>1.4180764122363887E-2</v>
      </c>
      <c r="J15" s="42">
        <f>[14]Summary!$E$14/100</f>
        <v>0.1170530259406755</v>
      </c>
      <c r="K15" s="42">
        <f>[14]Summary!$C$40</f>
        <v>0.99281601933131658</v>
      </c>
      <c r="L15" s="42">
        <f>[14]Summary!$C$54</f>
        <v>0</v>
      </c>
      <c r="M15" s="42">
        <f>'[14]Glbl Expsr'!$D$2</f>
        <v>0.12444838236437988</v>
      </c>
      <c r="N15" s="132">
        <f>'[14]Glbl Expsr'!$D$3</f>
        <v>0.12444838236437988</v>
      </c>
      <c r="O15" s="137" t="s">
        <v>11152</v>
      </c>
      <c r="P15" s="137" t="s">
        <v>11070</v>
      </c>
    </row>
    <row r="16" spans="1:17" x14ac:dyDescent="0.2">
      <c r="A16" s="62" t="s">
        <v>11027</v>
      </c>
      <c r="B16" s="133" t="str">
        <f>[15]Summary!$G$3</f>
        <v>UT</v>
      </c>
      <c r="C16" s="144">
        <f>[15]Summary!$E$1</f>
        <v>4</v>
      </c>
      <c r="D16" s="42">
        <f>[15]Summary!$C$34</f>
        <v>0.46363122071181906</v>
      </c>
      <c r="E16" s="42">
        <f>[15]Summary!$E$34/100</f>
        <v>0.46363122071181906</v>
      </c>
      <c r="F16" s="42">
        <f>[15]Summary!$C$36</f>
        <v>0</v>
      </c>
      <c r="G16" s="42">
        <f>[15]Summary!$C$32</f>
        <v>0</v>
      </c>
      <c r="H16" s="42">
        <f>[15]Summary!$E$6/100</f>
        <v>0</v>
      </c>
      <c r="I16" s="42">
        <f>[15]Summary!$E$10/100</f>
        <v>0</v>
      </c>
      <c r="J16" s="42">
        <f>[15]Summary!$E$14/100</f>
        <v>0</v>
      </c>
      <c r="K16" s="42">
        <f>[15]Summary!$C$40</f>
        <v>0.99423061147177272</v>
      </c>
      <c r="L16" s="42">
        <f>[15]Summary!$C$54</f>
        <v>0</v>
      </c>
      <c r="M16" s="42">
        <f>'[15]Glbl Expsr'!$D$2</f>
        <v>0.15333855704167892</v>
      </c>
      <c r="N16" s="132">
        <f>'[15]Glbl Expsr'!$D$3</f>
        <v>0.15333855704167892</v>
      </c>
      <c r="O16" s="137" t="s">
        <v>11186</v>
      </c>
      <c r="P16" s="137" t="s">
        <v>11100</v>
      </c>
    </row>
    <row r="17" spans="1:18" x14ac:dyDescent="0.2">
      <c r="A17" s="62" t="s">
        <v>11045</v>
      </c>
      <c r="B17" s="133" t="str">
        <f>[16]Summary!$G$3</f>
        <v>UT</v>
      </c>
      <c r="C17" s="144">
        <f>[16]Summary!$E$1</f>
        <v>3</v>
      </c>
      <c r="D17" s="42">
        <f>[16]Summary!$C$34</f>
        <v>6.4514804948632154E-3</v>
      </c>
      <c r="E17" s="42">
        <f>[16]Summary!$E$34/100</f>
        <v>6.4514804948632327E-3</v>
      </c>
      <c r="F17" s="42">
        <f>[16]Summary!$C$36</f>
        <v>0</v>
      </c>
      <c r="G17" s="42">
        <f>[16]Summary!$C$32</f>
        <v>0</v>
      </c>
      <c r="H17" s="42">
        <f>[16]Summary!$E$6/100</f>
        <v>0</v>
      </c>
      <c r="I17" s="42">
        <f>[16]Summary!$E$10/100</f>
        <v>0</v>
      </c>
      <c r="J17" s="42">
        <f>[16]Summary!$E$14/100</f>
        <v>0</v>
      </c>
      <c r="K17" s="42">
        <f>[16]Summary!$C$40</f>
        <v>4.5373425681166379</v>
      </c>
      <c r="L17" s="42">
        <f>[16]Summary!$C$54</f>
        <v>0</v>
      </c>
      <c r="M17" s="42">
        <f>'[16]Glbl Expsr'!$D$2</f>
        <v>4.5373425681166379</v>
      </c>
      <c r="N17" s="132">
        <f>'[16]Glbl Expsr'!$D$3</f>
        <v>4.5373425681166379</v>
      </c>
      <c r="O17" s="135" t="s">
        <v>11205</v>
      </c>
      <c r="P17" s="45" t="s">
        <v>11118</v>
      </c>
    </row>
    <row r="18" spans="1:18" x14ac:dyDescent="0.2">
      <c r="A18" s="62" t="s">
        <v>11044</v>
      </c>
      <c r="B18" s="133" t="str">
        <f>[17]Summary!$G$3</f>
        <v>UT</v>
      </c>
      <c r="C18" s="144">
        <f>[17]Summary!$E$1</f>
        <v>3</v>
      </c>
      <c r="D18" s="42">
        <f>[17]Summary!$C$34</f>
        <v>8.7109861055939541E-3</v>
      </c>
      <c r="E18" s="42">
        <f>[17]Summary!$E$34/100</f>
        <v>8.7109861055940027E-3</v>
      </c>
      <c r="F18" s="42">
        <f>[17]Summary!$C$36</f>
        <v>0</v>
      </c>
      <c r="G18" s="42">
        <f>[17]Summary!$C$32</f>
        <v>0</v>
      </c>
      <c r="H18" s="42">
        <f>[17]Summary!$E$6/100</f>
        <v>0</v>
      </c>
      <c r="I18" s="42">
        <f>[17]Summary!$E$10/100</f>
        <v>0</v>
      </c>
      <c r="J18" s="42">
        <f>[17]Summary!$E$14/100</f>
        <v>0</v>
      </c>
      <c r="K18" s="42">
        <f>[17]Summary!$C$40</f>
        <v>4.8874986035305703</v>
      </c>
      <c r="L18" s="42">
        <f>[17]Summary!$C$54</f>
        <v>0</v>
      </c>
      <c r="M18" s="42">
        <f>'[17]Glbl Expsr'!$D$2</f>
        <v>4.8874986035305703</v>
      </c>
      <c r="N18" s="132">
        <f>'[17]Glbl Expsr'!$D$3</f>
        <v>4.8874986035305703</v>
      </c>
      <c r="O18" s="135" t="s">
        <v>11204</v>
      </c>
      <c r="P18" s="45" t="s">
        <v>11117</v>
      </c>
    </row>
    <row r="19" spans="1:18" x14ac:dyDescent="0.2">
      <c r="A19" s="62" t="s">
        <v>10965</v>
      </c>
      <c r="B19" s="133" t="str">
        <f>[18]Summary!$G$3</f>
        <v>UT</v>
      </c>
      <c r="C19" s="144">
        <f>[18]Summary!$E$1</f>
        <v>3</v>
      </c>
      <c r="D19" s="42">
        <f>[18]Summary!$C$34</f>
        <v>1.0002732848093054E-2</v>
      </c>
      <c r="E19" s="42">
        <f>[18]Summary!$E$34/100</f>
        <v>0.1072071914906445</v>
      </c>
      <c r="F19" s="42">
        <f>[18]Summary!$C$36</f>
        <v>0.29925093922767398</v>
      </c>
      <c r="G19" s="42">
        <f>[18]Summary!$C$32</f>
        <v>0</v>
      </c>
      <c r="H19" s="42">
        <f>[18]Summary!$E$6/100</f>
        <v>0</v>
      </c>
      <c r="I19" s="42">
        <f>[18]Summary!$E$10/100</f>
        <v>0</v>
      </c>
      <c r="J19" s="42">
        <f>[18]Summary!$E$14/100</f>
        <v>0</v>
      </c>
      <c r="K19" s="42">
        <f>[18]Summary!$C$40</f>
        <v>0.31714404250379247</v>
      </c>
      <c r="L19" s="42">
        <f>[18]Summary!$C$54</f>
        <v>43.613811116944809</v>
      </c>
      <c r="M19" s="42">
        <f>'[18]Glbl Expsr'!$D$2</f>
        <v>9.2307134817465886E-3</v>
      </c>
      <c r="N19" s="132">
        <f>'[18]Glbl Expsr'!$D$3</f>
        <v>9.2307134817465886E-3</v>
      </c>
      <c r="O19" s="135" t="s">
        <v>11187</v>
      </c>
      <c r="P19" s="45" t="s">
        <v>10968</v>
      </c>
    </row>
    <row r="20" spans="1:18" x14ac:dyDescent="0.2">
      <c r="A20" s="62" t="s">
        <v>11046</v>
      </c>
      <c r="B20" s="133" t="str">
        <f>[19]Summary!$G$3</f>
        <v>UT</v>
      </c>
      <c r="C20" s="144">
        <f>[19]Summary!$E$1</f>
        <v>3</v>
      </c>
      <c r="D20" s="42">
        <f>[19]Summary!$C$34</f>
        <v>1.1947853595659974E-2</v>
      </c>
      <c r="E20" s="42">
        <f>[19]Summary!$E$34/100</f>
        <v>1.1947853595659979E-2</v>
      </c>
      <c r="F20" s="42">
        <f>[19]Summary!$C$36</f>
        <v>0</v>
      </c>
      <c r="G20" s="42">
        <f>[19]Summary!$C$32</f>
        <v>0</v>
      </c>
      <c r="H20" s="42">
        <f>[19]Summary!$E$6/100</f>
        <v>0</v>
      </c>
      <c r="I20" s="42">
        <f>[19]Summary!$E$10/100</f>
        <v>0</v>
      </c>
      <c r="J20" s="42">
        <f>[19]Summary!$E$14/100</f>
        <v>0</v>
      </c>
      <c r="K20" s="42">
        <f>[19]Summary!$C$40</f>
        <v>4.5371611139734158</v>
      </c>
      <c r="L20" s="42">
        <f>[19]Summary!$C$54</f>
        <v>0</v>
      </c>
      <c r="M20" s="42">
        <f>'[19]Glbl Expsr'!$D$2</f>
        <v>4.5371611139734158</v>
      </c>
      <c r="N20" s="132">
        <f>'[19]Glbl Expsr'!$D$3</f>
        <v>4.5371611139734158</v>
      </c>
      <c r="O20" s="137" t="s">
        <v>11206</v>
      </c>
      <c r="P20" s="137" t="s">
        <v>11119</v>
      </c>
    </row>
    <row r="21" spans="1:18" x14ac:dyDescent="0.2">
      <c r="A21" s="62" t="s">
        <v>11060</v>
      </c>
      <c r="B21" s="133" t="str">
        <f>[20]Summary!$G$3</f>
        <v>UT</v>
      </c>
      <c r="C21" s="144">
        <f>[20]Summary!$E$1</f>
        <v>2</v>
      </c>
      <c r="D21" s="42">
        <f>[20]Summary!$C$34</f>
        <v>3.749167119073471E-3</v>
      </c>
      <c r="E21" s="42">
        <f>[20]Summary!$E$34/100</f>
        <v>3.7491671190734623E-3</v>
      </c>
      <c r="F21" s="42">
        <f>[20]Summary!$C$36</f>
        <v>9.9448085581634142E-3</v>
      </c>
      <c r="G21" s="42">
        <f>[20]Summary!$C$32</f>
        <v>0</v>
      </c>
      <c r="H21" s="42">
        <f>[20]Summary!$E$6/100</f>
        <v>0</v>
      </c>
      <c r="I21" s="42">
        <f>[20]Summary!$E$10/100</f>
        <v>0</v>
      </c>
      <c r="J21" s="42">
        <f>[20]Summary!$E$14/100</f>
        <v>0</v>
      </c>
      <c r="K21" s="42">
        <f>[20]Summary!$C$40</f>
        <v>0.35472693685821965</v>
      </c>
      <c r="L21" s="42">
        <f>[20]Summary!$C$54</f>
        <v>0</v>
      </c>
      <c r="M21" s="42">
        <f>'[20]Glbl Expsr'!$D$2</f>
        <v>0.26707297282160175</v>
      </c>
      <c r="N21" s="132">
        <f>'[20]Glbl Expsr'!$D$3</f>
        <v>0.26707297282160175</v>
      </c>
      <c r="O21" s="137" t="s">
        <v>11220</v>
      </c>
      <c r="P21" s="137" t="s">
        <v>11133</v>
      </c>
    </row>
    <row r="22" spans="1:18" x14ac:dyDescent="0.2">
      <c r="A22" s="62" t="s">
        <v>11005</v>
      </c>
      <c r="B22" s="133" t="str">
        <f>[21]Summary!$G$3</f>
        <v>UT</v>
      </c>
      <c r="C22" s="144">
        <f>[21]Summary!$E$1</f>
        <v>2</v>
      </c>
      <c r="D22" s="42">
        <f>[21]Summary!$C$34</f>
        <v>0.1648012594216347</v>
      </c>
      <c r="E22" s="42">
        <f>[21]Summary!$E$34/100</f>
        <v>0.1648012594216347</v>
      </c>
      <c r="F22" s="42">
        <f>[21]Summary!$C$36</f>
        <v>0.67706999194002071</v>
      </c>
      <c r="G22" s="42">
        <f>[21]Summary!$C$32</f>
        <v>0</v>
      </c>
      <c r="H22" s="42">
        <f>[21]Summary!$E$6/100</f>
        <v>0.1303783354394322</v>
      </c>
      <c r="I22" s="42">
        <f>[21]Summary!$E$10/100</f>
        <v>0</v>
      </c>
      <c r="J22" s="42">
        <f>[21]Summary!$E$14/100</f>
        <v>2.0140446448520827E-3</v>
      </c>
      <c r="K22" s="42">
        <f>[21]Summary!$C$40</f>
        <v>4.7540832771816491E-2</v>
      </c>
      <c r="L22" s="42">
        <f>[21]Summary!$C$54</f>
        <v>5.1072566343036474</v>
      </c>
      <c r="M22" s="42">
        <f>'[21]Glbl Expsr'!$D$2</f>
        <v>1.9583205377522245E-4</v>
      </c>
      <c r="N22" s="132">
        <f>'[21]Glbl Expsr'!$D$3</f>
        <v>1.9413205223935812E-4</v>
      </c>
      <c r="O22" s="135" t="s">
        <v>11160</v>
      </c>
      <c r="P22" s="45" t="s">
        <v>11078</v>
      </c>
    </row>
    <row r="23" spans="1:18" x14ac:dyDescent="0.2">
      <c r="A23" s="62" t="s">
        <v>11047</v>
      </c>
      <c r="B23" s="133" t="str">
        <f>[22]Summary!$G$3</f>
        <v>UT</v>
      </c>
      <c r="C23" s="144">
        <f>[22]Summary!$E$1</f>
        <v>2</v>
      </c>
      <c r="D23" s="42">
        <f>[22]Summary!$C$34</f>
        <v>0.1873958953144978</v>
      </c>
      <c r="E23" s="42">
        <f>[22]Summary!$E$34/100</f>
        <v>0.1873958953144978</v>
      </c>
      <c r="F23" s="42">
        <f>[22]Summary!$C$36</f>
        <v>0.45405665299056419</v>
      </c>
      <c r="G23" s="42">
        <f>[22]Summary!$C$32</f>
        <v>0</v>
      </c>
      <c r="H23" s="42">
        <f>[22]Summary!$E$6/100</f>
        <v>5.7555137872754292E-2</v>
      </c>
      <c r="I23" s="42">
        <f>[22]Summary!$E$10/100</f>
        <v>0</v>
      </c>
      <c r="J23" s="42">
        <f>[22]Summary!$E$14/100</f>
        <v>0</v>
      </c>
      <c r="K23" s="42">
        <f>[22]Summary!$C$40</f>
        <v>5.7927489378739538E-2</v>
      </c>
      <c r="L23" s="42">
        <f>[22]Summary!$C$54</f>
        <v>8.4597345360063905</v>
      </c>
      <c r="M23" s="42">
        <f>'[22]Glbl Expsr'!$D$2</f>
        <v>1.7937063474477867E-4</v>
      </c>
      <c r="N23" s="132">
        <f>'[22]Glbl Expsr'!$D$3</f>
        <v>1.7781353339861659E-4</v>
      </c>
      <c r="O23" s="137" t="s">
        <v>11207</v>
      </c>
      <c r="P23" s="137" t="s">
        <v>11120</v>
      </c>
    </row>
    <row r="24" spans="1:18" x14ac:dyDescent="0.2">
      <c r="A24" s="62" t="s">
        <v>11048</v>
      </c>
      <c r="B24" s="133" t="str">
        <f>[23]Summary!$G$3</f>
        <v>UT</v>
      </c>
      <c r="C24" s="144">
        <f>[23]Summary!$E$1</f>
        <v>2</v>
      </c>
      <c r="D24" s="42">
        <f>[23]Summary!$C$34</f>
        <v>0.18812216281602598</v>
      </c>
      <c r="E24" s="42">
        <f>[23]Summary!$E$34/100</f>
        <v>0.18812216281602598</v>
      </c>
      <c r="F24" s="42">
        <f>[23]Summary!$C$36</f>
        <v>0.66968045324609626</v>
      </c>
      <c r="G24" s="42">
        <f>[23]Summary!$C$32</f>
        <v>0</v>
      </c>
      <c r="H24" s="42">
        <f>[23]Summary!$E$6/100</f>
        <v>0.11040074124200344</v>
      </c>
      <c r="I24" s="42">
        <f>[23]Summary!$E$10/100</f>
        <v>0</v>
      </c>
      <c r="J24" s="42">
        <f>[23]Summary!$E$14/100</f>
        <v>0</v>
      </c>
      <c r="K24" s="42">
        <f>[23]Summary!$C$40</f>
        <v>5.6875317890049605E-2</v>
      </c>
      <c r="L24" s="42">
        <f>[23]Summary!$C$54</f>
        <v>5.6319493639135212</v>
      </c>
      <c r="M24" s="42">
        <f>'[23]Glbl Expsr'!$D$2</f>
        <v>2.3108087404710823E-4</v>
      </c>
      <c r="N24" s="132">
        <f>'[23]Glbl Expsr'!$D$3</f>
        <v>2.2907488047651611E-4</v>
      </c>
      <c r="O24" s="135" t="s">
        <v>11208</v>
      </c>
      <c r="P24" s="45" t="s">
        <v>11121</v>
      </c>
    </row>
    <row r="25" spans="1:18" x14ac:dyDescent="0.2">
      <c r="A25" s="62" t="s">
        <v>11053</v>
      </c>
      <c r="B25" s="133" t="str">
        <f>[24]Summary!$G$3</f>
        <v>UT</v>
      </c>
      <c r="C25" s="144">
        <f>[24]Summary!$E$1</f>
        <v>2</v>
      </c>
      <c r="D25" s="42">
        <f>[24]Summary!$C$34</f>
        <v>0.19016157926427946</v>
      </c>
      <c r="E25" s="42">
        <f>[24]Summary!$E$34/100</f>
        <v>0.19016157926427943</v>
      </c>
      <c r="F25" s="42">
        <f>[24]Summary!$C$36</f>
        <v>0.63298717694242035</v>
      </c>
      <c r="G25" s="42">
        <f>[24]Summary!$C$32</f>
        <v>0</v>
      </c>
      <c r="H25" s="42">
        <f>[24]Summary!$E$6/100</f>
        <v>0.10877985740640014</v>
      </c>
      <c r="I25" s="42">
        <f>[24]Summary!$E$10/100</f>
        <v>0</v>
      </c>
      <c r="J25" s="42">
        <f>[24]Summary!$E$14/100</f>
        <v>0</v>
      </c>
      <c r="K25" s="42">
        <f>[24]Summary!$C$40</f>
        <v>5.7519799129596108E-2</v>
      </c>
      <c r="L25" s="42">
        <f>[24]Summary!$C$54</f>
        <v>7.8233252074520863</v>
      </c>
      <c r="M25" s="42">
        <f>'[24]Glbl Expsr'!$D$2</f>
        <v>2.832435092994678E-4</v>
      </c>
      <c r="N25" s="132">
        <f>'[24]Glbl Expsr'!$D$3</f>
        <v>2.8078469629337345E-4</v>
      </c>
      <c r="O25" s="135" t="s">
        <v>11213</v>
      </c>
      <c r="P25" s="45" t="s">
        <v>11126</v>
      </c>
    </row>
    <row r="26" spans="1:18" x14ac:dyDescent="0.2">
      <c r="A26" s="62" t="s">
        <v>11006</v>
      </c>
      <c r="B26" s="133" t="str">
        <f>[25]Summary!$G$3</f>
        <v>UT</v>
      </c>
      <c r="C26" s="144">
        <f>[25]Summary!$E$1</f>
        <v>2</v>
      </c>
      <c r="D26" s="42">
        <f>[25]Summary!$C$34</f>
        <v>0.22456623983175411</v>
      </c>
      <c r="E26" s="42">
        <f>[25]Summary!$E$34/100</f>
        <v>0.22456623983175411</v>
      </c>
      <c r="F26" s="42">
        <f>[25]Summary!$C$36</f>
        <v>0.77463767500605041</v>
      </c>
      <c r="G26" s="42">
        <f>[25]Summary!$C$32</f>
        <v>0</v>
      </c>
      <c r="H26" s="42">
        <f>[25]Summary!$E$6/100</f>
        <v>0.12072133872455132</v>
      </c>
      <c r="I26" s="42">
        <f>[25]Summary!$E$10/100</f>
        <v>0</v>
      </c>
      <c r="J26" s="42">
        <f>[25]Summary!$E$14/100</f>
        <v>0</v>
      </c>
      <c r="K26" s="42">
        <f>[25]Summary!$C$40</f>
        <v>1.3893527314458827E-4</v>
      </c>
      <c r="L26" s="42">
        <f>[25]Summary!$C$54</f>
        <v>-1.4970155760724961</v>
      </c>
      <c r="M26" s="42">
        <f>'[25]Glbl Expsr'!$D$2</f>
        <v>1.4015192013825582E-4</v>
      </c>
      <c r="N26" s="132">
        <f>'[25]Glbl Expsr'!$D$3</f>
        <v>1.3893527314458827E-4</v>
      </c>
      <c r="O26" s="135" t="s">
        <v>11161</v>
      </c>
      <c r="P26" s="45" t="s">
        <v>11079</v>
      </c>
    </row>
    <row r="27" spans="1:18" x14ac:dyDescent="0.2">
      <c r="A27" s="62" t="s">
        <v>11057</v>
      </c>
      <c r="B27" s="133" t="str">
        <f>[26]Summary!$G$3</f>
        <v>UT</v>
      </c>
      <c r="C27" s="144">
        <f>[26]Summary!$E$1</f>
        <v>2</v>
      </c>
      <c r="D27" s="42">
        <f>[26]Summary!$C$34</f>
        <v>0.22633957483425532</v>
      </c>
      <c r="E27" s="42">
        <f>[26]Summary!$E$34/100</f>
        <v>0.22633957483425532</v>
      </c>
      <c r="F27" s="42">
        <f>[26]Summary!$C$36</f>
        <v>0.57166136057632588</v>
      </c>
      <c r="G27" s="42">
        <f>[26]Summary!$C$32</f>
        <v>0</v>
      </c>
      <c r="H27" s="42">
        <f>[26]Summary!$E$6/100</f>
        <v>4.2692009347955827E-2</v>
      </c>
      <c r="I27" s="42">
        <f>[26]Summary!$E$10/100</f>
        <v>0</v>
      </c>
      <c r="J27" s="42">
        <f>[26]Summary!$E$14/100</f>
        <v>0</v>
      </c>
      <c r="K27" s="42">
        <f>[26]Summary!$C$40</f>
        <v>3.6006720961438296E-2</v>
      </c>
      <c r="L27" s="42">
        <f>[26]Summary!$C$54</f>
        <v>4.7421055316347971</v>
      </c>
      <c r="M27" s="42">
        <f>'[26]Glbl Expsr'!$D$2</f>
        <v>1.6216990180869644E-4</v>
      </c>
      <c r="N27" s="132">
        <f>'[26]Glbl Expsr'!$D$3</f>
        <v>1.6076211857387327E-4</v>
      </c>
      <c r="O27" s="135" t="s">
        <v>11217</v>
      </c>
      <c r="P27" s="45" t="s">
        <v>11130</v>
      </c>
      <c r="R27" s="7"/>
    </row>
    <row r="28" spans="1:18" x14ac:dyDescent="0.2">
      <c r="A28" s="62" t="s">
        <v>11011</v>
      </c>
      <c r="B28" s="133" t="str">
        <f>[27]Summary!$G$3</f>
        <v>UT</v>
      </c>
      <c r="C28" s="144">
        <f>[27]Summary!$E$1</f>
        <v>2</v>
      </c>
      <c r="D28" s="42">
        <f>[27]Summary!$C$34</f>
        <v>0.29621998232157276</v>
      </c>
      <c r="E28" s="42">
        <f>[27]Summary!$E$34/100</f>
        <v>0.29621998232157276</v>
      </c>
      <c r="F28" s="42">
        <f>[27]Summary!$C$36</f>
        <v>0.39682892592583946</v>
      </c>
      <c r="G28" s="42">
        <f>[27]Summary!$C$32</f>
        <v>0</v>
      </c>
      <c r="H28" s="42">
        <f>[27]Summary!$E$6/100</f>
        <v>4.683066652143851E-2</v>
      </c>
      <c r="I28" s="42">
        <f>[27]Summary!$E$10/100</f>
        <v>0</v>
      </c>
      <c r="J28" s="42">
        <f>[27]Summary!$E$14/100</f>
        <v>0</v>
      </c>
      <c r="K28" s="42">
        <f>[27]Summary!$C$40</f>
        <v>4.3889842300107604E-2</v>
      </c>
      <c r="L28" s="42">
        <f>[27]Summary!$C$54</f>
        <v>2.0980707726969676</v>
      </c>
      <c r="M28" s="42">
        <f>'[27]Glbl Expsr'!$D$2</f>
        <v>3.9647872906449125E-4</v>
      </c>
      <c r="N28" s="132">
        <f>'[27]Glbl Expsr'!$D$3</f>
        <v>3.9303693066962371E-4</v>
      </c>
      <c r="O28" s="45" t="s">
        <v>11166</v>
      </c>
      <c r="P28" s="45" t="s">
        <v>11084</v>
      </c>
    </row>
    <row r="29" spans="1:18" x14ac:dyDescent="0.2">
      <c r="A29" s="62" t="s">
        <v>11051</v>
      </c>
      <c r="B29" s="133" t="str">
        <f>[28]Summary!$G$3</f>
        <v>UT</v>
      </c>
      <c r="C29" s="144">
        <f>[28]Summary!$E$1</f>
        <v>2</v>
      </c>
      <c r="D29" s="42">
        <f>[28]Summary!$C$34</f>
        <v>0.36241962834756325</v>
      </c>
      <c r="E29" s="42">
        <f>[28]Summary!$E$34/100</f>
        <v>0.36241962834756319</v>
      </c>
      <c r="F29" s="42">
        <f>[28]Summary!$C$36</f>
        <v>0.55031471002805266</v>
      </c>
      <c r="G29" s="42">
        <f>[28]Summary!$C$32</f>
        <v>0</v>
      </c>
      <c r="H29" s="42">
        <f>[28]Summary!$E$6/100</f>
        <v>0.11435549830290573</v>
      </c>
      <c r="I29" s="42">
        <f>[28]Summary!$E$10/100</f>
        <v>0</v>
      </c>
      <c r="J29" s="42">
        <f>[28]Summary!$E$14/100</f>
        <v>0</v>
      </c>
      <c r="K29" s="42">
        <f>[28]Summary!$C$40</f>
        <v>3.8489006595728861E-2</v>
      </c>
      <c r="L29" s="42">
        <f>[28]Summary!$C$54</f>
        <v>1.975503189932363</v>
      </c>
      <c r="M29" s="42">
        <f>'[28]Glbl Expsr'!$D$2</f>
        <v>2.6332107279023798E-4</v>
      </c>
      <c r="N29" s="132">
        <f>'[28]Glbl Expsr'!$D$3</f>
        <v>2.6103520477456244E-4</v>
      </c>
      <c r="O29" s="135" t="s">
        <v>11211</v>
      </c>
      <c r="P29" s="45" t="s">
        <v>11124</v>
      </c>
    </row>
    <row r="30" spans="1:18" x14ac:dyDescent="0.2">
      <c r="A30" s="62" t="s">
        <v>11049</v>
      </c>
      <c r="B30" s="133" t="str">
        <f>[29]Summary!$G$3</f>
        <v>UT</v>
      </c>
      <c r="C30" s="144">
        <f>[29]Summary!$E$1</f>
        <v>0</v>
      </c>
      <c r="D30" s="42">
        <f>[29]Summary!$C$34</f>
        <v>2.0567919934519818E-3</v>
      </c>
      <c r="E30" s="42">
        <f>[29]Summary!$E$34/100</f>
        <v>2.0567919934519818E-3</v>
      </c>
      <c r="F30" s="42">
        <f>[29]Summary!$C$36</f>
        <v>0.99794320800654801</v>
      </c>
      <c r="G30" s="42">
        <f>[29]Summary!$C$32</f>
        <v>0</v>
      </c>
      <c r="H30" s="42">
        <f>[29]Summary!$E$6/100</f>
        <v>0</v>
      </c>
      <c r="I30" s="42">
        <f>[29]Summary!$E$10/100</f>
        <v>0</v>
      </c>
      <c r="J30" s="42">
        <f>[29]Summary!$E$14/100</f>
        <v>0</v>
      </c>
      <c r="K30" s="42">
        <f>[29]Summary!$C$40</f>
        <v>0</v>
      </c>
      <c r="L30" s="42">
        <f>[29]Summary!$C$54</f>
        <v>0</v>
      </c>
      <c r="M30" s="42">
        <f>'[29]Glbl Expsr'!$D$2</f>
        <v>0</v>
      </c>
      <c r="N30" s="132">
        <f>'[29]Glbl Expsr'!$D$3</f>
        <v>0</v>
      </c>
      <c r="O30" s="135" t="s">
        <v>11209</v>
      </c>
      <c r="P30" s="45" t="s">
        <v>11122</v>
      </c>
    </row>
    <row r="31" spans="1:18" x14ac:dyDescent="0.2">
      <c r="A31" s="62" t="s">
        <v>11055</v>
      </c>
      <c r="B31" s="133" t="str">
        <f>[30]Summary!$G$3</f>
        <v>UT</v>
      </c>
      <c r="C31" s="144">
        <f>[30]Summary!$E$1</f>
        <v>0</v>
      </c>
      <c r="D31" s="42">
        <f>[30]Summary!$C$34</f>
        <v>2.4365092889186406E-3</v>
      </c>
      <c r="E31" s="42">
        <f>[30]Summary!$E$34/100</f>
        <v>2.4365092889186406E-3</v>
      </c>
      <c r="F31" s="42">
        <f>[30]Summary!$C$36</f>
        <v>0.99756349071108141</v>
      </c>
      <c r="G31" s="42">
        <f>[30]Summary!$C$32</f>
        <v>0</v>
      </c>
      <c r="H31" s="42">
        <f>[30]Summary!$E$6/100</f>
        <v>2.3064704520936584E-2</v>
      </c>
      <c r="I31" s="42">
        <f>[30]Summary!$E$10/100</f>
        <v>0</v>
      </c>
      <c r="J31" s="42">
        <f>[30]Summary!$E$14/100</f>
        <v>0</v>
      </c>
      <c r="K31" s="42">
        <f>[30]Summary!$C$40</f>
        <v>0</v>
      </c>
      <c r="L31" s="42">
        <f>[30]Summary!$C$54</f>
        <v>0</v>
      </c>
      <c r="M31" s="42">
        <f>'[30]Glbl Expsr'!$D$2</f>
        <v>0</v>
      </c>
      <c r="N31" s="132">
        <f>'[30]Glbl Expsr'!$D$3</f>
        <v>0</v>
      </c>
      <c r="O31" s="135" t="s">
        <v>11215</v>
      </c>
      <c r="P31" s="45" t="s">
        <v>11128</v>
      </c>
    </row>
    <row r="32" spans="1:18" x14ac:dyDescent="0.2">
      <c r="A32" s="62" t="s">
        <v>11029</v>
      </c>
      <c r="B32" s="133" t="str">
        <f>[31]Summary!$G$3</f>
        <v>UT</v>
      </c>
      <c r="C32" s="144">
        <f>[31]Summary!$E$1</f>
        <v>0</v>
      </c>
      <c r="D32" s="42">
        <f>[31]Summary!$C$34</f>
        <v>3.0173300875988396E-3</v>
      </c>
      <c r="E32" s="42">
        <f>[31]Summary!$E$34/100</f>
        <v>3.0173300875988396E-3</v>
      </c>
      <c r="F32" s="42">
        <f>[31]Summary!$C$36</f>
        <v>0.99698266991240125</v>
      </c>
      <c r="G32" s="42">
        <f>[31]Summary!$C$32</f>
        <v>0</v>
      </c>
      <c r="H32" s="42">
        <f>[31]Summary!$E$6/100</f>
        <v>0</v>
      </c>
      <c r="I32" s="42">
        <f>[31]Summary!$E$10/100</f>
        <v>0</v>
      </c>
      <c r="J32" s="42">
        <f>[31]Summary!$E$14/100</f>
        <v>0</v>
      </c>
      <c r="K32" s="42">
        <f>[31]Summary!$C$40</f>
        <v>0</v>
      </c>
      <c r="L32" s="42">
        <f>[31]Summary!$C$54</f>
        <v>0</v>
      </c>
      <c r="M32" s="42">
        <f>'[31]Glbl Expsr'!$D$2</f>
        <v>0</v>
      </c>
      <c r="N32" s="132">
        <f>'[31]Glbl Expsr'!$D$3</f>
        <v>0</v>
      </c>
      <c r="O32" s="135" t="s">
        <v>11189</v>
      </c>
      <c r="P32" s="45" t="s">
        <v>11102</v>
      </c>
    </row>
    <row r="33" spans="1:44" x14ac:dyDescent="0.2">
      <c r="A33" s="62" t="s">
        <v>11022</v>
      </c>
      <c r="B33" s="133" t="str">
        <f>[32]Summary!$G$3</f>
        <v>UT</v>
      </c>
      <c r="C33" s="144">
        <f>[32]Summary!$E$1</f>
        <v>0</v>
      </c>
      <c r="D33" s="42">
        <f>[32]Summary!$C$34</f>
        <v>3.2614639035901112E-3</v>
      </c>
      <c r="E33" s="42">
        <f>[32]Summary!$E$34/100</f>
        <v>3.2614639035901112E-3</v>
      </c>
      <c r="F33" s="42">
        <f>[32]Summary!$C$36</f>
        <v>0.99673853609640994</v>
      </c>
      <c r="G33" s="42">
        <f>[32]Summary!$C$32</f>
        <v>0</v>
      </c>
      <c r="H33" s="42">
        <f>[32]Summary!$E$6/100</f>
        <v>0</v>
      </c>
      <c r="I33" s="42">
        <f>[32]Summary!$E$10/100</f>
        <v>0</v>
      </c>
      <c r="J33" s="42">
        <f>[32]Summary!$E$14/100</f>
        <v>0</v>
      </c>
      <c r="K33" s="42">
        <f>[32]Summary!$C$40</f>
        <v>0</v>
      </c>
      <c r="L33" s="42">
        <f>[32]Summary!$C$54</f>
        <v>0</v>
      </c>
      <c r="M33" s="42">
        <f>'[32]Glbl Expsr'!$D$2</f>
        <v>0</v>
      </c>
      <c r="N33" s="132">
        <f>'[32]Glbl Expsr'!$D$3</f>
        <v>0</v>
      </c>
      <c r="O33" s="137" t="s">
        <v>11177</v>
      </c>
      <c r="P33" s="137" t="s">
        <v>11095</v>
      </c>
    </row>
    <row r="34" spans="1:44" x14ac:dyDescent="0.2">
      <c r="A34" s="62" t="s">
        <v>11058</v>
      </c>
      <c r="B34" s="133" t="str">
        <f>[33]Summary!$G$3</f>
        <v>UT</v>
      </c>
      <c r="C34" s="144">
        <f>[33]Summary!$E$1</f>
        <v>0</v>
      </c>
      <c r="D34" s="42">
        <f>[33]Summary!$C$34</f>
        <v>3.5404714804083575E-3</v>
      </c>
      <c r="E34" s="42">
        <f>[33]Summary!$E$34/100</f>
        <v>3.5404714804083575E-3</v>
      </c>
      <c r="F34" s="42">
        <f>[33]Summary!$C$36</f>
        <v>0.99645952851959174</v>
      </c>
      <c r="G34" s="42">
        <f>[33]Summary!$C$32</f>
        <v>0</v>
      </c>
      <c r="H34" s="42">
        <f>[33]Summary!$E$6/100</f>
        <v>6.4483780807543375E-3</v>
      </c>
      <c r="I34" s="42">
        <f>[33]Summary!$E$10/100</f>
        <v>0</v>
      </c>
      <c r="J34" s="42">
        <f>[33]Summary!$E$14/100</f>
        <v>0</v>
      </c>
      <c r="K34" s="42">
        <f>[33]Summary!$C$40</f>
        <v>0</v>
      </c>
      <c r="L34" s="42">
        <f>[33]Summary!$C$54</f>
        <v>0</v>
      </c>
      <c r="M34" s="42">
        <f>'[33]Glbl Expsr'!$D$2</f>
        <v>0</v>
      </c>
      <c r="N34" s="132">
        <f>'[33]Glbl Expsr'!$D$3</f>
        <v>0</v>
      </c>
      <c r="O34" s="137" t="s">
        <v>11218</v>
      </c>
      <c r="P34" s="137" t="s">
        <v>11131</v>
      </c>
    </row>
    <row r="35" spans="1:44" x14ac:dyDescent="0.2">
      <c r="A35" s="62" t="s">
        <v>11054</v>
      </c>
      <c r="B35" s="133" t="str">
        <f>[34]Summary!$G$3</f>
        <v>UT</v>
      </c>
      <c r="C35" s="144">
        <f>[34]Summary!$E$1</f>
        <v>0</v>
      </c>
      <c r="D35" s="42">
        <f>[34]Summary!$C$34</f>
        <v>3.7745670525801372E-3</v>
      </c>
      <c r="E35" s="42">
        <f>[34]Summary!$E$34/100</f>
        <v>3.7745670525801372E-3</v>
      </c>
      <c r="F35" s="42">
        <f>[34]Summary!$C$36</f>
        <v>0.99622543294741983</v>
      </c>
      <c r="G35" s="42">
        <f>[34]Summary!$C$32</f>
        <v>0</v>
      </c>
      <c r="H35" s="42">
        <f>[34]Summary!$E$6/100</f>
        <v>1.5098339803486328E-2</v>
      </c>
      <c r="I35" s="42">
        <f>[34]Summary!$E$10/100</f>
        <v>0</v>
      </c>
      <c r="J35" s="42">
        <f>[34]Summary!$E$14/100</f>
        <v>0</v>
      </c>
      <c r="K35" s="42">
        <f>[34]Summary!$C$40</f>
        <v>0</v>
      </c>
      <c r="L35" s="42">
        <f>[34]Summary!$C$54</f>
        <v>0</v>
      </c>
      <c r="M35" s="42">
        <f>'[34]Glbl Expsr'!$D$2</f>
        <v>0</v>
      </c>
      <c r="N35" s="132">
        <f>'[34]Glbl Expsr'!$D$3</f>
        <v>0</v>
      </c>
      <c r="O35" s="136" t="s">
        <v>11214</v>
      </c>
      <c r="P35" s="45" t="s">
        <v>11127</v>
      </c>
    </row>
    <row r="36" spans="1:44" x14ac:dyDescent="0.2">
      <c r="A36" s="62" t="s">
        <v>11052</v>
      </c>
      <c r="B36" s="133" t="str">
        <f>[35]Summary!$G$3</f>
        <v>UT</v>
      </c>
      <c r="C36" s="144">
        <f>[35]Summary!$E$1</f>
        <v>0</v>
      </c>
      <c r="D36" s="42">
        <f>[35]Summary!$C$34</f>
        <v>4.2467954028573215E-3</v>
      </c>
      <c r="E36" s="42">
        <f>[35]Summary!$E$34/100</f>
        <v>4.2467954028573215E-3</v>
      </c>
      <c r="F36" s="42">
        <f>[35]Summary!$C$36</f>
        <v>0.99575320459714267</v>
      </c>
      <c r="G36" s="42">
        <f>[35]Summary!$C$32</f>
        <v>0</v>
      </c>
      <c r="H36" s="42">
        <f>[35]Summary!$E$6/100</f>
        <v>0</v>
      </c>
      <c r="I36" s="42">
        <f>[35]Summary!$E$10/100</f>
        <v>0</v>
      </c>
      <c r="J36" s="42">
        <f>[35]Summary!$E$14/100</f>
        <v>0</v>
      </c>
      <c r="K36" s="42">
        <f>[35]Summary!$C$40</f>
        <v>0</v>
      </c>
      <c r="L36" s="42">
        <f>[35]Summary!$C$54</f>
        <v>0</v>
      </c>
      <c r="M36" s="42">
        <f>'[35]Glbl Expsr'!$D$2</f>
        <v>0</v>
      </c>
      <c r="N36" s="132">
        <f>'[35]Glbl Expsr'!$D$3</f>
        <v>0</v>
      </c>
      <c r="O36" s="135" t="s">
        <v>11212</v>
      </c>
      <c r="P36" s="45" t="s">
        <v>11125</v>
      </c>
    </row>
    <row r="37" spans="1:44" x14ac:dyDescent="0.2">
      <c r="A37" s="62" t="s">
        <v>10996</v>
      </c>
      <c r="B37" s="133" t="str">
        <f>[36]Summary!$G$3</f>
        <v>UT</v>
      </c>
      <c r="C37" s="144">
        <f>[36]Summary!$E$1</f>
        <v>0</v>
      </c>
      <c r="D37" s="42">
        <f>[36]Summary!$C$34</f>
        <v>5.6691116156534615E-3</v>
      </c>
      <c r="E37" s="42">
        <f>[36]Summary!$E$34/100</f>
        <v>5.6691116156534615E-3</v>
      </c>
      <c r="F37" s="42">
        <f>[36]Summary!$C$36</f>
        <v>0.99433088838434658</v>
      </c>
      <c r="G37" s="42">
        <f>[36]Summary!$C$32</f>
        <v>0</v>
      </c>
      <c r="H37" s="42">
        <f>[36]Summary!$E$6/100</f>
        <v>0</v>
      </c>
      <c r="I37" s="42">
        <f>[36]Summary!$E$10/100</f>
        <v>0</v>
      </c>
      <c r="J37" s="42">
        <f>[36]Summary!$E$14/100</f>
        <v>0</v>
      </c>
      <c r="K37" s="42">
        <f>[36]Summary!$C$40</f>
        <v>0</v>
      </c>
      <c r="L37" s="42">
        <f>[36]Summary!$C$54</f>
        <v>0</v>
      </c>
      <c r="M37" s="42">
        <f>'[36]Glbl Expsr'!$D$2</f>
        <v>0</v>
      </c>
      <c r="N37" s="132">
        <f>'[36]Glbl Expsr'!$D$3</f>
        <v>0</v>
      </c>
      <c r="O37" s="137" t="s">
        <v>11151</v>
      </c>
      <c r="P37" s="137" t="s">
        <v>11069</v>
      </c>
    </row>
    <row r="38" spans="1:44" x14ac:dyDescent="0.2">
      <c r="A38" s="62" t="s">
        <v>11026</v>
      </c>
      <c r="B38" s="133" t="str">
        <f>[37]Summary!$G$3</f>
        <v>UT</v>
      </c>
      <c r="C38" s="144">
        <f>[37]Summary!$E$1</f>
        <v>0</v>
      </c>
      <c r="D38" s="42">
        <f>[37]Summary!$C$34</f>
        <v>9.444560637098233E-3</v>
      </c>
      <c r="E38" s="42">
        <f>[37]Summary!$E$34/100</f>
        <v>9.444560637098233E-3</v>
      </c>
      <c r="F38" s="42">
        <f>[37]Summary!$C$36</f>
        <v>0</v>
      </c>
      <c r="G38" s="42">
        <f>[37]Summary!$C$32</f>
        <v>0</v>
      </c>
      <c r="H38" s="42">
        <f>[37]Summary!$E$6/100</f>
        <v>0</v>
      </c>
      <c r="I38" s="42">
        <f>[37]Summary!$E$10/100</f>
        <v>0</v>
      </c>
      <c r="J38" s="42">
        <f>[37]Summary!$E$14/100</f>
        <v>0</v>
      </c>
      <c r="K38" s="42">
        <f>[37]Summary!$C$40</f>
        <v>0.9905554393629018</v>
      </c>
      <c r="L38" s="42">
        <f>[37]Summary!$C$54</f>
        <v>99.055543936290178</v>
      </c>
      <c r="M38" s="42">
        <f>'[37]Glbl Expsr'!$D$2</f>
        <v>0</v>
      </c>
      <c r="N38" s="132">
        <f>'[37]Glbl Expsr'!$D$3</f>
        <v>0</v>
      </c>
      <c r="O38" s="135" t="s">
        <v>11185</v>
      </c>
      <c r="P38" s="45" t="s">
        <v>11099</v>
      </c>
    </row>
    <row r="39" spans="1:44" x14ac:dyDescent="0.2">
      <c r="A39" s="62" t="s">
        <v>11032</v>
      </c>
      <c r="B39" s="133" t="str">
        <f>[38]Summary!$G$3</f>
        <v>UT</v>
      </c>
      <c r="C39" s="144">
        <f>[38]Summary!$E$1</f>
        <v>0</v>
      </c>
      <c r="D39" s="42">
        <f>[38]Summary!$C$34</f>
        <v>1.0070441074043519E-2</v>
      </c>
      <c r="E39" s="42">
        <f>[38]Summary!$E$34/100</f>
        <v>1.0070441074043519E-2</v>
      </c>
      <c r="F39" s="42">
        <f>[38]Summary!$C$36</f>
        <v>0</v>
      </c>
      <c r="G39" s="42">
        <f>[38]Summary!$C$32</f>
        <v>0</v>
      </c>
      <c r="H39" s="42">
        <f>[38]Summary!$E$6/100</f>
        <v>0</v>
      </c>
      <c r="I39" s="42">
        <f>[38]Summary!$E$10/100</f>
        <v>0</v>
      </c>
      <c r="J39" s="42">
        <f>[38]Summary!$E$14/100</f>
        <v>0</v>
      </c>
      <c r="K39" s="42">
        <f>[38]Summary!$C$40</f>
        <v>0.98992955892595647</v>
      </c>
      <c r="L39" s="42">
        <f>[38]Summary!$C$54</f>
        <v>98.992955892595646</v>
      </c>
      <c r="M39" s="42">
        <f>'[38]Glbl Expsr'!$D$2</f>
        <v>0</v>
      </c>
      <c r="N39" s="132">
        <f>'[38]Glbl Expsr'!$D$3</f>
        <v>0</v>
      </c>
      <c r="O39" s="135" t="s">
        <v>11192</v>
      </c>
      <c r="P39" s="45" t="s">
        <v>11105</v>
      </c>
    </row>
    <row r="40" spans="1:44" x14ac:dyDescent="0.2">
      <c r="A40" s="62" t="s">
        <v>11014</v>
      </c>
      <c r="B40" s="133" t="str">
        <f>[39]Summary!$G$3</f>
        <v>UT</v>
      </c>
      <c r="C40" s="144">
        <f>[39]Summary!$E$1</f>
        <v>0</v>
      </c>
      <c r="D40" s="42">
        <f>[39]Summary!$C$34</f>
        <v>3.5793677091019438E-2</v>
      </c>
      <c r="E40" s="42">
        <f>[39]Summary!$E$34/100</f>
        <v>3.5793677091019438E-2</v>
      </c>
      <c r="F40" s="42">
        <f>[39]Summary!$C$36</f>
        <v>0</v>
      </c>
      <c r="G40" s="42">
        <f>[39]Summary!$C$32</f>
        <v>0</v>
      </c>
      <c r="H40" s="42">
        <f>[39]Summary!$E$6/100</f>
        <v>0</v>
      </c>
      <c r="I40" s="42">
        <f>[39]Summary!$E$10/100</f>
        <v>0</v>
      </c>
      <c r="J40" s="42">
        <f>[39]Summary!$E$14/100</f>
        <v>0</v>
      </c>
      <c r="K40" s="42">
        <f>[39]Summary!$C$40</f>
        <v>0</v>
      </c>
      <c r="L40" s="42">
        <f>[39]Summary!$C$54</f>
        <v>96.420632290898055</v>
      </c>
      <c r="M40" s="42">
        <f>'[39]Glbl Expsr'!$D$2</f>
        <v>0</v>
      </c>
      <c r="N40" s="132">
        <f>'[39]Glbl Expsr'!$D$3</f>
        <v>0</v>
      </c>
      <c r="O40" s="135" t="s">
        <v>11169</v>
      </c>
      <c r="P40" s="45" t="s">
        <v>11087</v>
      </c>
    </row>
    <row r="41" spans="1:44" x14ac:dyDescent="0.2">
      <c r="A41" s="62" t="s">
        <v>11031</v>
      </c>
      <c r="B41" s="133" t="str">
        <f>[40]Summary!$G$3</f>
        <v>UT</v>
      </c>
      <c r="C41" s="144">
        <f>[40]Summary!$E$1</f>
        <v>0</v>
      </c>
      <c r="D41" s="42">
        <f>[40]Summary!$C$34</f>
        <v>3.9919152221771323E-2</v>
      </c>
      <c r="E41" s="42">
        <f>[40]Summary!$E$34/100</f>
        <v>3.9919152221771323E-2</v>
      </c>
      <c r="F41" s="42">
        <f>[40]Summary!$C$36</f>
        <v>0</v>
      </c>
      <c r="G41" s="42">
        <f>[40]Summary!$C$32</f>
        <v>0</v>
      </c>
      <c r="H41" s="42">
        <f>[40]Summary!$E$6/100</f>
        <v>0</v>
      </c>
      <c r="I41" s="42">
        <f>[40]Summary!$E$10/100</f>
        <v>0</v>
      </c>
      <c r="J41" s="42">
        <f>[40]Summary!$E$14/100</f>
        <v>0</v>
      </c>
      <c r="K41" s="42">
        <f>[40]Summary!$C$40</f>
        <v>0</v>
      </c>
      <c r="L41" s="42">
        <f>[40]Summary!$C$54</f>
        <v>96.008084777822873</v>
      </c>
      <c r="M41" s="42">
        <f>'[40]Glbl Expsr'!$D$2</f>
        <v>0</v>
      </c>
      <c r="N41" s="132">
        <f>'[40]Glbl Expsr'!$D$3</f>
        <v>0</v>
      </c>
      <c r="O41" s="135" t="s">
        <v>11191</v>
      </c>
      <c r="P41" s="45" t="s">
        <v>11104</v>
      </c>
    </row>
    <row r="42" spans="1:44" x14ac:dyDescent="0.2">
      <c r="A42" s="62" t="s">
        <v>11030</v>
      </c>
      <c r="B42" s="133" t="str">
        <f>[41]Summary!$G$3</f>
        <v>UT</v>
      </c>
      <c r="C42" s="144">
        <f>[41]Summary!$E$1</f>
        <v>0</v>
      </c>
      <c r="D42" s="42">
        <f>[41]Summary!$C$34</f>
        <v>0.11338492422161932</v>
      </c>
      <c r="E42" s="42">
        <f>[41]Summary!$E$34/100</f>
        <v>0.11338492422161933</v>
      </c>
      <c r="F42" s="42">
        <f>[41]Summary!$C$36</f>
        <v>0.68511498878296295</v>
      </c>
      <c r="G42" s="42">
        <f>[41]Summary!$C$32</f>
        <v>0</v>
      </c>
      <c r="H42" s="42">
        <f>[41]Summary!$E$6/100</f>
        <v>6.0509616695683249E-2</v>
      </c>
      <c r="I42" s="42">
        <f>[41]Summary!$E$10/100</f>
        <v>0</v>
      </c>
      <c r="J42" s="42">
        <f>[41]Summary!$E$14/100</f>
        <v>0</v>
      </c>
      <c r="K42" s="42">
        <f>[41]Summary!$C$40</f>
        <v>2.2371381349311381E-2</v>
      </c>
      <c r="L42" s="42">
        <f>[41]Summary!$C$54</f>
        <v>0</v>
      </c>
      <c r="M42" s="42">
        <f>'[41]Glbl Expsr'!$D$2</f>
        <v>0</v>
      </c>
      <c r="N42" s="132">
        <f>'[41]Glbl Expsr'!$D$3</f>
        <v>0</v>
      </c>
      <c r="O42" s="135" t="s">
        <v>11190</v>
      </c>
      <c r="P42" s="45" t="s">
        <v>11103</v>
      </c>
    </row>
    <row r="43" spans="1:44" x14ac:dyDescent="0.2">
      <c r="A43" s="62" t="s">
        <v>11035</v>
      </c>
      <c r="B43" s="133" t="str">
        <f>[42]Summary!$G$3</f>
        <v>UT</v>
      </c>
      <c r="C43" s="144">
        <f>[42]Summary!$E$1</f>
        <v>0</v>
      </c>
      <c r="D43" s="42">
        <f>[42]Summary!$C$34</f>
        <v>0.14451327254784388</v>
      </c>
      <c r="E43" s="42">
        <f>[42]Summary!$E$34/100</f>
        <v>0.14451327254784388</v>
      </c>
      <c r="F43" s="42">
        <f>[42]Summary!$C$36</f>
        <v>0.74948062068740895</v>
      </c>
      <c r="G43" s="42">
        <f>[42]Summary!$C$32</f>
        <v>0</v>
      </c>
      <c r="H43" s="42">
        <f>[42]Summary!$E$6/100</f>
        <v>0.15792862779843297</v>
      </c>
      <c r="I43" s="42">
        <f>[42]Summary!$E$10/100</f>
        <v>0</v>
      </c>
      <c r="J43" s="42">
        <f>[42]Summary!$E$14/100</f>
        <v>0</v>
      </c>
      <c r="K43" s="42">
        <f>[42]Summary!$C$40</f>
        <v>4.0134910773338917E-2</v>
      </c>
      <c r="L43" s="42">
        <f>[42]Summary!$C$54</f>
        <v>0</v>
      </c>
      <c r="M43" s="42">
        <f>'[42]Glbl Expsr'!$D$2</f>
        <v>0</v>
      </c>
      <c r="N43" s="132">
        <f>'[42]Glbl Expsr'!$D$3</f>
        <v>0</v>
      </c>
      <c r="O43" s="137" t="s">
        <v>11195</v>
      </c>
      <c r="P43" s="137" t="s">
        <v>11108</v>
      </c>
      <c r="Q43" s="3"/>
      <c r="R43" s="4"/>
      <c r="S43" s="5"/>
      <c r="T43" s="5"/>
      <c r="U43" s="1"/>
      <c r="V43" s="2"/>
      <c r="W43" s="6"/>
      <c r="AG43" s="4"/>
      <c r="AH43" s="4"/>
      <c r="AI43" s="2"/>
      <c r="AJ43" s="4"/>
      <c r="AK43" s="2"/>
      <c r="AL43" s="2"/>
      <c r="AM43" s="2"/>
      <c r="AN43" s="5"/>
      <c r="AP43" s="2"/>
      <c r="AQ43" s="2"/>
      <c r="AR43" s="2"/>
    </row>
    <row r="44" spans="1:44" x14ac:dyDescent="0.2">
      <c r="A44" s="62" t="s">
        <v>11043</v>
      </c>
      <c r="B44" s="133" t="str">
        <f>[43]Summary!$G$3</f>
        <v>UT</v>
      </c>
      <c r="C44" s="144">
        <f>[43]Summary!$E$1</f>
        <v>0</v>
      </c>
      <c r="D44" s="42">
        <f>[43]Summary!$C$34</f>
        <v>0.15540483718957582</v>
      </c>
      <c r="E44" s="42">
        <f>[43]Summary!$E$34/100</f>
        <v>0.15540483718957582</v>
      </c>
      <c r="F44" s="42">
        <f>[43]Summary!$C$36</f>
        <v>0</v>
      </c>
      <c r="G44" s="42">
        <f>[43]Summary!$C$32</f>
        <v>0</v>
      </c>
      <c r="H44" s="42">
        <f>[43]Summary!$E$6/100</f>
        <v>0</v>
      </c>
      <c r="I44" s="42">
        <f>[43]Summary!$E$10/100</f>
        <v>4.6931226827195083E-2</v>
      </c>
      <c r="J44" s="42">
        <f>[43]Summary!$E$14/100</f>
        <v>0.80450020236838393</v>
      </c>
      <c r="K44" s="42">
        <f>[43]Summary!$C$40</f>
        <v>0.84459516281042402</v>
      </c>
      <c r="L44" s="42">
        <f>[43]Summary!$C$54</f>
        <v>0</v>
      </c>
      <c r="M44" s="42">
        <f>'[43]Glbl Expsr'!$D$2</f>
        <v>0</v>
      </c>
      <c r="N44" s="132">
        <f>'[43]Glbl Expsr'!$D$3</f>
        <v>0</v>
      </c>
      <c r="O44" s="137" t="s">
        <v>11203</v>
      </c>
      <c r="P44" s="137" t="s">
        <v>11116</v>
      </c>
      <c r="Q44" s="3"/>
      <c r="R44" s="4"/>
      <c r="S44" s="5"/>
      <c r="T44" s="5"/>
      <c r="U44" s="1"/>
      <c r="V44" s="2"/>
      <c r="W44" s="6"/>
      <c r="AG44" s="4"/>
      <c r="AH44" s="4"/>
      <c r="AI44" s="2"/>
      <c r="AJ44" s="4"/>
      <c r="AK44" s="2"/>
      <c r="AL44" s="2"/>
      <c r="AM44" s="2"/>
      <c r="AN44" s="5"/>
      <c r="AP44" s="2"/>
      <c r="AQ44" s="2"/>
      <c r="AR44" s="2"/>
    </row>
    <row r="45" spans="1:44" x14ac:dyDescent="0.2">
      <c r="A45" s="62" t="s">
        <v>11015</v>
      </c>
      <c r="B45" s="133" t="str">
        <f>[44]Summary!$G$3</f>
        <v>UT</v>
      </c>
      <c r="C45" s="144">
        <f>[44]Summary!$E$1</f>
        <v>0</v>
      </c>
      <c r="D45" s="42">
        <f>[44]Summary!$C$34</f>
        <v>0.19236636326009787</v>
      </c>
      <c r="E45" s="42">
        <f>[44]Summary!$E$34/100</f>
        <v>0.19236636326009787</v>
      </c>
      <c r="F45" s="42">
        <f>[44]Summary!$C$36</f>
        <v>0.45836586739072971</v>
      </c>
      <c r="G45" s="42">
        <f>[44]Summary!$C$32</f>
        <v>0</v>
      </c>
      <c r="H45" s="42">
        <f>[44]Summary!$E$6/100</f>
        <v>5.4097084635874558E-2</v>
      </c>
      <c r="I45" s="42">
        <f>[44]Summary!$E$10/100</f>
        <v>0</v>
      </c>
      <c r="J45" s="42">
        <f>[44]Summary!$E$14/100</f>
        <v>0</v>
      </c>
      <c r="K45" s="42">
        <f>[44]Summary!$C$40</f>
        <v>7.0857989253251902E-2</v>
      </c>
      <c r="L45" s="42">
        <f>[44]Summary!$C$54</f>
        <v>22.561906836806681</v>
      </c>
      <c r="M45" s="42">
        <f>'[44]Glbl Expsr'!$D$2</f>
        <v>0</v>
      </c>
      <c r="N45" s="132">
        <f>'[44]Glbl Expsr'!$D$3</f>
        <v>0</v>
      </c>
      <c r="O45" s="137" t="s">
        <v>11170</v>
      </c>
      <c r="P45" s="137" t="s">
        <v>11088</v>
      </c>
      <c r="Q45" s="3"/>
      <c r="R45" s="4"/>
      <c r="S45" s="5"/>
      <c r="T45" s="5"/>
      <c r="U45" s="1"/>
      <c r="V45" s="2"/>
      <c r="W45" s="6"/>
      <c r="AG45" s="4"/>
      <c r="AH45" s="4"/>
      <c r="AI45" s="2"/>
      <c r="AJ45" s="4"/>
      <c r="AK45" s="2"/>
      <c r="AL45" s="2"/>
      <c r="AM45" s="2"/>
      <c r="AN45" s="5"/>
      <c r="AP45" s="2"/>
      <c r="AQ45" s="2"/>
      <c r="AR45" s="2"/>
    </row>
    <row r="46" spans="1:44" x14ac:dyDescent="0.2">
      <c r="A46" s="62" t="s">
        <v>11036</v>
      </c>
      <c r="B46" s="133" t="str">
        <f>[45]Summary!$G$3</f>
        <v>UT</v>
      </c>
      <c r="C46" s="144">
        <f>[45]Summary!$E$1</f>
        <v>0</v>
      </c>
      <c r="D46" s="42">
        <f>[45]Summary!$C$34</f>
        <v>0.27139439327030362</v>
      </c>
      <c r="E46" s="42">
        <f>[45]Summary!$E$34/100</f>
        <v>0.27139439327030362</v>
      </c>
      <c r="F46" s="42">
        <f>[45]Summary!$C$36</f>
        <v>0.67762720673563359</v>
      </c>
      <c r="G46" s="42">
        <f>[45]Summary!$C$32</f>
        <v>0</v>
      </c>
      <c r="H46" s="42">
        <f>[45]Summary!$E$6/100</f>
        <v>8.7436614529622828E-2</v>
      </c>
      <c r="I46" s="42">
        <f>[45]Summary!$E$10/100</f>
        <v>0</v>
      </c>
      <c r="J46" s="42">
        <f>[45]Summary!$E$14/100</f>
        <v>8.07694148992341E-4</v>
      </c>
      <c r="K46" s="42">
        <f>[45]Summary!$C$40</f>
        <v>5.0862439796568321E-2</v>
      </c>
      <c r="L46" s="42">
        <f>[45]Summary!$C$54</f>
        <v>0</v>
      </c>
      <c r="M46" s="42">
        <f>'[45]Glbl Expsr'!$D$2</f>
        <v>0</v>
      </c>
      <c r="N46" s="132">
        <f>'[45]Glbl Expsr'!$D$3</f>
        <v>0</v>
      </c>
      <c r="O46" s="137" t="s">
        <v>11196</v>
      </c>
      <c r="P46" s="137" t="s">
        <v>11109</v>
      </c>
      <c r="Q46" s="3"/>
      <c r="R46" s="4"/>
      <c r="S46" s="5"/>
      <c r="T46" s="5"/>
      <c r="U46" s="1"/>
      <c r="V46" s="2"/>
      <c r="W46" s="6"/>
      <c r="AG46" s="4"/>
      <c r="AH46" s="4"/>
      <c r="AI46" s="2"/>
      <c r="AJ46" s="4"/>
      <c r="AK46" s="2"/>
      <c r="AL46" s="2"/>
      <c r="AM46" s="2"/>
      <c r="AN46" s="5"/>
      <c r="AP46" s="2"/>
      <c r="AQ46" s="2"/>
      <c r="AR46" s="2"/>
    </row>
    <row r="47" spans="1:44" x14ac:dyDescent="0.2">
      <c r="A47" s="62" t="s">
        <v>11037</v>
      </c>
      <c r="B47" s="133" t="str">
        <f>[46]Summary!$G$3</f>
        <v>UT</v>
      </c>
      <c r="C47" s="144">
        <f>[46]Summary!$E$1</f>
        <v>0</v>
      </c>
      <c r="D47" s="42">
        <f>[46]Summary!$C$34</f>
        <v>0.41742216590388947</v>
      </c>
      <c r="E47" s="42">
        <f>[46]Summary!$E$34/100</f>
        <v>0.41742216590388947</v>
      </c>
      <c r="F47" s="42">
        <f>[46]Summary!$C$36</f>
        <v>0.58250211570675425</v>
      </c>
      <c r="G47" s="42">
        <f>[46]Summary!$C$32</f>
        <v>0</v>
      </c>
      <c r="H47" s="42">
        <f>[46]Summary!$E$6/100</f>
        <v>0</v>
      </c>
      <c r="I47" s="42">
        <f>[46]Summary!$E$10/100</f>
        <v>0</v>
      </c>
      <c r="J47" s="42">
        <f>[46]Summary!$E$14/100</f>
        <v>0</v>
      </c>
      <c r="K47" s="42">
        <f>[46]Summary!$C$40</f>
        <v>0</v>
      </c>
      <c r="L47" s="42">
        <f>[46]Summary!$C$54</f>
        <v>0</v>
      </c>
      <c r="M47" s="42">
        <f>'[46]Glbl Expsr'!$D$2</f>
        <v>0</v>
      </c>
      <c r="N47" s="132">
        <f>'[46]Glbl Expsr'!$D$3</f>
        <v>0</v>
      </c>
      <c r="O47" s="135" t="s">
        <v>11197</v>
      </c>
      <c r="P47" s="45" t="s">
        <v>11110</v>
      </c>
      <c r="Q47" s="3"/>
      <c r="R47" s="4"/>
      <c r="S47" s="5"/>
      <c r="T47" s="5"/>
      <c r="U47" s="1"/>
      <c r="V47" s="2"/>
      <c r="W47" s="6"/>
      <c r="AG47" s="4"/>
      <c r="AH47" s="4"/>
      <c r="AI47" s="2"/>
      <c r="AJ47" s="4"/>
      <c r="AK47" s="2"/>
      <c r="AL47" s="2"/>
      <c r="AM47" s="2"/>
      <c r="AN47" s="5"/>
      <c r="AP47" s="2"/>
      <c r="AQ47" s="2"/>
      <c r="AR47" s="2"/>
    </row>
    <row r="48" spans="1:44" x14ac:dyDescent="0.2">
      <c r="A48" s="62" t="s">
        <v>11059</v>
      </c>
      <c r="B48" s="133" t="str">
        <f>[47]Summary!$G$3</f>
        <v>UT</v>
      </c>
      <c r="C48" s="144">
        <f>[47]Summary!$E$1</f>
        <v>0</v>
      </c>
      <c r="D48" s="42">
        <f>[47]Summary!$C$34</f>
        <v>0.42282884267233301</v>
      </c>
      <c r="E48" s="42">
        <f>[47]Summary!$E$34/100</f>
        <v>0.42282884267233301</v>
      </c>
      <c r="F48" s="42">
        <f>[47]Summary!$C$36</f>
        <v>0.57700254111081595</v>
      </c>
      <c r="G48" s="42">
        <f>[47]Summary!$C$32</f>
        <v>0</v>
      </c>
      <c r="H48" s="42">
        <f>[47]Summary!$E$6/100</f>
        <v>0</v>
      </c>
      <c r="I48" s="42">
        <f>[47]Summary!$E$10/100</f>
        <v>0</v>
      </c>
      <c r="J48" s="42">
        <f>[47]Summary!$E$14/100</f>
        <v>0</v>
      </c>
      <c r="K48" s="42">
        <f>[47]Summary!$C$40</f>
        <v>0</v>
      </c>
      <c r="L48" s="42">
        <f>[47]Summary!$C$54</f>
        <v>0</v>
      </c>
      <c r="M48" s="42">
        <f>'[47]Glbl Expsr'!$D$2</f>
        <v>0</v>
      </c>
      <c r="N48" s="132">
        <f>'[47]Glbl Expsr'!$D$3</f>
        <v>0</v>
      </c>
      <c r="O48" s="137" t="s">
        <v>11219</v>
      </c>
      <c r="P48" s="137" t="s">
        <v>11132</v>
      </c>
      <c r="Q48" s="3"/>
      <c r="R48" s="4"/>
      <c r="S48" s="5"/>
      <c r="T48" s="5"/>
      <c r="U48" s="1"/>
      <c r="V48" s="2"/>
      <c r="W48" s="6"/>
      <c r="AG48" s="4"/>
      <c r="AH48" s="4"/>
      <c r="AI48" s="2"/>
      <c r="AJ48" s="4"/>
      <c r="AK48" s="2"/>
      <c r="AL48" s="2"/>
      <c r="AM48" s="2"/>
      <c r="AN48" s="5"/>
      <c r="AP48" s="2"/>
      <c r="AQ48" s="2"/>
      <c r="AR48" s="2"/>
    </row>
    <row r="49" spans="1:44" x14ac:dyDescent="0.2">
      <c r="A49" s="62" t="s">
        <v>11012</v>
      </c>
      <c r="B49" s="133" t="str">
        <f>[48]Summary!$G$3</f>
        <v>UT</v>
      </c>
      <c r="C49" s="144">
        <f>[48]Summary!$E$1</f>
        <v>0</v>
      </c>
      <c r="D49" s="42">
        <f>[48]Summary!$C$34</f>
        <v>1</v>
      </c>
      <c r="E49" s="42">
        <f>[48]Summary!$E$34/100</f>
        <v>1</v>
      </c>
      <c r="F49" s="42">
        <f>[48]Summary!$C$36</f>
        <v>0</v>
      </c>
      <c r="G49" s="42">
        <f>[48]Summary!$C$32</f>
        <v>0</v>
      </c>
      <c r="H49" s="42">
        <f>[48]Summary!$E$6/100</f>
        <v>0</v>
      </c>
      <c r="I49" s="42">
        <f>[48]Summary!$E$10/100</f>
        <v>0</v>
      </c>
      <c r="J49" s="42">
        <f>[48]Summary!$E$14/100</f>
        <v>0</v>
      </c>
      <c r="K49" s="42">
        <f>[48]Summary!$C$40</f>
        <v>0</v>
      </c>
      <c r="L49" s="42">
        <f>[48]Summary!$C$54</f>
        <v>0</v>
      </c>
      <c r="M49" s="42">
        <f>'[48]Glbl Expsr'!$D$2</f>
        <v>0</v>
      </c>
      <c r="N49" s="132">
        <f>'[48]Glbl Expsr'!$D$3</f>
        <v>0</v>
      </c>
      <c r="O49" s="135" t="s">
        <v>11167</v>
      </c>
      <c r="P49" s="45" t="s">
        <v>11085</v>
      </c>
      <c r="Q49" s="3"/>
      <c r="R49" s="4"/>
      <c r="S49" s="5"/>
      <c r="T49" s="5"/>
      <c r="U49" s="1"/>
      <c r="V49" s="2"/>
      <c r="W49" s="6"/>
      <c r="AG49" s="4"/>
      <c r="AH49" s="4"/>
      <c r="AI49" s="2"/>
      <c r="AJ49" s="4"/>
      <c r="AK49" s="2"/>
      <c r="AL49" s="2"/>
      <c r="AM49" s="2"/>
      <c r="AN49" s="5"/>
      <c r="AP49" s="2"/>
      <c r="AQ49" s="2"/>
      <c r="AR49" s="2"/>
    </row>
    <row r="50" spans="1:44" x14ac:dyDescent="0.2">
      <c r="A50" s="62" t="s">
        <v>11061</v>
      </c>
      <c r="B50" s="133" t="str">
        <f>[49]Summary!$G$3</f>
        <v>≠ UT</v>
      </c>
      <c r="C50" s="145">
        <f>[49]Summary!$E$1</f>
        <v>10</v>
      </c>
      <c r="D50" s="42">
        <f>[49]Summary!$C$34</f>
        <v>0.69521514140528284</v>
      </c>
      <c r="E50" s="42">
        <f>[49]Summary!$E$34/100</f>
        <v>0.69521514140528295</v>
      </c>
      <c r="F50" s="42" t="str">
        <f>[49]Summary!$C$36</f>
        <v/>
      </c>
      <c r="G50" s="42">
        <f>[49]Summary!$C$32</f>
        <v>0.70086344400370415</v>
      </c>
      <c r="H50" s="42">
        <f>[49]Summary!$E$6/100</f>
        <v>0</v>
      </c>
      <c r="I50" s="42">
        <f>[49]Summary!$E$10/100</f>
        <v>2.0171586716861482E-2</v>
      </c>
      <c r="J50" s="42">
        <f>[49]Summary!$E$14/100</f>
        <v>0.15776626100309815</v>
      </c>
      <c r="K50" s="42">
        <f>[49]Summary!$C$40</f>
        <v>0.9949679615439192</v>
      </c>
      <c r="L50" s="42">
        <f>[49]Summary!$C$54</f>
        <v>0</v>
      </c>
      <c r="M50" s="42">
        <f>'[49]Glbl Expsr'!$D$2</f>
        <v>0.13254017073249072</v>
      </c>
      <c r="N50" s="132">
        <f>'[49]Glbl Expsr'!$D$3</f>
        <v>0.13254017073249072</v>
      </c>
      <c r="O50" s="137" t="s">
        <v>11221</v>
      </c>
      <c r="P50" s="137" t="s">
        <v>11134</v>
      </c>
      <c r="Q50" s="3"/>
      <c r="R50" s="4"/>
      <c r="S50" s="5"/>
      <c r="T50" s="5"/>
      <c r="U50" s="1"/>
      <c r="V50" s="2"/>
      <c r="W50" s="6"/>
      <c r="AG50" s="4"/>
      <c r="AH50" s="4"/>
      <c r="AI50" s="2"/>
      <c r="AJ50" s="4"/>
      <c r="AK50" s="2"/>
      <c r="AL50" s="2"/>
      <c r="AM50" s="2"/>
      <c r="AN50" s="5"/>
      <c r="AP50" s="2"/>
      <c r="AQ50" s="2"/>
      <c r="AR50" s="2"/>
    </row>
    <row r="51" spans="1:44" x14ac:dyDescent="0.2">
      <c r="A51" s="62" t="s">
        <v>11062</v>
      </c>
      <c r="B51" s="133" t="str">
        <f>[50]Summary!$G$3</f>
        <v>≠ UT</v>
      </c>
      <c r="C51" s="144">
        <f>[50]Summary!$E$1</f>
        <v>9</v>
      </c>
      <c r="D51" s="42">
        <f>[50]Summary!$C$34</f>
        <v>0.48600155045119847</v>
      </c>
      <c r="E51" s="42">
        <f>[50]Summary!$E$34/100</f>
        <v>0.48600155045119853</v>
      </c>
      <c r="F51" s="42" t="str">
        <f>[50]Summary!$C$36</f>
        <v/>
      </c>
      <c r="G51" s="42">
        <f>[50]Summary!$C$32</f>
        <v>0.25839678798506682</v>
      </c>
      <c r="H51" s="42">
        <f>[50]Summary!$E$6/100</f>
        <v>0.19864303934324343</v>
      </c>
      <c r="I51" s="42">
        <f>[50]Summary!$E$10/100</f>
        <v>0</v>
      </c>
      <c r="J51" s="42">
        <f>[50]Summary!$E$14/100</f>
        <v>0</v>
      </c>
      <c r="K51" s="42">
        <f>[50]Summary!$C$40</f>
        <v>0.42661143005733571</v>
      </c>
      <c r="L51" s="42">
        <f>[50]Summary!$C$54</f>
        <v>0</v>
      </c>
      <c r="M51" s="42">
        <f>'[50]Glbl Expsr'!$D$2</f>
        <v>1.000373820850617</v>
      </c>
      <c r="N51" s="132">
        <f>'[50]Glbl Expsr'!$D$3</f>
        <v>0.22442117930177471</v>
      </c>
      <c r="O51" s="137" t="s">
        <v>11222</v>
      </c>
      <c r="P51" s="137" t="s">
        <v>11135</v>
      </c>
      <c r="Q51" s="3"/>
      <c r="R51" s="4"/>
      <c r="S51" s="5"/>
      <c r="T51" s="5"/>
      <c r="U51" s="1"/>
      <c r="V51" s="2"/>
      <c r="W51" s="6"/>
      <c r="AG51" s="4"/>
      <c r="AH51" s="4"/>
      <c r="AI51" s="2"/>
      <c r="AJ51" s="4"/>
      <c r="AK51" s="2"/>
      <c r="AL51" s="2"/>
      <c r="AM51" s="2"/>
      <c r="AN51" s="5"/>
      <c r="AP51" s="2"/>
      <c r="AQ51" s="2"/>
      <c r="AR51" s="2"/>
    </row>
    <row r="52" spans="1:44" x14ac:dyDescent="0.2">
      <c r="A52" s="62" t="s">
        <v>11019</v>
      </c>
      <c r="B52" s="133" t="str">
        <f>[51]Summary!$G$3</f>
        <v>≠ UT</v>
      </c>
      <c r="C52" s="144">
        <f>[51]Summary!$E$1</f>
        <v>9</v>
      </c>
      <c r="D52" s="42">
        <f>[51]Summary!$C$34</f>
        <v>0.48881221752642923</v>
      </c>
      <c r="E52" s="42">
        <f>[51]Summary!$E$34/100</f>
        <v>0.48881221752642928</v>
      </c>
      <c r="F52" s="42" t="str">
        <f>[51]Summary!$C$36</f>
        <v/>
      </c>
      <c r="G52" s="42">
        <f>[51]Summary!$C$32</f>
        <v>0.36585764153878225</v>
      </c>
      <c r="H52" s="42">
        <f>[51]Summary!$E$6/100</f>
        <v>0.1984145765258411</v>
      </c>
      <c r="I52" s="42">
        <f>[51]Summary!$E$10/100</f>
        <v>0</v>
      </c>
      <c r="J52" s="42">
        <f>[51]Summary!$E$14/100</f>
        <v>0</v>
      </c>
      <c r="K52" s="42">
        <f>[51]Summary!$C$40</f>
        <v>0.42530382324940469</v>
      </c>
      <c r="L52" s="42">
        <f>[51]Summary!$C$54</f>
        <v>0</v>
      </c>
      <c r="M52" s="42">
        <f>'[51]Glbl Expsr'!$D$2</f>
        <v>1.0281698406621547</v>
      </c>
      <c r="N52" s="132">
        <f>'[51]Glbl Expsr'!$D$3</f>
        <v>0.2264676322717922</v>
      </c>
      <c r="O52" s="137" t="s">
        <v>11174</v>
      </c>
      <c r="P52" s="137" t="s">
        <v>11092</v>
      </c>
      <c r="Q52" s="3"/>
      <c r="R52" s="4"/>
      <c r="S52" s="5"/>
      <c r="T52" s="5"/>
      <c r="U52" s="1"/>
      <c r="V52" s="2"/>
      <c r="W52" s="6"/>
      <c r="AG52" s="4"/>
      <c r="AH52" s="4"/>
      <c r="AI52" s="2"/>
      <c r="AJ52" s="4"/>
      <c r="AK52" s="2"/>
      <c r="AL52" s="2"/>
      <c r="AM52" s="2"/>
      <c r="AN52" s="5"/>
      <c r="AP52" s="2"/>
      <c r="AQ52" s="2"/>
      <c r="AR52" s="2"/>
    </row>
    <row r="53" spans="1:44" x14ac:dyDescent="0.2">
      <c r="A53" s="62" t="s">
        <v>10999</v>
      </c>
      <c r="B53" s="133" t="str">
        <f>[52]Summary!$G$3</f>
        <v>≠ UT</v>
      </c>
      <c r="C53" s="144">
        <f>[52]Summary!$E$1</f>
        <v>9</v>
      </c>
      <c r="D53" s="42">
        <f>[52]Summary!$C$34</f>
        <v>0.49519551574974868</v>
      </c>
      <c r="E53" s="42">
        <f>[52]Summary!$E$34/100</f>
        <v>0.49519551574974868</v>
      </c>
      <c r="F53" s="42" t="str">
        <f>[52]Summary!$C$36</f>
        <v/>
      </c>
      <c r="G53" s="42">
        <f>[52]Summary!$C$32</f>
        <v>0.25850493338706015</v>
      </c>
      <c r="H53" s="42">
        <f>[52]Summary!$E$6/100</f>
        <v>0.19412023775220888</v>
      </c>
      <c r="I53" s="42">
        <f>[52]Summary!$E$10/100</f>
        <v>0</v>
      </c>
      <c r="J53" s="42">
        <f>[52]Summary!$E$14/100</f>
        <v>0</v>
      </c>
      <c r="K53" s="42">
        <f>[52]Summary!$C$40</f>
        <v>0.4124737671459891</v>
      </c>
      <c r="L53" s="42">
        <f>[52]Summary!$C$54</f>
        <v>0</v>
      </c>
      <c r="M53" s="42">
        <f>'[52]Glbl Expsr'!$D$2</f>
        <v>1.0412001536954085</v>
      </c>
      <c r="N53" s="132">
        <f>'[52]Glbl Expsr'!$D$3</f>
        <v>0.2166133046310641</v>
      </c>
      <c r="O53" s="137" t="s">
        <v>11154</v>
      </c>
      <c r="P53" s="137" t="s">
        <v>11072</v>
      </c>
      <c r="Q53" s="3"/>
      <c r="R53" s="4"/>
      <c r="S53" s="5"/>
      <c r="T53" s="5"/>
      <c r="U53" s="1"/>
      <c r="V53" s="2"/>
      <c r="W53" s="6"/>
      <c r="AG53" s="4"/>
      <c r="AH53" s="4"/>
      <c r="AI53" s="2"/>
      <c r="AJ53" s="4"/>
      <c r="AK53" s="2"/>
      <c r="AL53" s="2"/>
      <c r="AM53" s="2"/>
      <c r="AN53" s="5"/>
      <c r="AP53" s="2"/>
      <c r="AQ53" s="2"/>
      <c r="AR53" s="2"/>
    </row>
    <row r="54" spans="1:44" x14ac:dyDescent="0.2">
      <c r="A54" s="62" t="s">
        <v>10969</v>
      </c>
      <c r="B54" s="133" t="str">
        <f>[53]Summary!$G$3</f>
        <v>≠ UT</v>
      </c>
      <c r="C54" s="144">
        <f>[53]Summary!$E$1</f>
        <v>9</v>
      </c>
      <c r="D54" s="42">
        <f>[53]Summary!$C$34</f>
        <v>0.49592281658773052</v>
      </c>
      <c r="E54" s="42">
        <f>[53]Summary!$E$34/100</f>
        <v>0.49592281658773041</v>
      </c>
      <c r="F54" s="42" t="str">
        <f>[53]Summary!$C$36</f>
        <v/>
      </c>
      <c r="G54" s="42">
        <f>[53]Summary!$C$32</f>
        <v>0.35113290380893103</v>
      </c>
      <c r="H54" s="42">
        <f>[53]Summary!$E$6/100</f>
        <v>0.21370953148378663</v>
      </c>
      <c r="I54" s="42">
        <f>[53]Summary!$E$10/100</f>
        <v>0</v>
      </c>
      <c r="J54" s="42">
        <f>[53]Summary!$E$14/100</f>
        <v>0</v>
      </c>
      <c r="K54" s="42">
        <f>[53]Summary!$C$40</f>
        <v>0.41970655838578264</v>
      </c>
      <c r="L54" s="42">
        <f>[53]Summary!$C$54</f>
        <v>0</v>
      </c>
      <c r="M54" s="42">
        <f>'[53]Glbl Expsr'!$D$2</f>
        <v>1.0584310246381223</v>
      </c>
      <c r="N54" s="132">
        <f>'[53]Glbl Expsr'!$D$3</f>
        <v>0.2202218332182462</v>
      </c>
      <c r="O54" s="137" t="s">
        <v>11148</v>
      </c>
      <c r="P54" s="137" t="s">
        <v>11066</v>
      </c>
      <c r="Q54" s="3"/>
      <c r="R54" s="4"/>
      <c r="S54" s="5"/>
      <c r="T54" s="5"/>
      <c r="U54" s="1"/>
      <c r="V54" s="2"/>
      <c r="W54" s="6"/>
      <c r="AG54" s="4"/>
      <c r="AH54" s="4"/>
      <c r="AI54" s="2"/>
      <c r="AJ54" s="4"/>
      <c r="AK54" s="2"/>
      <c r="AL54" s="2"/>
      <c r="AM54" s="2"/>
      <c r="AN54" s="5"/>
      <c r="AP54" s="2"/>
      <c r="AQ54" s="2"/>
      <c r="AR54" s="2"/>
    </row>
    <row r="55" spans="1:44" x14ac:dyDescent="0.2">
      <c r="A55" s="62" t="s">
        <v>11038</v>
      </c>
      <c r="B55" s="133" t="str">
        <f>[54]Summary!$G$3</f>
        <v>≠ UT</v>
      </c>
      <c r="C55" s="144">
        <f>[54]Summary!$E$1</f>
        <v>9</v>
      </c>
      <c r="D55" s="42">
        <f>[54]Summary!$C$34</f>
        <v>0.52590718088758481</v>
      </c>
      <c r="E55" s="42">
        <f>[54]Summary!$E$34/100</f>
        <v>0.52590718088758481</v>
      </c>
      <c r="F55" s="42" t="str">
        <f>[54]Summary!$C$36</f>
        <v/>
      </c>
      <c r="G55" s="42">
        <f>[54]Summary!$C$32</f>
        <v>0.43251844551350366</v>
      </c>
      <c r="H55" s="42">
        <f>[54]Summary!$E$6/100</f>
        <v>0.15955253775302763</v>
      </c>
      <c r="I55" s="42">
        <f>[54]Summary!$E$10/100</f>
        <v>0</v>
      </c>
      <c r="J55" s="42">
        <f>[54]Summary!$E$14/100</f>
        <v>0</v>
      </c>
      <c r="K55" s="42">
        <f>[54]Summary!$C$40</f>
        <v>0.36624658538094823</v>
      </c>
      <c r="L55" s="42">
        <f>[54]Summary!$C$54</f>
        <v>19.625627977745872</v>
      </c>
      <c r="M55" s="42">
        <f>'[54]Glbl Expsr'!$D$2</f>
        <v>0.93497344049035991</v>
      </c>
      <c r="N55" s="132">
        <f>'[54]Glbl Expsr'!$D$3</f>
        <v>0.18306943720193292</v>
      </c>
      <c r="O55" s="137" t="s">
        <v>11198</v>
      </c>
      <c r="P55" s="137" t="s">
        <v>11111</v>
      </c>
      <c r="Q55" s="3"/>
      <c r="R55" s="4"/>
      <c r="S55" s="5"/>
      <c r="T55" s="5"/>
      <c r="U55" s="1"/>
      <c r="V55" s="2"/>
      <c r="W55" s="6"/>
      <c r="AG55" s="4"/>
      <c r="AH55" s="4"/>
      <c r="AI55" s="2"/>
      <c r="AJ55" s="4"/>
      <c r="AK55" s="2"/>
      <c r="AL55" s="2"/>
      <c r="AM55" s="2"/>
      <c r="AN55" s="5"/>
      <c r="AP55" s="2"/>
      <c r="AQ55" s="2"/>
      <c r="AR55" s="2"/>
    </row>
    <row r="56" spans="1:44" x14ac:dyDescent="0.2">
      <c r="A56" s="62" t="s">
        <v>11010</v>
      </c>
      <c r="B56" s="133" t="str">
        <f>[55]Summary!$G$3</f>
        <v>≠ UT</v>
      </c>
      <c r="C56" s="144">
        <f>[55]Summary!$E$1</f>
        <v>9</v>
      </c>
      <c r="D56" s="42">
        <f>[55]Summary!$C$34</f>
        <v>0.54325361408210993</v>
      </c>
      <c r="E56" s="42">
        <f>[55]Summary!$E$34/100</f>
        <v>0.54325361408211004</v>
      </c>
      <c r="F56" s="42" t="str">
        <f>[55]Summary!$C$36</f>
        <v/>
      </c>
      <c r="G56" s="42">
        <f>[55]Summary!$C$32</f>
        <v>0.44788332579617962</v>
      </c>
      <c r="H56" s="42">
        <f>[55]Summary!$E$6/100</f>
        <v>0.16722988684328077</v>
      </c>
      <c r="I56" s="42">
        <f>[55]Summary!$E$10/100</f>
        <v>0</v>
      </c>
      <c r="J56" s="42">
        <f>[55]Summary!$E$14/100</f>
        <v>0</v>
      </c>
      <c r="K56" s="42">
        <f>[55]Summary!$C$40</f>
        <v>0.37438532381995299</v>
      </c>
      <c r="L56" s="42">
        <f>[55]Summary!$C$54</f>
        <v>19.668501060798086</v>
      </c>
      <c r="M56" s="42">
        <f>'[55]Glbl Expsr'!$D$2</f>
        <v>0.8622360576707212</v>
      </c>
      <c r="N56" s="132">
        <f>'[55]Glbl Expsr'!$D$3</f>
        <v>0.20501827432131325</v>
      </c>
      <c r="O56" s="135" t="s">
        <v>11165</v>
      </c>
      <c r="P56" s="45" t="s">
        <v>11083</v>
      </c>
      <c r="Q56" s="3"/>
      <c r="R56" s="4"/>
      <c r="S56" s="5"/>
      <c r="T56" s="5"/>
      <c r="U56" s="1"/>
      <c r="V56" s="2"/>
      <c r="W56" s="6"/>
      <c r="AG56" s="4"/>
      <c r="AH56" s="4"/>
      <c r="AI56" s="2"/>
      <c r="AJ56" s="4"/>
      <c r="AK56" s="2"/>
      <c r="AL56" s="2"/>
      <c r="AM56" s="2"/>
      <c r="AN56" s="5"/>
      <c r="AP56" s="2"/>
      <c r="AQ56" s="2"/>
      <c r="AR56" s="2"/>
    </row>
    <row r="57" spans="1:44" x14ac:dyDescent="0.2">
      <c r="A57" s="62" t="s">
        <v>11009</v>
      </c>
      <c r="B57" s="133" t="str">
        <f>[56]Summary!$G$3</f>
        <v>≠ UT</v>
      </c>
      <c r="C57" s="144">
        <f>[56]Summary!$E$1</f>
        <v>9</v>
      </c>
      <c r="D57" s="42">
        <f>[56]Summary!$C$34</f>
        <v>0.54757375282038989</v>
      </c>
      <c r="E57" s="42">
        <f>[56]Summary!$E$34/100</f>
        <v>0.54757375282038978</v>
      </c>
      <c r="F57" s="42" t="str">
        <f>[56]Summary!$C$36</f>
        <v/>
      </c>
      <c r="G57" s="42">
        <f>[56]Summary!$C$32</f>
        <v>0.45606053784436917</v>
      </c>
      <c r="H57" s="42">
        <f>[56]Summary!$E$6/100</f>
        <v>0.16554408407617985</v>
      </c>
      <c r="I57" s="42">
        <f>[56]Summary!$E$10/100</f>
        <v>0</v>
      </c>
      <c r="J57" s="42">
        <f>[56]Summary!$E$14/100</f>
        <v>0</v>
      </c>
      <c r="K57" s="42">
        <f>[56]Summary!$C$40</f>
        <v>0.38361174245399193</v>
      </c>
      <c r="L57" s="42">
        <f>[56]Summary!$C$54</f>
        <v>18.873764806389612</v>
      </c>
      <c r="M57" s="42">
        <f>'[56]Glbl Expsr'!$D$2</f>
        <v>0.88747080727816008</v>
      </c>
      <c r="N57" s="132">
        <f>'[56]Glbl Expsr'!$D$3</f>
        <v>0.22052143422848419</v>
      </c>
      <c r="O57" s="137" t="s">
        <v>11164</v>
      </c>
      <c r="P57" s="137" t="s">
        <v>11082</v>
      </c>
      <c r="Q57" s="3"/>
      <c r="R57" s="4"/>
      <c r="S57" s="5"/>
      <c r="T57" s="5"/>
      <c r="U57" s="1"/>
      <c r="V57" s="2"/>
      <c r="W57" s="6"/>
      <c r="AG57" s="4"/>
      <c r="AH57" s="4"/>
      <c r="AI57" s="2"/>
      <c r="AJ57" s="4"/>
      <c r="AK57" s="2"/>
      <c r="AL57" s="2"/>
      <c r="AM57" s="2"/>
      <c r="AN57" s="5"/>
      <c r="AP57" s="2"/>
      <c r="AQ57" s="2"/>
      <c r="AR57" s="2"/>
    </row>
    <row r="58" spans="1:44" x14ac:dyDescent="0.2">
      <c r="A58" s="62" t="s">
        <v>11002</v>
      </c>
      <c r="B58" s="133" t="str">
        <f>[57]Summary!$G$3</f>
        <v>≠ UT</v>
      </c>
      <c r="C58" s="144">
        <f>[57]Summary!$E$1</f>
        <v>8</v>
      </c>
      <c r="D58" s="42">
        <f>[57]Summary!$C$34</f>
        <v>2.0179497581070072E-2</v>
      </c>
      <c r="E58" s="42">
        <f>[57]Summary!$E$34/100</f>
        <v>2.0179497581070072E-2</v>
      </c>
      <c r="F58" s="42">
        <f>[57]Summary!$C$36</f>
        <v>0</v>
      </c>
      <c r="G58" s="42">
        <f>[57]Summary!$C$32</f>
        <v>0</v>
      </c>
      <c r="H58" s="42">
        <f>[57]Summary!$E$6/100</f>
        <v>0</v>
      </c>
      <c r="I58" s="42">
        <f>[57]Summary!$E$10/100</f>
        <v>3.3811282530387871E-2</v>
      </c>
      <c r="J58" s="42">
        <f>[57]Summary!$E$14/100</f>
        <v>0.18559154952318122</v>
      </c>
      <c r="K58" s="42">
        <f>[57]Summary!$C$40</f>
        <v>0.99149454072486121</v>
      </c>
      <c r="L58" s="42">
        <f>[57]Summary!$C$54</f>
        <v>0</v>
      </c>
      <c r="M58" s="42">
        <f>'[57]Glbl Expsr'!$D$2</f>
        <v>0.15218442328480986</v>
      </c>
      <c r="N58" s="132">
        <f>'[57]Glbl Expsr'!$D$3</f>
        <v>0.15218442328480986</v>
      </c>
      <c r="O58" s="135" t="s">
        <v>11157</v>
      </c>
      <c r="P58" s="45" t="s">
        <v>11075</v>
      </c>
      <c r="Q58" s="3"/>
      <c r="R58" s="4"/>
      <c r="S58" s="5"/>
      <c r="T58" s="5"/>
      <c r="U58" s="1"/>
      <c r="V58" s="2"/>
      <c r="W58" s="6"/>
      <c r="AG58" s="4"/>
      <c r="AH58" s="4"/>
      <c r="AI58" s="2"/>
      <c r="AJ58" s="4"/>
      <c r="AK58" s="2"/>
      <c r="AL58" s="2"/>
      <c r="AM58" s="2"/>
      <c r="AN58" s="5"/>
      <c r="AP58" s="2"/>
      <c r="AQ58" s="2"/>
      <c r="AR58" s="2"/>
    </row>
    <row r="59" spans="1:44" x14ac:dyDescent="0.2">
      <c r="A59" s="62" t="s">
        <v>11064</v>
      </c>
      <c r="B59" s="133" t="str">
        <f>[58]Summary!$G$3</f>
        <v>≠ UT</v>
      </c>
      <c r="C59" s="144">
        <f>[58]Summary!$E$1</f>
        <v>8</v>
      </c>
      <c r="D59" s="42">
        <f>[58]Summary!$C$34</f>
        <v>3.6012352935663572E-2</v>
      </c>
      <c r="E59" s="42">
        <f>[58]Summary!$E$34/100</f>
        <v>3.6012352935663509E-2</v>
      </c>
      <c r="F59" s="42">
        <f>[58]Summary!$C$36</f>
        <v>0</v>
      </c>
      <c r="G59" s="42">
        <f>[58]Summary!$C$32</f>
        <v>0</v>
      </c>
      <c r="H59" s="42">
        <f>[58]Summary!$E$6/100</f>
        <v>0</v>
      </c>
      <c r="I59" s="42">
        <f>[58]Summary!$E$10/100</f>
        <v>3.8791985711352853E-2</v>
      </c>
      <c r="J59" s="42">
        <f>[58]Summary!$E$14/100</f>
        <v>0.19918968078777941</v>
      </c>
      <c r="K59" s="42">
        <f>[58]Summary!$C$40</f>
        <v>0.99065848573954196</v>
      </c>
      <c r="L59" s="42">
        <f>[58]Summary!$C$54</f>
        <v>0</v>
      </c>
      <c r="M59" s="42">
        <f>'[58]Glbl Expsr'!$D$2</f>
        <v>0.13466470706437381</v>
      </c>
      <c r="N59" s="132">
        <f>'[58]Glbl Expsr'!$D$3</f>
        <v>0.13466470706437381</v>
      </c>
      <c r="O59" s="137" t="s">
        <v>11224</v>
      </c>
      <c r="P59" s="137" t="s">
        <v>11137</v>
      </c>
      <c r="Q59" s="3"/>
      <c r="R59" s="4"/>
      <c r="S59" s="5"/>
      <c r="T59" s="5"/>
      <c r="U59" s="1"/>
      <c r="V59" s="2"/>
      <c r="W59" s="6"/>
      <c r="AG59" s="4"/>
      <c r="AH59" s="4"/>
      <c r="AI59" s="2"/>
      <c r="AJ59" s="4"/>
      <c r="AK59" s="2"/>
      <c r="AL59" s="2"/>
      <c r="AM59" s="2"/>
      <c r="AN59" s="5"/>
      <c r="AP59" s="2"/>
      <c r="AQ59" s="2"/>
      <c r="AR59" s="2"/>
    </row>
    <row r="60" spans="1:44" x14ac:dyDescent="0.2">
      <c r="A60" s="62" t="s">
        <v>11021</v>
      </c>
      <c r="B60" s="133" t="str">
        <f>[59]Summary!$G$3</f>
        <v>≠ UT</v>
      </c>
      <c r="C60" s="144">
        <f>[59]Summary!$E$1</f>
        <v>8</v>
      </c>
      <c r="D60" s="42">
        <f>[59]Summary!$C$34</f>
        <v>8.2315026127079582E-2</v>
      </c>
      <c r="E60" s="42">
        <f>[59]Summary!$E$34/100</f>
        <v>8.2315026127079569E-2</v>
      </c>
      <c r="F60" s="42">
        <f>[59]Summary!$C$36</f>
        <v>0</v>
      </c>
      <c r="G60" s="42">
        <f>[59]Summary!$C$32</f>
        <v>0</v>
      </c>
      <c r="H60" s="42">
        <f>[59]Summary!$E$6/100</f>
        <v>0</v>
      </c>
      <c r="I60" s="42">
        <f>[59]Summary!$E$10/100</f>
        <v>4.1456633541216509E-2</v>
      </c>
      <c r="J60" s="42">
        <f>[59]Summary!$E$14/100</f>
        <v>0.20559186659055576</v>
      </c>
      <c r="K60" s="42">
        <f>[59]Summary!$C$40</f>
        <v>0.99297479811736833</v>
      </c>
      <c r="L60" s="42">
        <f>[59]Summary!$C$54</f>
        <v>0</v>
      </c>
      <c r="M60" s="42">
        <f>'[59]Glbl Expsr'!$D$2</f>
        <v>0.12791244304959171</v>
      </c>
      <c r="N60" s="132">
        <f>'[59]Glbl Expsr'!$D$3</f>
        <v>0.12791244304959171</v>
      </c>
      <c r="O60" s="137" t="s">
        <v>11176</v>
      </c>
      <c r="P60" s="137" t="s">
        <v>11094</v>
      </c>
      <c r="Q60" s="3"/>
      <c r="R60" s="4"/>
      <c r="S60" s="5"/>
      <c r="T60" s="5"/>
      <c r="U60" s="1"/>
      <c r="V60" s="2"/>
      <c r="W60" s="6"/>
      <c r="AG60" s="4"/>
      <c r="AH60" s="4"/>
      <c r="AI60" s="2"/>
      <c r="AJ60" s="4"/>
      <c r="AK60" s="2"/>
      <c r="AL60" s="2"/>
      <c r="AM60" s="2"/>
      <c r="AN60" s="5"/>
      <c r="AP60" s="2"/>
      <c r="AQ60" s="2"/>
      <c r="AR60" s="2"/>
    </row>
    <row r="61" spans="1:44" x14ac:dyDescent="0.2">
      <c r="A61" s="62" t="s">
        <v>11018</v>
      </c>
      <c r="B61" s="133" t="str">
        <f>[60]Summary!$G$3</f>
        <v>≠ UT</v>
      </c>
      <c r="C61" s="144">
        <f>[60]Summary!$E$1</f>
        <v>7</v>
      </c>
      <c r="D61" s="42">
        <f>[60]Summary!$C$34</f>
        <v>9.2714644163798737E-2</v>
      </c>
      <c r="E61" s="42">
        <f>[60]Summary!$E$34/100</f>
        <v>9.2714644163798751E-2</v>
      </c>
      <c r="F61" s="42">
        <f>[60]Summary!$C$36</f>
        <v>0</v>
      </c>
      <c r="G61" s="42">
        <f>[60]Summary!$C$32</f>
        <v>0</v>
      </c>
      <c r="H61" s="42">
        <f>[60]Summary!$E$6/100</f>
        <v>0</v>
      </c>
      <c r="I61" s="42">
        <f>[60]Summary!$E$10/100</f>
        <v>0</v>
      </c>
      <c r="J61" s="42">
        <f>[60]Summary!$E$14/100</f>
        <v>0</v>
      </c>
      <c r="K61" s="42">
        <f>[60]Summary!$C$40</f>
        <v>0.99600667585557257</v>
      </c>
      <c r="L61" s="42">
        <f>[60]Summary!$C$54</f>
        <v>0</v>
      </c>
      <c r="M61" s="42">
        <f>'[60]Glbl Expsr'!$D$2</f>
        <v>0.1544112473221359</v>
      </c>
      <c r="N61" s="132">
        <f>'[60]Glbl Expsr'!$D$3</f>
        <v>0.1544112473221359</v>
      </c>
      <c r="O61" s="135" t="s">
        <v>11173</v>
      </c>
      <c r="P61" s="45" t="s">
        <v>11091</v>
      </c>
      <c r="Q61" s="3"/>
      <c r="R61" s="4"/>
      <c r="S61" s="5"/>
      <c r="T61" s="5"/>
      <c r="U61" s="1"/>
      <c r="V61" s="2"/>
      <c r="W61" s="6"/>
      <c r="AG61" s="4"/>
      <c r="AH61" s="4"/>
      <c r="AI61" s="2"/>
      <c r="AJ61" s="4"/>
      <c r="AK61" s="2"/>
      <c r="AL61" s="2"/>
      <c r="AM61" s="2"/>
      <c r="AN61" s="5"/>
      <c r="AP61" s="2"/>
      <c r="AQ61" s="2"/>
      <c r="AR61" s="2"/>
    </row>
    <row r="62" spans="1:44" x14ac:dyDescent="0.2">
      <c r="A62" s="62" t="s">
        <v>11041</v>
      </c>
      <c r="B62" s="133" t="str">
        <f>[61]Summary!$G$3</f>
        <v>≠ UT</v>
      </c>
      <c r="C62" s="144">
        <f>[61]Summary!$E$1</f>
        <v>7</v>
      </c>
      <c r="D62" s="42">
        <f>[61]Summary!$C$34</f>
        <v>0.10865401863136318</v>
      </c>
      <c r="E62" s="42">
        <f>[61]Summary!$E$34/100</f>
        <v>0.10865401863136319</v>
      </c>
      <c r="F62" s="42">
        <f>[61]Summary!$C$36</f>
        <v>0</v>
      </c>
      <c r="G62" s="42">
        <f>[61]Summary!$C$32</f>
        <v>0</v>
      </c>
      <c r="H62" s="42">
        <f>[61]Summary!$E$6/100</f>
        <v>0</v>
      </c>
      <c r="I62" s="42">
        <f>[61]Summary!$E$10/100</f>
        <v>3.833291429195157E-2</v>
      </c>
      <c r="J62" s="42">
        <f>[61]Summary!$E$14/100</f>
        <v>0.1903901948489411</v>
      </c>
      <c r="K62" s="42">
        <f>[61]Summary!$C$40</f>
        <v>0.99150556755435637</v>
      </c>
      <c r="L62" s="42">
        <f>[61]Summary!$C$54</f>
        <v>0</v>
      </c>
      <c r="M62" s="42">
        <f>'[61]Glbl Expsr'!$D$2</f>
        <v>6.0655969237357596E-2</v>
      </c>
      <c r="N62" s="132">
        <f>'[61]Glbl Expsr'!$D$3</f>
        <v>6.0655969237357596E-2</v>
      </c>
      <c r="O62" s="135" t="s">
        <v>11201</v>
      </c>
      <c r="P62" s="45" t="s">
        <v>11114</v>
      </c>
      <c r="Q62" s="3"/>
      <c r="R62" s="4"/>
      <c r="S62" s="5"/>
      <c r="T62" s="5"/>
      <c r="U62" s="1"/>
      <c r="V62" s="2"/>
      <c r="W62" s="6"/>
      <c r="AG62" s="4"/>
      <c r="AH62" s="4"/>
      <c r="AI62" s="2"/>
      <c r="AJ62" s="4"/>
      <c r="AK62" s="2"/>
      <c r="AL62" s="2"/>
      <c r="AM62" s="2"/>
      <c r="AN62" s="5"/>
      <c r="AP62" s="2"/>
      <c r="AQ62" s="2"/>
      <c r="AR62" s="2"/>
    </row>
    <row r="63" spans="1:44" x14ac:dyDescent="0.2">
      <c r="A63" s="62" t="s">
        <v>11063</v>
      </c>
      <c r="B63" s="133" t="str">
        <f>[62]Summary!$G$3</f>
        <v>≠ UT</v>
      </c>
      <c r="C63" s="144">
        <f>[62]Summary!$E$1</f>
        <v>7</v>
      </c>
      <c r="D63" s="42">
        <f>[62]Summary!$C$34</f>
        <v>0.18388093880294221</v>
      </c>
      <c r="E63" s="42">
        <f>[62]Summary!$E$34/100</f>
        <v>0.18388093880294218</v>
      </c>
      <c r="F63" s="42">
        <f>[62]Summary!$C$36</f>
        <v>0</v>
      </c>
      <c r="G63" s="42">
        <f>[62]Summary!$C$32</f>
        <v>0</v>
      </c>
      <c r="H63" s="42">
        <f>[62]Summary!$E$6/100</f>
        <v>0</v>
      </c>
      <c r="I63" s="42">
        <f>[62]Summary!$E$10/100</f>
        <v>1.8937928306982595E-2</v>
      </c>
      <c r="J63" s="42">
        <f>[62]Summary!$E$14/100</f>
        <v>0.15724512279862751</v>
      </c>
      <c r="K63" s="42">
        <f>[62]Summary!$C$40</f>
        <v>0.99324049018150706</v>
      </c>
      <c r="L63" s="42">
        <f>[62]Summary!$C$54</f>
        <v>0</v>
      </c>
      <c r="M63" s="42">
        <f>'[62]Glbl Expsr'!$D$2</f>
        <v>4.9272183880701828E-2</v>
      </c>
      <c r="N63" s="132">
        <f>'[62]Glbl Expsr'!$D$3</f>
        <v>4.9272183880701828E-2</v>
      </c>
      <c r="O63" s="135" t="s">
        <v>11223</v>
      </c>
      <c r="P63" s="45" t="s">
        <v>11136</v>
      </c>
      <c r="Q63" s="3"/>
      <c r="R63" s="4"/>
      <c r="S63" s="5"/>
      <c r="T63" s="5"/>
      <c r="U63" s="1"/>
      <c r="V63" s="2"/>
      <c r="W63" s="6"/>
      <c r="AG63" s="4"/>
      <c r="AH63" s="4"/>
      <c r="AI63" s="2"/>
      <c r="AJ63" s="4"/>
      <c r="AK63" s="2"/>
      <c r="AL63" s="2"/>
      <c r="AM63" s="2"/>
      <c r="AN63" s="5"/>
      <c r="AP63" s="2"/>
      <c r="AQ63" s="2"/>
      <c r="AR63" s="2"/>
    </row>
    <row r="64" spans="1:44" x14ac:dyDescent="0.2">
      <c r="A64" s="62" t="s">
        <v>11016</v>
      </c>
      <c r="B64" s="133" t="str">
        <f>[63]Summary!$G$3</f>
        <v>≠ UT</v>
      </c>
      <c r="C64" s="144">
        <f>[63]Summary!$E$1</f>
        <v>6</v>
      </c>
      <c r="D64" s="42">
        <f>[63]Summary!$C$34</f>
        <v>-9.8724884401829467</v>
      </c>
      <c r="E64" s="42">
        <f>[63]Summary!$E$34/100</f>
        <v>-9.8724884401829449</v>
      </c>
      <c r="F64" s="42" t="str">
        <f>[63]Summary!$C$36</f>
        <v/>
      </c>
      <c r="G64" s="42">
        <f>[63]Summary!$C$32</f>
        <v>0</v>
      </c>
      <c r="H64" s="42">
        <f>[63]Summary!$E$6/100</f>
        <v>0</v>
      </c>
      <c r="I64" s="42">
        <f>[63]Summary!$E$10/100</f>
        <v>0</v>
      </c>
      <c r="J64" s="42">
        <f>[63]Summary!$E$14/100</f>
        <v>0</v>
      </c>
      <c r="K64" s="42">
        <f>[63]Summary!$C$40</f>
        <v>4.8229682585907572</v>
      </c>
      <c r="L64" s="42">
        <f>[63]Summary!$C$54</f>
        <v>0</v>
      </c>
      <c r="M64" s="42">
        <f>'[63]Glbl Expsr'!$D$2</f>
        <v>4.8229682585907572</v>
      </c>
      <c r="N64" s="132">
        <f>'[63]Glbl Expsr'!$D$3</f>
        <v>4.8229682585907572</v>
      </c>
      <c r="O64" s="135" t="s">
        <v>11171</v>
      </c>
      <c r="P64" s="45" t="s">
        <v>11089</v>
      </c>
      <c r="Q64" s="3"/>
      <c r="R64" s="4"/>
      <c r="S64" s="5"/>
      <c r="T64" s="5"/>
      <c r="U64" s="1"/>
      <c r="V64" s="2"/>
      <c r="W64" s="6"/>
      <c r="AG64" s="4"/>
      <c r="AH64" s="4"/>
      <c r="AI64" s="2"/>
      <c r="AJ64" s="4"/>
      <c r="AK64" s="2"/>
      <c r="AL64" s="2"/>
      <c r="AM64" s="2"/>
      <c r="AN64" s="5"/>
      <c r="AP64" s="2"/>
      <c r="AQ64" s="2"/>
      <c r="AR64" s="2"/>
    </row>
    <row r="65" spans="1:44" x14ac:dyDescent="0.2">
      <c r="A65" s="62" t="s">
        <v>11020</v>
      </c>
      <c r="B65" s="133" t="str">
        <f>[64]Summary!$G$3</f>
        <v>≠ UT</v>
      </c>
      <c r="C65" s="144">
        <f>[64]Summary!$E$1</f>
        <v>5</v>
      </c>
      <c r="D65" s="42">
        <f>[64]Summary!$C$34</f>
        <v>0.32332707183948056</v>
      </c>
      <c r="E65" s="42">
        <f>[64]Summary!$E$34/100</f>
        <v>0.32332707183948062</v>
      </c>
      <c r="F65" s="42" t="str">
        <f>[64]Summary!$C$36</f>
        <v/>
      </c>
      <c r="G65" s="42">
        <f>[64]Summary!$C$32</f>
        <v>0.61037529314338523</v>
      </c>
      <c r="H65" s="42">
        <f>[64]Summary!$E$6/100</f>
        <v>0</v>
      </c>
      <c r="I65" s="42">
        <f>[64]Summary!$E$10/100</f>
        <v>3.8329991626557508E-2</v>
      </c>
      <c r="J65" s="42">
        <f>[64]Summary!$E$14/100</f>
        <v>0.19845099581399903</v>
      </c>
      <c r="K65" s="42">
        <f>[64]Summary!$C$40</f>
        <v>0.99265782456107365</v>
      </c>
      <c r="L65" s="42">
        <f>[64]Summary!$C$54</f>
        <v>0</v>
      </c>
      <c r="M65" s="42">
        <f>'[64]Glbl Expsr'!$D$2</f>
        <v>0.46525072678628832</v>
      </c>
      <c r="N65" s="132">
        <f>'[64]Glbl Expsr'!$D$3</f>
        <v>0.46525072678628832</v>
      </c>
      <c r="O65" s="135" t="s">
        <v>11175</v>
      </c>
      <c r="P65" s="45" t="s">
        <v>11093</v>
      </c>
      <c r="Q65" s="3"/>
      <c r="R65" s="4"/>
      <c r="S65" s="5"/>
      <c r="T65" s="5"/>
      <c r="U65" s="1"/>
      <c r="V65" s="2"/>
      <c r="W65" s="6"/>
      <c r="AG65" s="4"/>
      <c r="AH65" s="4"/>
      <c r="AI65" s="2"/>
      <c r="AJ65" s="4"/>
      <c r="AK65" s="2"/>
      <c r="AL65" s="2"/>
      <c r="AM65" s="2"/>
      <c r="AN65" s="5"/>
      <c r="AP65" s="2"/>
      <c r="AQ65" s="2"/>
      <c r="AR65" s="2"/>
    </row>
    <row r="66" spans="1:44" x14ac:dyDescent="0.2">
      <c r="A66" s="62" t="s">
        <v>11040</v>
      </c>
      <c r="B66" s="133" t="str">
        <f>[65]Summary!$G$3</f>
        <v>≠ UT</v>
      </c>
      <c r="C66" s="144">
        <f>[65]Summary!$E$1</f>
        <v>5</v>
      </c>
      <c r="D66" s="42">
        <f>[65]Summary!$C$34</f>
        <v>0.34005022483828184</v>
      </c>
      <c r="E66" s="42">
        <f>[65]Summary!$E$34/100</f>
        <v>0.34005022483828179</v>
      </c>
      <c r="F66" s="42">
        <f>[65]Summary!$C$36</f>
        <v>0.14896869404590798</v>
      </c>
      <c r="G66" s="42">
        <f>[65]Summary!$C$32</f>
        <v>0</v>
      </c>
      <c r="H66" s="42">
        <f>[65]Summary!$E$6/100</f>
        <v>0</v>
      </c>
      <c r="I66" s="42">
        <f>[65]Summary!$E$10/100</f>
        <v>0</v>
      </c>
      <c r="J66" s="42">
        <f>[65]Summary!$E$14/100</f>
        <v>0</v>
      </c>
      <c r="K66" s="42">
        <f>[65]Summary!$C$40</f>
        <v>2.257332545165263</v>
      </c>
      <c r="L66" s="42">
        <f>[65]Summary!$C$54</f>
        <v>20.716682234448101</v>
      </c>
      <c r="M66" s="42">
        <f>'[65]Glbl Expsr'!$D$2</f>
        <v>2.219385566083218</v>
      </c>
      <c r="N66" s="132">
        <f>'[65]Glbl Expsr'!$D$3</f>
        <v>2.219385566083218</v>
      </c>
      <c r="O66" s="137" t="s">
        <v>11200</v>
      </c>
      <c r="P66" s="137" t="s">
        <v>11113</v>
      </c>
      <c r="Q66" s="3"/>
      <c r="R66" s="4"/>
      <c r="S66" s="5"/>
      <c r="T66" s="5"/>
      <c r="U66" s="1"/>
      <c r="V66" s="2"/>
      <c r="W66" s="6"/>
      <c r="AG66" s="4"/>
      <c r="AH66" s="4"/>
      <c r="AI66" s="2"/>
      <c r="AJ66" s="4"/>
      <c r="AK66" s="2"/>
      <c r="AL66" s="2"/>
      <c r="AM66" s="2"/>
      <c r="AN66" s="5"/>
      <c r="AP66" s="2"/>
      <c r="AQ66" s="2"/>
      <c r="AR66" s="2"/>
    </row>
    <row r="67" spans="1:44" x14ac:dyDescent="0.2">
      <c r="A67" s="62" t="s">
        <v>11003</v>
      </c>
      <c r="B67" s="133" t="str">
        <f>[66]Summary!$G$3</f>
        <v>≠ UT</v>
      </c>
      <c r="C67" s="144">
        <f>[66]Summary!$E$1</f>
        <v>4</v>
      </c>
      <c r="D67" s="42">
        <f>[66]Summary!$C$34</f>
        <v>2.6913899178684059E-2</v>
      </c>
      <c r="E67" s="42">
        <f>[66]Summary!$E$34/100</f>
        <v>2.6913899178684062E-2</v>
      </c>
      <c r="F67" s="42">
        <f>[66]Summary!$C$36</f>
        <v>0.53939459032003356</v>
      </c>
      <c r="G67" s="42">
        <f>[66]Summary!$C$32</f>
        <v>0</v>
      </c>
      <c r="H67" s="42">
        <f>[66]Summary!$E$6/100</f>
        <v>0.18080560784416286</v>
      </c>
      <c r="I67" s="42">
        <f>[66]Summary!$E$10/100</f>
        <v>2.4552068617346434E-3</v>
      </c>
      <c r="J67" s="42">
        <f>[66]Summary!$E$14/100</f>
        <v>7.7266517457765277E-2</v>
      </c>
      <c r="K67" s="42">
        <f>[66]Summary!$C$40</f>
        <v>0.26617113709753332</v>
      </c>
      <c r="L67" s="42">
        <f>[66]Summary!$C$54</f>
        <v>0</v>
      </c>
      <c r="M67" s="42">
        <f>'[66]Glbl Expsr'!$D$2</f>
        <v>0.40592790663552347</v>
      </c>
      <c r="N67" s="132">
        <f>'[66]Glbl Expsr'!$D$3</f>
        <v>9.5009305894028326E-2</v>
      </c>
      <c r="O67" s="137" t="s">
        <v>11158</v>
      </c>
      <c r="P67" s="137" t="s">
        <v>11076</v>
      </c>
      <c r="Q67" s="3"/>
      <c r="R67" s="4"/>
      <c r="S67" s="5"/>
      <c r="T67" s="5"/>
      <c r="U67" s="1"/>
      <c r="V67" s="2"/>
      <c r="W67" s="6"/>
      <c r="AG67" s="4"/>
      <c r="AH67" s="4"/>
      <c r="AI67" s="2"/>
      <c r="AJ67" s="4"/>
      <c r="AK67" s="2"/>
      <c r="AL67" s="2"/>
      <c r="AM67" s="2"/>
      <c r="AN67" s="5"/>
      <c r="AP67" s="2"/>
      <c r="AQ67" s="2"/>
      <c r="AR67" s="2"/>
    </row>
    <row r="68" spans="1:44" x14ac:dyDescent="0.2">
      <c r="A68" s="62" t="s">
        <v>10979</v>
      </c>
      <c r="B68" s="133" t="str">
        <f>[67]Summary!$G$3</f>
        <v>≠ UT</v>
      </c>
      <c r="C68" s="144">
        <f>[67]Summary!$E$1</f>
        <v>4</v>
      </c>
      <c r="D68" s="42">
        <f>[67]Summary!$C$34</f>
        <v>5.2054815566791146E-2</v>
      </c>
      <c r="E68" s="42">
        <f>[67]Summary!$E$34/100</f>
        <v>5.2054815566791139E-2</v>
      </c>
      <c r="F68" s="42">
        <f>[67]Summary!$C$36</f>
        <v>0.54928120973051187</v>
      </c>
      <c r="G68" s="42">
        <f>[67]Summary!$C$32</f>
        <v>0</v>
      </c>
      <c r="H68" s="42">
        <f>[67]Summary!$E$6/100</f>
        <v>0.19617423597439079</v>
      </c>
      <c r="I68" s="42">
        <f>[67]Summary!$E$10/100</f>
        <v>2.4544532771942169E-3</v>
      </c>
      <c r="J68" s="42">
        <f>[67]Summary!$E$14/100</f>
        <v>7.7470100243151929E-2</v>
      </c>
      <c r="K68" s="42">
        <f>[67]Summary!$C$40</f>
        <v>0.23280053410809087</v>
      </c>
      <c r="L68" s="42">
        <f>[67]Summary!$C$54</f>
        <v>0</v>
      </c>
      <c r="M68" s="42">
        <f>'[67]Glbl Expsr'!$D$2</f>
        <v>0.38805548996691258</v>
      </c>
      <c r="N68" s="132">
        <f>'[67]Glbl Expsr'!$D$3</f>
        <v>7.7649449389764535E-2</v>
      </c>
      <c r="O68" s="137" t="s">
        <v>11149</v>
      </c>
      <c r="P68" s="137" t="s">
        <v>11067</v>
      </c>
      <c r="Q68" s="3"/>
      <c r="R68" s="4"/>
      <c r="S68" s="5"/>
      <c r="T68" s="5"/>
      <c r="U68" s="1"/>
      <c r="V68" s="2"/>
      <c r="W68" s="6"/>
      <c r="AG68" s="4"/>
      <c r="AH68" s="4"/>
      <c r="AI68" s="2"/>
      <c r="AJ68" s="4"/>
      <c r="AK68" s="2"/>
      <c r="AL68" s="2"/>
      <c r="AM68" s="2"/>
      <c r="AN68" s="5"/>
      <c r="AP68" s="2"/>
      <c r="AQ68" s="2"/>
      <c r="AR68" s="2"/>
    </row>
    <row r="69" spans="1:44" x14ac:dyDescent="0.2">
      <c r="A69" s="62" t="s">
        <v>11008</v>
      </c>
      <c r="B69" s="133" t="str">
        <f>[68]Summary!$G$3</f>
        <v>≠ UT</v>
      </c>
      <c r="C69" s="144">
        <f>[68]Summary!$E$1</f>
        <v>4</v>
      </c>
      <c r="D69" s="42">
        <f>[68]Summary!$C$34</f>
        <v>6.6435256197489551E-2</v>
      </c>
      <c r="E69" s="42">
        <f>[68]Summary!$E$34/100</f>
        <v>6.6435256197489564E-2</v>
      </c>
      <c r="F69" s="42">
        <f>[68]Summary!$C$36</f>
        <v>0.53472296414186282</v>
      </c>
      <c r="G69" s="42">
        <f>[68]Summary!$C$32</f>
        <v>0</v>
      </c>
      <c r="H69" s="42">
        <f>[68]Summary!$E$6/100</f>
        <v>0.188723216770432</v>
      </c>
      <c r="I69" s="42">
        <f>[68]Summary!$E$10/100</f>
        <v>2.4727651742244149E-3</v>
      </c>
      <c r="J69" s="42">
        <f>[68]Summary!$E$14/100</f>
        <v>7.7776726346302991E-2</v>
      </c>
      <c r="K69" s="42">
        <f>[68]Summary!$C$40</f>
        <v>0.23341990372194193</v>
      </c>
      <c r="L69" s="42">
        <f>[68]Summary!$C$54</f>
        <v>0</v>
      </c>
      <c r="M69" s="42">
        <f>'[68]Glbl Expsr'!$D$2</f>
        <v>0.38630357641028418</v>
      </c>
      <c r="N69" s="132">
        <f>'[68]Glbl Expsr'!$D$3</f>
        <v>7.708470969524707E-2</v>
      </c>
      <c r="O69" s="135" t="s">
        <v>11163</v>
      </c>
      <c r="P69" s="45" t="s">
        <v>11081</v>
      </c>
      <c r="Q69" s="3"/>
      <c r="R69" s="4"/>
      <c r="S69" s="5"/>
      <c r="T69" s="5"/>
      <c r="U69" s="1"/>
      <c r="V69" s="2"/>
      <c r="W69" s="6"/>
      <c r="AG69" s="4"/>
      <c r="AH69" s="4"/>
      <c r="AI69" s="2"/>
      <c r="AJ69" s="4"/>
      <c r="AK69" s="2"/>
      <c r="AL69" s="2"/>
      <c r="AM69" s="2"/>
      <c r="AN69" s="5"/>
      <c r="AP69" s="2"/>
      <c r="AQ69" s="2"/>
      <c r="AR69" s="2"/>
    </row>
    <row r="70" spans="1:44" x14ac:dyDescent="0.2">
      <c r="A70" s="62" t="s">
        <v>11147</v>
      </c>
      <c r="B70" s="133" t="str">
        <f>[69]Summary!$G$3</f>
        <v>≠ UT</v>
      </c>
      <c r="C70" s="144">
        <f>[69]Summary!$E$1</f>
        <v>0</v>
      </c>
      <c r="D70" s="42">
        <f>[69]Summary!$C$34</f>
        <v>2.2616534359339989E-4</v>
      </c>
      <c r="E70" s="42">
        <f>[69]Summary!$E$34/100</f>
        <v>2.2616534359339989E-4</v>
      </c>
      <c r="F70" s="42">
        <f>[69]Summary!$C$36</f>
        <v>0</v>
      </c>
      <c r="G70" s="42">
        <f>[69]Summary!$C$32</f>
        <v>0</v>
      </c>
      <c r="H70" s="42">
        <f>[69]Summary!$E$6/100</f>
        <v>0</v>
      </c>
      <c r="I70" s="42">
        <f>[69]Summary!$E$10/100</f>
        <v>0</v>
      </c>
      <c r="J70" s="42">
        <f>[69]Summary!$E$14/100</f>
        <v>0</v>
      </c>
      <c r="K70" s="42">
        <f>[69]Summary!$C$40</f>
        <v>0</v>
      </c>
      <c r="L70" s="42">
        <f>[69]Summary!$C$54</f>
        <v>0</v>
      </c>
      <c r="M70" s="42">
        <f>'[69]Glbl Expsr'!$D$2</f>
        <v>0</v>
      </c>
      <c r="N70" s="132">
        <f>'[69]Glbl Expsr'!$D$3</f>
        <v>0</v>
      </c>
      <c r="O70" s="137" t="s">
        <v>11178</v>
      </c>
      <c r="P70" s="137" t="s">
        <v>11179</v>
      </c>
      <c r="Q70" s="3"/>
      <c r="R70" s="4"/>
      <c r="S70" s="5"/>
      <c r="T70" s="5"/>
      <c r="U70" s="1"/>
      <c r="V70" s="2"/>
      <c r="W70" s="6"/>
      <c r="AG70" s="4"/>
      <c r="AH70" s="4"/>
      <c r="AI70" s="2"/>
      <c r="AJ70" s="4"/>
      <c r="AK70" s="2"/>
      <c r="AL70" s="2"/>
      <c r="AM70" s="2"/>
      <c r="AN70" s="5"/>
      <c r="AP70" s="2"/>
      <c r="AQ70" s="2"/>
      <c r="AR70" s="2"/>
    </row>
    <row r="71" spans="1:44" x14ac:dyDescent="0.2">
      <c r="A71" s="62" t="s">
        <v>11001</v>
      </c>
      <c r="B71" s="133" t="str">
        <f>[70]Summary!$G$3</f>
        <v>≠ UT</v>
      </c>
      <c r="C71" s="144">
        <f>[70]Summary!$E$1</f>
        <v>0</v>
      </c>
      <c r="D71" s="42">
        <f>[70]Summary!$C$34</f>
        <v>1.3665616217637087E-3</v>
      </c>
      <c r="E71" s="42">
        <f>[70]Summary!$E$34/100</f>
        <v>1.366561621763709E-3</v>
      </c>
      <c r="F71" s="42">
        <f>[70]Summary!$C$36</f>
        <v>0.20375182256396532</v>
      </c>
      <c r="G71" s="42">
        <f>[70]Summary!$C$32</f>
        <v>0</v>
      </c>
      <c r="H71" s="42">
        <f>[70]Summary!$E$6/100</f>
        <v>0</v>
      </c>
      <c r="I71" s="42">
        <f>[70]Summary!$E$10/100</f>
        <v>0.17560308968043897</v>
      </c>
      <c r="J71" s="42">
        <f>[70]Summary!$E$14/100</f>
        <v>0.41816658454898453</v>
      </c>
      <c r="K71" s="42">
        <f>[70]Summary!$C$40</f>
        <v>0.79488161581427086</v>
      </c>
      <c r="L71" s="42">
        <f>[70]Summary!$C$54</f>
        <v>28.540720045533892</v>
      </c>
      <c r="M71" s="42">
        <f>'[70]Glbl Expsr'!$D$2</f>
        <v>0</v>
      </c>
      <c r="N71" s="132">
        <f>'[70]Glbl Expsr'!$D$3</f>
        <v>0</v>
      </c>
      <c r="O71" s="135" t="s">
        <v>11156</v>
      </c>
      <c r="P71" s="45" t="s">
        <v>11074</v>
      </c>
      <c r="Q71" s="3"/>
      <c r="R71" s="4"/>
      <c r="S71" s="5"/>
      <c r="T71" s="5"/>
      <c r="U71" s="1"/>
      <c r="V71" s="2"/>
      <c r="W71" s="6"/>
      <c r="AG71" s="4"/>
      <c r="AH71" s="4"/>
      <c r="AI71" s="2"/>
      <c r="AJ71" s="4"/>
      <c r="AK71" s="2"/>
      <c r="AL71" s="2"/>
      <c r="AM71" s="2"/>
      <c r="AN71" s="5"/>
      <c r="AP71" s="2"/>
      <c r="AQ71" s="2"/>
      <c r="AR71" s="2"/>
    </row>
    <row r="72" spans="1:44" x14ac:dyDescent="0.2">
      <c r="A72" s="62" t="s">
        <v>10998</v>
      </c>
      <c r="B72" s="133" t="str">
        <f>[71]Summary!$G$3</f>
        <v>≠ UT</v>
      </c>
      <c r="C72" s="144">
        <f>[71]Summary!$E$1</f>
        <v>0</v>
      </c>
      <c r="D72" s="42">
        <f>[71]Summary!$C$34</f>
        <v>3.3739814544855619E-3</v>
      </c>
      <c r="E72" s="42">
        <f>[71]Summary!$E$34/100</f>
        <v>3.3739814544855619E-3</v>
      </c>
      <c r="F72" s="42">
        <f>[71]Summary!$C$36</f>
        <v>0.94846202065348939</v>
      </c>
      <c r="G72" s="42">
        <f>[71]Summary!$C$32</f>
        <v>0</v>
      </c>
      <c r="H72" s="42">
        <f>[71]Summary!$E$6/100</f>
        <v>0</v>
      </c>
      <c r="I72" s="42">
        <f>[71]Summary!$E$10/100</f>
        <v>0</v>
      </c>
      <c r="J72" s="42">
        <f>[71]Summary!$E$14/100</f>
        <v>0</v>
      </c>
      <c r="K72" s="42">
        <f>[71]Summary!$C$40</f>
        <v>0</v>
      </c>
      <c r="L72" s="42">
        <f>[71]Summary!$C$54</f>
        <v>0</v>
      </c>
      <c r="M72" s="42">
        <f>'[71]Glbl Expsr'!$D$2</f>
        <v>0</v>
      </c>
      <c r="N72" s="132">
        <f>'[71]Glbl Expsr'!$D$3</f>
        <v>0</v>
      </c>
      <c r="O72" s="135" t="s">
        <v>11153</v>
      </c>
      <c r="P72" s="45" t="s">
        <v>11071</v>
      </c>
      <c r="Q72" s="3"/>
      <c r="R72" s="4"/>
      <c r="S72" s="5"/>
      <c r="T72" s="5"/>
      <c r="U72" s="1"/>
      <c r="V72" s="2"/>
      <c r="W72" s="6"/>
      <c r="AG72" s="4"/>
      <c r="AH72" s="4"/>
      <c r="AI72" s="2"/>
      <c r="AJ72" s="4"/>
      <c r="AK72" s="2"/>
      <c r="AL72" s="2"/>
      <c r="AM72" s="2"/>
      <c r="AN72" s="5"/>
      <c r="AP72" s="2"/>
      <c r="AQ72" s="2"/>
      <c r="AR72" s="2"/>
    </row>
    <row r="73" spans="1:44" x14ac:dyDescent="0.2">
      <c r="A73" s="62" t="s">
        <v>11056</v>
      </c>
      <c r="B73" s="133" t="str">
        <f>[72]Summary!$G$3</f>
        <v>≠ UT</v>
      </c>
      <c r="C73" s="144">
        <f>[72]Summary!$E$1</f>
        <v>0</v>
      </c>
      <c r="D73" s="42">
        <f>[72]Summary!$C$34</f>
        <v>3.773542327480609E-3</v>
      </c>
      <c r="E73" s="42">
        <f>[72]Summary!$E$34/100</f>
        <v>3.773542327480609E-3</v>
      </c>
      <c r="F73" s="42">
        <f>[72]Summary!$C$36</f>
        <v>0</v>
      </c>
      <c r="G73" s="42">
        <f>[72]Summary!$C$32</f>
        <v>0</v>
      </c>
      <c r="H73" s="42">
        <f>[72]Summary!$E$6/100</f>
        <v>0</v>
      </c>
      <c r="I73" s="42">
        <f>[72]Summary!$E$10/100</f>
        <v>0.40608401499598701</v>
      </c>
      <c r="J73" s="42">
        <f>[72]Summary!$E$14/100</f>
        <v>0.91193661568819862</v>
      </c>
      <c r="K73" s="42">
        <f>[72]Summary!$C$40</f>
        <v>0.99622645767251916</v>
      </c>
      <c r="L73" s="42">
        <f>[72]Summary!$C$54</f>
        <v>0</v>
      </c>
      <c r="M73" s="42">
        <f>'[72]Glbl Expsr'!$D$2</f>
        <v>0</v>
      </c>
      <c r="N73" s="132">
        <f>'[72]Glbl Expsr'!$D$3</f>
        <v>0</v>
      </c>
      <c r="O73" s="135" t="s">
        <v>11216</v>
      </c>
      <c r="P73" s="45" t="s">
        <v>11129</v>
      </c>
      <c r="Q73" s="3"/>
      <c r="R73" s="4"/>
      <c r="S73" s="5"/>
      <c r="T73" s="5"/>
      <c r="U73" s="1"/>
      <c r="V73" s="2"/>
      <c r="W73" s="6"/>
      <c r="AG73" s="4"/>
      <c r="AH73" s="4"/>
      <c r="AI73" s="2"/>
      <c r="AJ73" s="4"/>
      <c r="AK73" s="2"/>
      <c r="AL73" s="2"/>
      <c r="AM73" s="2"/>
      <c r="AN73" s="5"/>
      <c r="AP73" s="2"/>
      <c r="AQ73" s="2"/>
      <c r="AR73" s="2"/>
    </row>
    <row r="74" spans="1:44" x14ac:dyDescent="0.2">
      <c r="A74" s="62" t="s">
        <v>11000</v>
      </c>
      <c r="B74" s="133" t="str">
        <f>[73]Summary!$G$3</f>
        <v>≠ UT</v>
      </c>
      <c r="C74" s="144">
        <f>[73]Summary!$E$1</f>
        <v>0</v>
      </c>
      <c r="D74" s="42">
        <f>[73]Summary!$C$34</f>
        <v>0.24908775363343993</v>
      </c>
      <c r="E74" s="42">
        <f>[73]Summary!$E$34/100</f>
        <v>0.24908775363343991</v>
      </c>
      <c r="F74" s="42">
        <f>[73]Summary!$C$36</f>
        <v>0.69915416114403695</v>
      </c>
      <c r="G74" s="42">
        <f>[73]Summary!$C$32</f>
        <v>0</v>
      </c>
      <c r="H74" s="42">
        <f>[73]Summary!$E$6/100</f>
        <v>8.4928237555884106E-2</v>
      </c>
      <c r="I74" s="42">
        <f>[73]Summary!$E$10/100</f>
        <v>0</v>
      </c>
      <c r="J74" s="42">
        <f>[73]Summary!$E$14/100</f>
        <v>0</v>
      </c>
      <c r="K74" s="42">
        <f>[73]Summary!$C$40</f>
        <v>5.170602421472574E-2</v>
      </c>
      <c r="L74" s="42">
        <f>[73]Summary!$C$54</f>
        <v>0</v>
      </c>
      <c r="M74" s="42">
        <f>'[73]Glbl Expsr'!$D$2</f>
        <v>0</v>
      </c>
      <c r="N74" s="132">
        <f>'[73]Glbl Expsr'!$D$3</f>
        <v>0</v>
      </c>
      <c r="O74" s="137" t="s">
        <v>11155</v>
      </c>
      <c r="P74" s="137" t="s">
        <v>11073</v>
      </c>
      <c r="Q74" s="3"/>
      <c r="R74" s="4"/>
      <c r="S74" s="5"/>
      <c r="T74" s="5"/>
      <c r="U74" s="1"/>
      <c r="V74" s="2"/>
      <c r="W74" s="6"/>
      <c r="AG74" s="4"/>
      <c r="AH74" s="4"/>
      <c r="AI74" s="2"/>
      <c r="AJ74" s="4"/>
      <c r="AK74" s="2"/>
      <c r="AL74" s="2"/>
      <c r="AM74" s="2"/>
      <c r="AN74" s="5"/>
      <c r="AP74" s="2"/>
      <c r="AQ74" s="2"/>
      <c r="AR74" s="2"/>
    </row>
    <row r="75" spans="1:44" x14ac:dyDescent="0.2">
      <c r="A75" s="62" t="s">
        <v>11042</v>
      </c>
      <c r="B75" s="133" t="str">
        <f>[74]Summary!$G$3</f>
        <v>≠ UT</v>
      </c>
      <c r="C75" s="144">
        <f>[74]Summary!$E$1</f>
        <v>0</v>
      </c>
      <c r="D75" s="42">
        <f>[74]Summary!$C$34</f>
        <v>0.35447371101694414</v>
      </c>
      <c r="E75" s="42">
        <f>[74]Summary!$E$34/100</f>
        <v>0.35447371101694414</v>
      </c>
      <c r="F75" s="42">
        <f>[74]Summary!$C$36</f>
        <v>0.59734229462308497</v>
      </c>
      <c r="G75" s="42">
        <f>[74]Summary!$C$32</f>
        <v>0</v>
      </c>
      <c r="H75" s="42">
        <f>[74]Summary!$E$6/100</f>
        <v>8.616934644436347E-2</v>
      </c>
      <c r="I75" s="42">
        <f>[74]Summary!$E$10/100</f>
        <v>0</v>
      </c>
      <c r="J75" s="42">
        <f>[74]Summary!$E$14/100</f>
        <v>0</v>
      </c>
      <c r="K75" s="42">
        <f>[74]Summary!$C$40</f>
        <v>4.8135573110101533E-2</v>
      </c>
      <c r="L75" s="42">
        <f>[74]Summary!$C$54</f>
        <v>0</v>
      </c>
      <c r="M75" s="42">
        <f>'[74]Glbl Expsr'!$D$2</f>
        <v>0</v>
      </c>
      <c r="N75" s="132">
        <f>'[74]Glbl Expsr'!$D$3</f>
        <v>0</v>
      </c>
      <c r="O75" s="137" t="s">
        <v>11202</v>
      </c>
      <c r="P75" s="137" t="s">
        <v>11115</v>
      </c>
      <c r="Q75" s="3"/>
      <c r="R75" s="4"/>
      <c r="S75" s="5"/>
      <c r="T75" s="5"/>
      <c r="U75" s="1"/>
      <c r="V75" s="2"/>
      <c r="W75" s="6"/>
      <c r="AG75" s="4"/>
      <c r="AH75" s="4"/>
      <c r="AI75" s="2"/>
      <c r="AJ75" s="4"/>
      <c r="AK75" s="2"/>
      <c r="AL75" s="2"/>
      <c r="AM75" s="2"/>
      <c r="AN75" s="5"/>
      <c r="AP75" s="2"/>
      <c r="AQ75" s="2"/>
      <c r="AR75" s="2"/>
    </row>
    <row r="76" spans="1:44" x14ac:dyDescent="0.2">
      <c r="A76" s="62" t="s">
        <v>11007</v>
      </c>
      <c r="B76" s="133" t="str">
        <f>[75]Summary!$G$3</f>
        <v>≠ UT</v>
      </c>
      <c r="C76" s="144">
        <f>[75]Summary!$E$1</f>
        <v>0</v>
      </c>
      <c r="D76" s="42">
        <f>[75]Summary!$C$34</f>
        <v>0.44461666237146935</v>
      </c>
      <c r="E76" s="42">
        <f>[75]Summary!$E$34/100</f>
        <v>0.44461666237146935</v>
      </c>
      <c r="F76" s="42">
        <f>[75]Summary!$C$36</f>
        <v>0.55538333762853076</v>
      </c>
      <c r="G76" s="42">
        <f>[75]Summary!$C$32</f>
        <v>0</v>
      </c>
      <c r="H76" s="42">
        <f>[75]Summary!$E$6/100</f>
        <v>0.25836517033875822</v>
      </c>
      <c r="I76" s="42">
        <f>[75]Summary!$E$10/100</f>
        <v>0</v>
      </c>
      <c r="J76" s="42">
        <f>[75]Summary!$E$14/100</f>
        <v>0</v>
      </c>
      <c r="K76" s="42">
        <f>[75]Summary!$C$40</f>
        <v>0</v>
      </c>
      <c r="L76" s="42">
        <f>[75]Summary!$C$54</f>
        <v>0</v>
      </c>
      <c r="M76" s="42">
        <f>'[75]Glbl Expsr'!$D$2</f>
        <v>0</v>
      </c>
      <c r="N76" s="132">
        <f>'[75]Glbl Expsr'!$D$3</f>
        <v>0</v>
      </c>
      <c r="O76" s="135" t="s">
        <v>11162</v>
      </c>
      <c r="P76" s="45" t="s">
        <v>11080</v>
      </c>
      <c r="Q76" s="3"/>
      <c r="R76" s="4"/>
      <c r="S76" s="5"/>
      <c r="T76" s="5"/>
      <c r="U76" s="1"/>
      <c r="V76" s="2"/>
      <c r="W76" s="6"/>
      <c r="AG76" s="4"/>
      <c r="AH76" s="4"/>
      <c r="AI76" s="2"/>
      <c r="AJ76" s="4"/>
      <c r="AK76" s="2"/>
      <c r="AL76" s="2"/>
      <c r="AM76" s="2"/>
      <c r="AN76" s="5"/>
      <c r="AP76" s="2"/>
      <c r="AQ76" s="2"/>
      <c r="AR76" s="2"/>
    </row>
    <row r="77" spans="1:44" x14ac:dyDescent="0.2">
      <c r="A77" s="62" t="s">
        <v>11017</v>
      </c>
      <c r="B77" s="133" t="str">
        <f>[76]Summary!$G$3</f>
        <v>≠ UT</v>
      </c>
      <c r="C77" s="144">
        <f>[76]Summary!$E$1</f>
        <v>0</v>
      </c>
      <c r="D77" s="42">
        <f>[76]Summary!$C$34</f>
        <v>0.53402459447479511</v>
      </c>
      <c r="E77" s="42">
        <f>[76]Summary!$E$34/100</f>
        <v>0.53402459447479511</v>
      </c>
      <c r="F77" s="42">
        <f>[76]Summary!$C$36</f>
        <v>0.32152803490837717</v>
      </c>
      <c r="G77" s="42">
        <f>[76]Summary!$C$32</f>
        <v>0</v>
      </c>
      <c r="H77" s="42">
        <f>[76]Summary!$E$6/100</f>
        <v>0.11023489235247853</v>
      </c>
      <c r="I77" s="42">
        <f>[76]Summary!$E$10/100</f>
        <v>0</v>
      </c>
      <c r="J77" s="42">
        <f>[76]Summary!$E$14/100</f>
        <v>0</v>
      </c>
      <c r="K77" s="42">
        <f>[76]Summary!$C$40</f>
        <v>9.470644618175672E-2</v>
      </c>
      <c r="L77" s="42">
        <f>[76]Summary!$C$54</f>
        <v>0</v>
      </c>
      <c r="M77" s="42">
        <f>'[76]Glbl Expsr'!$D$2</f>
        <v>0</v>
      </c>
      <c r="N77" s="132">
        <f>'[76]Glbl Expsr'!$D$3</f>
        <v>0</v>
      </c>
      <c r="O77" s="137" t="s">
        <v>11172</v>
      </c>
      <c r="P77" s="137" t="s">
        <v>11090</v>
      </c>
      <c r="Q77" s="3"/>
      <c r="R77" s="4"/>
      <c r="S77" s="5"/>
      <c r="T77" s="5"/>
      <c r="U77" s="1"/>
      <c r="V77" s="2"/>
      <c r="W77" s="6"/>
      <c r="AG77" s="4"/>
      <c r="AH77" s="4"/>
      <c r="AI77" s="2"/>
      <c r="AJ77" s="4"/>
      <c r="AK77" s="2"/>
      <c r="AL77" s="2"/>
      <c r="AM77" s="2"/>
      <c r="AN77" s="5"/>
      <c r="AP77" s="2"/>
      <c r="AQ77" s="2"/>
      <c r="AR77" s="2"/>
    </row>
    <row r="78" spans="1:44" x14ac:dyDescent="0.2">
      <c r="H78" s="1"/>
      <c r="I78" s="2"/>
      <c r="J78" s="2"/>
      <c r="K78" s="2"/>
      <c r="L78" s="2"/>
      <c r="M78" s="2"/>
      <c r="N78" s="134"/>
      <c r="O78" s="2"/>
      <c r="P78" s="2"/>
      <c r="Q78" s="3"/>
      <c r="R78" s="4"/>
      <c r="S78" s="5"/>
      <c r="T78" s="5"/>
      <c r="U78" s="1"/>
      <c r="V78" s="2"/>
      <c r="W78" s="6"/>
      <c r="AG78" s="4"/>
      <c r="AH78" s="4"/>
      <c r="AI78" s="2"/>
      <c r="AJ78" s="4"/>
      <c r="AK78" s="2"/>
      <c r="AL78" s="2"/>
      <c r="AM78" s="2"/>
      <c r="AN78" s="5"/>
      <c r="AP78" s="2"/>
      <c r="AQ78" s="2"/>
      <c r="AR78" s="2"/>
    </row>
    <row r="79" spans="1:44" x14ac:dyDescent="0.2">
      <c r="H79" s="1"/>
      <c r="I79" s="2"/>
      <c r="J79" s="2"/>
      <c r="K79" s="2"/>
      <c r="L79" s="2"/>
      <c r="M79" s="2"/>
      <c r="N79" s="134"/>
      <c r="O79" s="2"/>
      <c r="P79" s="2"/>
      <c r="Q79" s="3"/>
      <c r="R79" s="4"/>
      <c r="S79" s="5"/>
      <c r="T79" s="5"/>
      <c r="U79" s="1"/>
      <c r="V79" s="2"/>
      <c r="W79" s="6"/>
      <c r="AG79" s="4"/>
      <c r="AH79" s="4"/>
      <c r="AI79" s="2"/>
      <c r="AJ79" s="4"/>
      <c r="AK79" s="2"/>
      <c r="AL79" s="2"/>
      <c r="AM79" s="2"/>
      <c r="AN79" s="5"/>
      <c r="AP79" s="2"/>
      <c r="AQ79" s="2"/>
      <c r="AR79" s="2"/>
    </row>
    <row r="80" spans="1:44" x14ac:dyDescent="0.2">
      <c r="H80" s="1"/>
      <c r="I80" s="2"/>
      <c r="J80" s="2"/>
      <c r="K80" s="2"/>
      <c r="L80" s="2"/>
      <c r="M80" s="2"/>
      <c r="N80" s="134"/>
      <c r="O80" s="2"/>
      <c r="P80" s="2"/>
      <c r="Q80" s="3"/>
      <c r="R80" s="4"/>
      <c r="S80" s="5"/>
      <c r="T80" s="5"/>
      <c r="U80" s="1"/>
      <c r="V80" s="2"/>
      <c r="W80" s="6"/>
      <c r="AG80" s="4"/>
      <c r="AH80" s="4"/>
      <c r="AI80" s="2"/>
      <c r="AJ80" s="4"/>
      <c r="AK80" s="2"/>
      <c r="AL80" s="2"/>
      <c r="AM80" s="2"/>
      <c r="AN80" s="5"/>
      <c r="AP80" s="2"/>
      <c r="AQ80" s="2"/>
      <c r="AR80" s="2"/>
    </row>
    <row r="81" spans="8:44" x14ac:dyDescent="0.2">
      <c r="H81" s="1"/>
      <c r="I81" s="2"/>
      <c r="J81" s="2"/>
      <c r="K81" s="2"/>
      <c r="L81" s="2"/>
      <c r="M81" s="2"/>
      <c r="N81" s="134"/>
      <c r="O81" s="2"/>
      <c r="P81" s="2"/>
      <c r="Q81" s="3"/>
      <c r="R81" s="4"/>
      <c r="S81" s="5"/>
      <c r="T81" s="5"/>
      <c r="U81" s="1"/>
      <c r="V81" s="2"/>
      <c r="W81" s="6"/>
      <c r="AG81" s="4"/>
      <c r="AH81" s="4"/>
      <c r="AI81" s="2"/>
      <c r="AJ81" s="4"/>
      <c r="AK81" s="2"/>
      <c r="AL81" s="2"/>
      <c r="AM81" s="2"/>
      <c r="AN81" s="5"/>
      <c r="AP81" s="2"/>
      <c r="AQ81" s="2"/>
      <c r="AR81" s="2"/>
    </row>
    <row r="82" spans="8:44" x14ac:dyDescent="0.2">
      <c r="H82" s="1"/>
      <c r="I82" s="2"/>
      <c r="J82" s="2"/>
      <c r="K82" s="2"/>
      <c r="L82" s="2"/>
      <c r="M82" s="2"/>
      <c r="N82" s="134"/>
      <c r="O82" s="2"/>
      <c r="P82" s="2"/>
      <c r="Q82" s="3"/>
      <c r="R82" s="4"/>
      <c r="S82" s="5"/>
      <c r="T82" s="5"/>
      <c r="U82" s="1"/>
      <c r="V82" s="2"/>
      <c r="W82" s="6"/>
      <c r="AG82" s="4"/>
      <c r="AH82" s="4"/>
      <c r="AI82" s="2"/>
      <c r="AJ82" s="4"/>
      <c r="AK82" s="2"/>
      <c r="AL82" s="2"/>
      <c r="AM82" s="2"/>
      <c r="AN82" s="5"/>
      <c r="AP82" s="2"/>
      <c r="AQ82" s="2"/>
      <c r="AR82" s="2"/>
    </row>
    <row r="83" spans="8:44" x14ac:dyDescent="0.2">
      <c r="H83" s="1"/>
      <c r="I83" s="2"/>
      <c r="J83" s="2"/>
      <c r="K83" s="2"/>
      <c r="L83" s="2"/>
      <c r="M83" s="2"/>
      <c r="N83" s="134"/>
      <c r="O83" s="2"/>
      <c r="P83" s="2"/>
      <c r="Q83" s="3"/>
      <c r="R83" s="4"/>
      <c r="S83" s="5"/>
      <c r="T83" s="5"/>
      <c r="U83" s="1"/>
      <c r="V83" s="2"/>
      <c r="W83" s="6"/>
      <c r="AG83" s="4"/>
      <c r="AH83" s="4"/>
      <c r="AI83" s="2"/>
      <c r="AJ83" s="4"/>
      <c r="AK83" s="2"/>
      <c r="AL83" s="2"/>
      <c r="AM83" s="2"/>
      <c r="AN83" s="5"/>
      <c r="AP83" s="2"/>
      <c r="AQ83" s="2"/>
      <c r="AR83" s="2"/>
    </row>
    <row r="84" spans="8:44" x14ac:dyDescent="0.2">
      <c r="H84" s="1"/>
      <c r="I84" s="2"/>
      <c r="J84" s="2"/>
      <c r="K84" s="2"/>
      <c r="L84" s="2"/>
      <c r="M84" s="2"/>
      <c r="N84" s="134"/>
      <c r="O84" s="2"/>
      <c r="P84" s="2"/>
      <c r="Q84" s="3"/>
      <c r="R84" s="4"/>
      <c r="S84" s="5"/>
      <c r="T84" s="5"/>
      <c r="U84" s="1"/>
      <c r="V84" s="2"/>
      <c r="W84" s="6"/>
      <c r="AG84" s="4"/>
      <c r="AH84" s="4"/>
      <c r="AI84" s="2"/>
      <c r="AJ84" s="4"/>
      <c r="AK84" s="2"/>
      <c r="AL84" s="2"/>
      <c r="AM84" s="2"/>
      <c r="AN84" s="5"/>
      <c r="AP84" s="2"/>
      <c r="AQ84" s="2"/>
      <c r="AR84" s="2"/>
    </row>
    <row r="85" spans="8:44" x14ac:dyDescent="0.2">
      <c r="H85" s="1"/>
      <c r="I85" s="2"/>
      <c r="J85" s="2"/>
      <c r="K85" s="2"/>
      <c r="L85" s="2"/>
      <c r="M85" s="2"/>
      <c r="N85" s="134"/>
      <c r="O85" s="2"/>
      <c r="P85" s="2"/>
      <c r="Q85" s="3"/>
      <c r="R85" s="4"/>
      <c r="S85" s="5"/>
      <c r="T85" s="5"/>
      <c r="U85" s="1"/>
      <c r="V85" s="2"/>
      <c r="W85" s="6"/>
      <c r="AG85" s="4"/>
      <c r="AH85" s="4"/>
      <c r="AI85" s="2"/>
      <c r="AJ85" s="4"/>
      <c r="AK85" s="2"/>
      <c r="AL85" s="2"/>
      <c r="AM85" s="2"/>
      <c r="AN85" s="5"/>
      <c r="AP85" s="2"/>
      <c r="AQ85" s="2"/>
      <c r="AR85" s="2"/>
    </row>
    <row r="86" spans="8:44" x14ac:dyDescent="0.2">
      <c r="H86" s="1"/>
      <c r="I86" s="2"/>
      <c r="J86" s="2"/>
      <c r="K86" s="2"/>
      <c r="L86" s="2"/>
      <c r="M86" s="2"/>
      <c r="N86" s="134"/>
      <c r="O86" s="2"/>
      <c r="P86" s="2"/>
      <c r="Q86" s="3"/>
      <c r="R86" s="4"/>
      <c r="S86" s="5"/>
      <c r="T86" s="5"/>
      <c r="U86" s="1"/>
      <c r="V86" s="2"/>
      <c r="W86" s="6"/>
      <c r="AG86" s="4"/>
      <c r="AH86" s="4"/>
      <c r="AI86" s="2"/>
      <c r="AJ86" s="4"/>
      <c r="AK86" s="2"/>
      <c r="AL86" s="2"/>
      <c r="AM86" s="2"/>
      <c r="AN86" s="5"/>
      <c r="AP86" s="2"/>
      <c r="AQ86" s="2"/>
      <c r="AR86" s="2"/>
    </row>
    <row r="87" spans="8:44" x14ac:dyDescent="0.2">
      <c r="H87" s="1"/>
      <c r="I87" s="2"/>
      <c r="J87" s="2"/>
      <c r="K87" s="2"/>
      <c r="L87" s="2"/>
      <c r="M87" s="2"/>
      <c r="N87" s="134"/>
      <c r="O87" s="2"/>
      <c r="P87" s="2"/>
      <c r="Q87" s="3"/>
      <c r="R87" s="4"/>
      <c r="S87" s="5"/>
      <c r="T87" s="5"/>
      <c r="U87" s="1"/>
      <c r="V87" s="2"/>
      <c r="W87" s="6"/>
      <c r="AG87" s="4"/>
      <c r="AH87" s="4"/>
      <c r="AI87" s="2"/>
      <c r="AJ87" s="4"/>
      <c r="AK87" s="2"/>
      <c r="AL87" s="2"/>
      <c r="AM87" s="2"/>
      <c r="AN87" s="5"/>
      <c r="AP87" s="2"/>
      <c r="AQ87" s="2"/>
      <c r="AR87" s="2"/>
    </row>
    <row r="88" spans="8:44" x14ac:dyDescent="0.2">
      <c r="H88" s="1"/>
      <c r="I88" s="2"/>
      <c r="J88" s="2"/>
      <c r="K88" s="2"/>
      <c r="L88" s="2"/>
      <c r="M88" s="2"/>
      <c r="N88" s="134"/>
      <c r="O88" s="2"/>
      <c r="P88" s="2"/>
      <c r="Q88" s="3"/>
      <c r="R88" s="4"/>
      <c r="S88" s="5"/>
      <c r="T88" s="5"/>
      <c r="U88" s="1"/>
      <c r="V88" s="2"/>
      <c r="W88" s="6"/>
      <c r="AG88" s="4"/>
      <c r="AH88" s="4"/>
      <c r="AI88" s="2"/>
      <c r="AJ88" s="4"/>
      <c r="AK88" s="2"/>
      <c r="AL88" s="2"/>
      <c r="AM88" s="2"/>
      <c r="AN88" s="5"/>
      <c r="AP88" s="2"/>
      <c r="AQ88" s="2"/>
      <c r="AR88" s="2"/>
    </row>
    <row r="89" spans="8:44" x14ac:dyDescent="0.2">
      <c r="H89" s="1"/>
      <c r="I89" s="2"/>
      <c r="J89" s="2"/>
      <c r="K89" s="2"/>
      <c r="L89" s="2"/>
      <c r="M89" s="2"/>
      <c r="N89" s="134"/>
      <c r="O89" s="2"/>
      <c r="P89" s="2"/>
      <c r="Q89" s="3"/>
      <c r="R89" s="4"/>
      <c r="S89" s="5"/>
      <c r="T89" s="5"/>
      <c r="U89" s="1"/>
      <c r="V89" s="2"/>
      <c r="W89" s="6"/>
      <c r="AG89" s="4"/>
      <c r="AH89" s="4"/>
      <c r="AI89" s="2"/>
      <c r="AJ89" s="4"/>
      <c r="AK89" s="2"/>
      <c r="AL89" s="2"/>
      <c r="AM89" s="2"/>
      <c r="AN89" s="5"/>
      <c r="AP89" s="2"/>
      <c r="AQ89" s="2"/>
      <c r="AR89" s="2"/>
    </row>
    <row r="90" spans="8:44" x14ac:dyDescent="0.2">
      <c r="H90" s="1"/>
      <c r="I90" s="2"/>
      <c r="J90" s="2"/>
      <c r="K90" s="2"/>
      <c r="L90" s="2"/>
      <c r="M90" s="2"/>
      <c r="N90" s="134"/>
      <c r="O90" s="2"/>
      <c r="P90" s="2"/>
      <c r="Q90" s="3"/>
      <c r="R90" s="4"/>
      <c r="S90" s="5"/>
      <c r="T90" s="5"/>
      <c r="U90" s="1"/>
      <c r="V90" s="2"/>
      <c r="W90" s="6"/>
      <c r="AG90" s="4"/>
      <c r="AH90" s="4"/>
      <c r="AI90" s="2"/>
      <c r="AJ90" s="4"/>
      <c r="AK90" s="2"/>
      <c r="AL90" s="2"/>
      <c r="AM90" s="2"/>
      <c r="AN90" s="5"/>
      <c r="AP90" s="2"/>
      <c r="AQ90" s="2"/>
      <c r="AR90" s="2"/>
    </row>
    <row r="91" spans="8:44" x14ac:dyDescent="0.2">
      <c r="H91" s="1"/>
      <c r="I91" s="2"/>
      <c r="J91" s="2"/>
      <c r="K91" s="2"/>
      <c r="L91" s="2"/>
      <c r="M91" s="2"/>
      <c r="N91" s="134"/>
      <c r="O91" s="2"/>
      <c r="P91" s="2"/>
      <c r="Q91" s="3"/>
      <c r="R91" s="4"/>
      <c r="S91" s="5"/>
      <c r="T91" s="5"/>
      <c r="U91" s="1"/>
      <c r="V91" s="2"/>
      <c r="W91" s="6"/>
      <c r="AG91" s="4"/>
      <c r="AH91" s="4"/>
      <c r="AI91" s="2"/>
      <c r="AJ91" s="4"/>
      <c r="AK91" s="2"/>
      <c r="AL91" s="2"/>
      <c r="AM91" s="2"/>
      <c r="AN91" s="5"/>
      <c r="AP91" s="2"/>
      <c r="AQ91" s="2"/>
      <c r="AR91" s="2"/>
    </row>
    <row r="92" spans="8:44" x14ac:dyDescent="0.2">
      <c r="H92" s="1"/>
      <c r="I92" s="2"/>
      <c r="J92" s="2"/>
      <c r="K92" s="2"/>
      <c r="L92" s="2"/>
      <c r="M92" s="2"/>
      <c r="N92" s="134"/>
      <c r="O92" s="2"/>
      <c r="P92" s="2"/>
      <c r="Q92" s="3"/>
      <c r="R92" s="4"/>
      <c r="S92" s="5"/>
      <c r="T92" s="5"/>
      <c r="U92" s="1"/>
      <c r="V92" s="2"/>
      <c r="W92" s="6"/>
      <c r="AG92" s="4"/>
      <c r="AH92" s="4"/>
      <c r="AI92" s="2"/>
      <c r="AJ92" s="4"/>
      <c r="AK92" s="2"/>
      <c r="AL92" s="2"/>
      <c r="AM92" s="2"/>
      <c r="AN92" s="5"/>
      <c r="AP92" s="2"/>
      <c r="AQ92" s="2"/>
      <c r="AR92" s="2"/>
    </row>
    <row r="93" spans="8:44" x14ac:dyDescent="0.2">
      <c r="H93" s="1"/>
      <c r="I93" s="2"/>
      <c r="J93" s="2"/>
      <c r="K93" s="2"/>
      <c r="L93" s="2"/>
      <c r="M93" s="2"/>
      <c r="N93" s="134"/>
      <c r="O93" s="2"/>
      <c r="P93" s="2"/>
      <c r="Q93" s="3"/>
      <c r="R93" s="4"/>
      <c r="S93" s="5"/>
      <c r="T93" s="5"/>
      <c r="U93" s="1"/>
      <c r="V93" s="2"/>
      <c r="W93" s="6"/>
      <c r="AG93" s="4"/>
      <c r="AH93" s="4"/>
      <c r="AI93" s="2"/>
      <c r="AJ93" s="4"/>
      <c r="AK93" s="2"/>
      <c r="AL93" s="2"/>
      <c r="AM93" s="2"/>
      <c r="AN93" s="5"/>
      <c r="AP93" s="2"/>
      <c r="AQ93" s="2"/>
      <c r="AR93" s="2"/>
    </row>
    <row r="94" spans="8:44" x14ac:dyDescent="0.2">
      <c r="H94" s="1"/>
      <c r="I94" s="2"/>
      <c r="J94" s="2"/>
      <c r="K94" s="2"/>
      <c r="L94" s="2"/>
      <c r="M94" s="2"/>
      <c r="N94" s="134"/>
      <c r="O94" s="2"/>
      <c r="P94" s="2"/>
      <c r="Q94" s="3"/>
      <c r="R94" s="4"/>
      <c r="S94" s="5"/>
      <c r="T94" s="5"/>
      <c r="U94" s="1"/>
      <c r="V94" s="2"/>
      <c r="W94" s="6"/>
      <c r="AG94" s="4"/>
      <c r="AH94" s="4"/>
      <c r="AI94" s="2"/>
      <c r="AJ94" s="4"/>
      <c r="AK94" s="2"/>
      <c r="AL94" s="2"/>
      <c r="AM94" s="2"/>
      <c r="AN94" s="5"/>
      <c r="AP94" s="2"/>
      <c r="AQ94" s="2"/>
      <c r="AR94" s="2"/>
    </row>
    <row r="95" spans="8:44" x14ac:dyDescent="0.2">
      <c r="H95" s="1"/>
      <c r="I95" s="2"/>
      <c r="J95" s="2"/>
      <c r="K95" s="2"/>
      <c r="L95" s="2"/>
      <c r="M95" s="2"/>
      <c r="N95" s="134"/>
      <c r="O95" s="2"/>
      <c r="P95" s="2"/>
      <c r="Q95" s="3"/>
      <c r="R95" s="4"/>
      <c r="S95" s="5"/>
      <c r="T95" s="5"/>
      <c r="U95" s="1"/>
      <c r="V95" s="2"/>
      <c r="W95" s="6"/>
      <c r="AG95" s="4"/>
      <c r="AH95" s="4"/>
      <c r="AI95" s="2"/>
      <c r="AJ95" s="4"/>
      <c r="AK95" s="2"/>
      <c r="AL95" s="2"/>
      <c r="AM95" s="2"/>
      <c r="AN95" s="5"/>
      <c r="AP95" s="2"/>
      <c r="AQ95" s="2"/>
      <c r="AR95" s="2"/>
    </row>
    <row r="96" spans="8:44" x14ac:dyDescent="0.2">
      <c r="H96" s="1"/>
      <c r="I96" s="2"/>
      <c r="J96" s="2"/>
      <c r="K96" s="2"/>
      <c r="L96" s="2"/>
      <c r="M96" s="2"/>
      <c r="N96" s="134"/>
      <c r="O96" s="2"/>
      <c r="P96" s="2"/>
      <c r="Q96" s="3"/>
      <c r="R96" s="4"/>
      <c r="S96" s="5"/>
      <c r="T96" s="5"/>
      <c r="U96" s="1"/>
      <c r="V96" s="2"/>
      <c r="W96" s="6"/>
      <c r="AG96" s="4"/>
      <c r="AH96" s="4"/>
      <c r="AI96" s="2"/>
      <c r="AJ96" s="4"/>
      <c r="AK96" s="2"/>
      <c r="AL96" s="2"/>
      <c r="AM96" s="2"/>
      <c r="AN96" s="5"/>
      <c r="AP96" s="2"/>
      <c r="AQ96" s="2"/>
      <c r="AR96" s="2"/>
    </row>
    <row r="97" spans="8:44" x14ac:dyDescent="0.2">
      <c r="H97" s="1"/>
      <c r="I97" s="2"/>
      <c r="J97" s="2"/>
      <c r="K97" s="2"/>
      <c r="L97" s="2"/>
      <c r="M97" s="2"/>
      <c r="N97" s="134"/>
      <c r="O97" s="2"/>
      <c r="P97" s="2"/>
      <c r="Q97" s="3"/>
      <c r="R97" s="4"/>
      <c r="S97" s="5"/>
      <c r="T97" s="5"/>
      <c r="U97" s="1"/>
      <c r="V97" s="2"/>
      <c r="W97" s="6"/>
      <c r="AG97" s="4"/>
      <c r="AH97" s="4"/>
      <c r="AI97" s="2"/>
      <c r="AJ97" s="4"/>
      <c r="AK97" s="2"/>
      <c r="AL97" s="2"/>
      <c r="AM97" s="2"/>
      <c r="AN97" s="5"/>
      <c r="AP97" s="2"/>
      <c r="AQ97" s="2"/>
      <c r="AR97" s="2"/>
    </row>
  </sheetData>
  <autoFilter ref="A1:P77" xr:uid="{AD06E13F-43D2-40AB-922B-4AA4669647F0}">
    <sortState xmlns:xlrd2="http://schemas.microsoft.com/office/spreadsheetml/2017/richdata2" ref="A2:P77">
      <sortCondition ref="F2:F58"/>
    </sortState>
  </autoFilter>
  <sortState xmlns:xlrd2="http://schemas.microsoft.com/office/spreadsheetml/2017/richdata2" ref="A2:P3724">
    <sortCondition descending="1" ref="B1"/>
    <sortCondition descending="1" ref="C1"/>
    <sortCondition ref="D1"/>
  </sortState>
  <phoneticPr fontId="20" type="noConversion"/>
  <conditionalFormatting sqref="D2:J77">
    <cfRule type="cellIs" dxfId="42" priority="1" stopIfTrue="1" operator="lessThan">
      <formula>0</formula>
    </cfRule>
  </conditionalFormatting>
  <conditionalFormatting sqref="M2:M77">
    <cfRule type="cellIs" dxfId="41" priority="2" stopIfTrue="1" operator="greaterThan">
      <formula>1</formula>
    </cfRule>
  </conditionalFormatting>
  <conditionalFormatting sqref="A2:A77">
    <cfRule type="expression" dxfId="40" priority="3" stopIfTrue="1">
      <formula>AND(B2="UT",OR(D2&lt;0,H2&lt;0))</formula>
    </cfRule>
  </conditionalFormatting>
  <hyperlinks>
    <hyperlink ref="O54" r:id="rId1" xr:uid="{A1AF6697-BB4D-463A-A89F-7791379CA0C4}"/>
    <hyperlink ref="P54" r:id="rId2" xr:uid="{3B4F9611-4203-4A7F-890E-26CEC4E0A4F4}"/>
    <hyperlink ref="O68" r:id="rId3" xr:uid="{093B952B-97CE-4833-8491-8D826F43D280}"/>
    <hyperlink ref="P68" r:id="rId4" xr:uid="{BC97EA05-C063-4E3D-892D-D9FFAECE80FA}"/>
    <hyperlink ref="O6" r:id="rId5" xr:uid="{EF77A069-0933-4457-B536-72B0FCC9FB97}"/>
    <hyperlink ref="P6" r:id="rId6" xr:uid="{FC12EFCE-92CF-46E7-A95B-7DA460D9D68C}"/>
    <hyperlink ref="O37" r:id="rId7" xr:uid="{4CDE3E62-ADD7-4BFB-A726-C1020551CD41}"/>
    <hyperlink ref="P37" r:id="rId8" xr:uid="{67259CD8-DD79-4FBA-BD95-E436A9164F1C}"/>
    <hyperlink ref="O15" r:id="rId9" xr:uid="{690BF5C4-3CF4-4FDF-908C-C2D55D43B0F7}"/>
    <hyperlink ref="P15" r:id="rId10" xr:uid="{CF8C4BEE-E041-4269-84A1-31EFF686907B}"/>
    <hyperlink ref="O72" r:id="rId11" xr:uid="{12BAE6DA-980E-428E-B663-F15C94295EA9}"/>
    <hyperlink ref="P72" r:id="rId12" xr:uid="{F969DACD-9EC3-418E-8C60-021C350BA045}"/>
    <hyperlink ref="O53" r:id="rId13" xr:uid="{7FD9F833-65C3-466D-B05E-2EBC26808224}"/>
    <hyperlink ref="P53" r:id="rId14" xr:uid="{8C72E813-12EA-49E9-845A-3D3006EADEDF}"/>
    <hyperlink ref="O74" r:id="rId15" xr:uid="{6760787C-2660-4245-BAFF-3E4B99240B7E}"/>
    <hyperlink ref="P74" r:id="rId16" xr:uid="{7BF6DE8E-FD84-4733-9C1C-87A9A8899FC9}"/>
    <hyperlink ref="O71" r:id="rId17" xr:uid="{C3C78731-0144-48EB-AA75-108466618851}"/>
    <hyperlink ref="P71" r:id="rId18" xr:uid="{7F86927D-8736-4E11-B608-AE7AF3B9ABAF}"/>
    <hyperlink ref="O58" r:id="rId19" xr:uid="{B4F54C69-3336-4463-92BA-B9916AE0BEE7}"/>
    <hyperlink ref="P58" r:id="rId20" xr:uid="{030F3211-D51A-476C-9059-242F5002E764}"/>
    <hyperlink ref="O67" r:id="rId21" xr:uid="{4869D9F4-BD05-4A48-BFF6-4F8EE049F403}"/>
    <hyperlink ref="P67" r:id="rId22" xr:uid="{BFBB8957-49DC-46D8-86D0-B7307B9D34FF}"/>
    <hyperlink ref="O7" r:id="rId23" xr:uid="{5E7B605D-2066-44B8-92C0-B2F346E84956}"/>
    <hyperlink ref="P7" r:id="rId24" xr:uid="{47C068C3-9C75-46EA-99B1-4A644DA37AA8}"/>
    <hyperlink ref="O22" r:id="rId25" xr:uid="{160AB958-328A-46F8-B047-AA42E5882051}"/>
    <hyperlink ref="P22" r:id="rId26" xr:uid="{3A385B4E-3A48-4DE2-B065-77227435E701}"/>
    <hyperlink ref="O26" r:id="rId27" xr:uid="{DDA0C5EC-2F5F-4FEC-8DF9-AE00DB6B7082}"/>
    <hyperlink ref="P26" r:id="rId28" xr:uid="{7CA16867-40AC-4875-B3A2-2F5CCAB431F3}"/>
    <hyperlink ref="O76" r:id="rId29" xr:uid="{F3C4E513-A20F-4271-BB67-540C3F3CBA02}"/>
    <hyperlink ref="P76" r:id="rId30" xr:uid="{41421970-24BC-44A9-A645-301B9C5F2B79}"/>
    <hyperlink ref="O69" r:id="rId31" xr:uid="{74A5C93F-5DBC-4122-B97B-C8DD2F01219C}"/>
    <hyperlink ref="P69" r:id="rId32" xr:uid="{3331E463-1B14-4A20-9798-559069B11FC4}"/>
    <hyperlink ref="O57" r:id="rId33" xr:uid="{F1A1D606-1EBA-42F8-886A-EAE0F0BC8666}"/>
    <hyperlink ref="P57" r:id="rId34" xr:uid="{4A6CF0B2-26EF-431C-B168-091E089ACF33}"/>
    <hyperlink ref="O56" r:id="rId35" xr:uid="{B5396D28-32BE-4F48-AF78-CA35AE466BD4}"/>
    <hyperlink ref="P56" r:id="rId36" xr:uid="{301ED2E0-86DA-4A04-B632-29BBA51410F6}"/>
    <hyperlink ref="O28" r:id="rId37" xr:uid="{E94B306D-1955-42CF-9DB3-746B64A3CF61}"/>
    <hyperlink ref="P28" r:id="rId38" xr:uid="{AF807C92-FC97-4BDE-88DD-8ED9BD7F1F7C}"/>
    <hyperlink ref="O49" r:id="rId39" xr:uid="{834894DE-0D18-42A9-BE6A-18799B9F3C53}"/>
    <hyperlink ref="P49" r:id="rId40" xr:uid="{8A01377B-D2DE-485A-8B30-6106ACE6A015}"/>
    <hyperlink ref="O8" r:id="rId41" xr:uid="{AB850A4F-B3BA-4C97-9F27-33003471F9A4}"/>
    <hyperlink ref="P8" r:id="rId42" xr:uid="{29550A28-9ADF-4DCF-BD87-CAB393694D40}"/>
    <hyperlink ref="O40" r:id="rId43" xr:uid="{A0AD27E5-0D5E-4403-AAF2-4E47EB4A5FB6}"/>
    <hyperlink ref="P40" r:id="rId44" xr:uid="{FA8F3C2D-1F9F-4C6B-A9C2-41B8E1E8EC8B}"/>
    <hyperlink ref="O45" r:id="rId45" xr:uid="{90F71E12-3AA7-479A-90A1-1872B109B0D8}"/>
    <hyperlink ref="P45" r:id="rId46" xr:uid="{7DBBE725-EE56-4544-8483-FA852322F564}"/>
    <hyperlink ref="O64" r:id="rId47" xr:uid="{29125C76-3123-46F9-B2D3-0BDFE7DB2744}"/>
    <hyperlink ref="P64" r:id="rId48" xr:uid="{F5B51C55-87F2-4C75-844D-E0B4DFA64CAB}"/>
    <hyperlink ref="O77" r:id="rId49" xr:uid="{2D3555A6-ADEC-411E-AD4A-15BC488F3858}"/>
    <hyperlink ref="P77" r:id="rId50" xr:uid="{D76C6D32-F773-4462-8D7C-9A3C791897D0}"/>
    <hyperlink ref="O61" r:id="rId51" xr:uid="{312D69DF-825B-4ED0-B1EA-AF87827E4067}"/>
    <hyperlink ref="P61" r:id="rId52" xr:uid="{37CBA93B-C536-496F-A26B-BDC823BD5866}"/>
    <hyperlink ref="O52" r:id="rId53" xr:uid="{642A14B9-55E4-4324-AD14-13574CD395AE}"/>
    <hyperlink ref="P52" r:id="rId54" xr:uid="{D7B9141A-33BF-451A-85F9-C54CE073EB35}"/>
    <hyperlink ref="O65" r:id="rId55" xr:uid="{32AAD92D-051F-4E1F-9F45-D4F2E505E492}"/>
    <hyperlink ref="P65" r:id="rId56" xr:uid="{0F7181CD-90FE-4FC1-8A4F-7E4635A33F3B}"/>
    <hyperlink ref="O60" r:id="rId57" xr:uid="{E8B21C12-6E12-4185-8CDA-384A17E326F7}"/>
    <hyperlink ref="P60" r:id="rId58" xr:uid="{E31F03FB-7B46-4701-A66D-01E3D7BFAF97}"/>
    <hyperlink ref="O33" r:id="rId59" xr:uid="{B4504C46-87C4-4C79-8F37-B49A018CD37A}"/>
    <hyperlink ref="P33" r:id="rId60" xr:uid="{53B462F6-A918-43F8-88D2-256F7690CB20}"/>
    <hyperlink ref="O70" r:id="rId61" xr:uid="{99E97DCB-38B5-44C7-B80D-4A33103B8C42}"/>
    <hyperlink ref="P70" r:id="rId62" xr:uid="{73F2592B-562A-4C6E-808B-0F23274AAAAC}"/>
    <hyperlink ref="O13" r:id="rId63" xr:uid="{F32C07CD-5194-4994-BA2F-D2BA9D45A7EC}"/>
    <hyperlink ref="P13" r:id="rId64" xr:uid="{44198C1E-9500-4A44-B636-F4753BB18816}"/>
    <hyperlink ref="O11" r:id="rId65" xr:uid="{18BB513C-6FE2-41D7-BA99-75CCA37B35A0}"/>
    <hyperlink ref="P11" r:id="rId66" xr:uid="{2B10A2A1-88D4-4FDC-922F-7FC54A7C04CE}"/>
    <hyperlink ref="O3" r:id="rId67" xr:uid="{CFF85DCF-50CD-4CFC-9F94-9ADD58A6CBD0}"/>
    <hyperlink ref="P3" r:id="rId68" xr:uid="{CA7A61D9-480D-44A6-B277-54EF7DE30D7E}"/>
    <hyperlink ref="O9" r:id="rId69" xr:uid="{523F5797-992D-493B-8FC6-A173D32206F6}"/>
    <hyperlink ref="P9" r:id="rId70" xr:uid="{E0169919-D98C-41B8-9CF4-95F48DE1AA49}"/>
    <hyperlink ref="O10" r:id="rId71" xr:uid="{592EBC9B-A5E2-49BF-A675-48BA6D05853C}"/>
    <hyperlink ref="P10" r:id="rId72" xr:uid="{A3DC5564-6E3D-4589-981C-35DF5A35280A}"/>
    <hyperlink ref="O38" r:id="rId73" xr:uid="{4751919A-991C-43F3-A73A-304B1017DE63}"/>
    <hyperlink ref="P38" r:id="rId74" xr:uid="{3587F9EA-C499-48FB-AC6F-F2580F6BA1CB}"/>
    <hyperlink ref="O16" r:id="rId75" xr:uid="{31E34CA3-F79C-43F2-B77F-973E5D5EBC45}"/>
    <hyperlink ref="P16" r:id="rId76" xr:uid="{7C61EAD3-7A41-47C3-8965-2AC7F14677E6}"/>
    <hyperlink ref="O19" r:id="rId77" xr:uid="{FB7C673F-EBC3-482F-B227-998BBB739B88}"/>
    <hyperlink ref="P19" r:id="rId78" xr:uid="{A4475FBE-27F4-44CE-B9BA-414CD21AB6D2}"/>
    <hyperlink ref="O12" r:id="rId79" xr:uid="{D1866BB7-3A85-4587-BEED-1750977AC538}"/>
    <hyperlink ref="P12" r:id="rId80" xr:uid="{A7171BCB-F0D3-4985-B047-CEBD4BE3894E}"/>
    <hyperlink ref="O32" r:id="rId81" xr:uid="{D26C561B-88EE-44C8-BE5C-801FD722B1E2}"/>
    <hyperlink ref="P32" r:id="rId82" xr:uid="{7C012CEE-701D-4D2E-B87E-D07FB7F72996}"/>
    <hyperlink ref="O42" r:id="rId83" xr:uid="{1BC8FE22-A5C7-4AC7-9107-51C1E6B118AE}"/>
    <hyperlink ref="P42" r:id="rId84" xr:uid="{140B994A-F15C-424A-AD02-895FC2623937}"/>
    <hyperlink ref="O41" r:id="rId85" xr:uid="{8B295638-A2F5-4A26-BBC9-5050B9133E7D}"/>
    <hyperlink ref="P41" r:id="rId86" xr:uid="{DF239956-38C4-4BFD-BE6B-BD8D65145EA0}"/>
    <hyperlink ref="O39" r:id="rId87" xr:uid="{9D8851D4-208D-411C-90F7-37B1093439D1}"/>
    <hyperlink ref="P39" r:id="rId88" xr:uid="{A937E9CF-EE0B-41FB-9F0C-B8B4682375C2}"/>
    <hyperlink ref="O5" r:id="rId89" xr:uid="{5A9D24E5-BD43-4587-AA5F-AE83C7460719}"/>
    <hyperlink ref="P5" r:id="rId90" xr:uid="{4A93B835-0E9D-4D47-9ACD-E2DA29CFA54B}"/>
    <hyperlink ref="O14" r:id="rId91" xr:uid="{973E8E62-1438-4F0A-89D7-E616D1C87F9C}"/>
    <hyperlink ref="P14" r:id="rId92" xr:uid="{38075B44-E105-4FA6-A932-B39112B05504}"/>
    <hyperlink ref="O43" r:id="rId93" xr:uid="{1A14F93B-CD43-4D26-92D9-940EECF64C02}"/>
    <hyperlink ref="P43" r:id="rId94" xr:uid="{CB291C57-046F-476C-9E32-BCCBA1FB3A3C}"/>
    <hyperlink ref="O46" r:id="rId95" xr:uid="{1BA06448-FD60-4907-BDC8-CBC781D3D60D}"/>
    <hyperlink ref="P46" r:id="rId96" xr:uid="{F1CA8959-5C6A-467A-B2C1-6040880E4ECB}"/>
    <hyperlink ref="O47" r:id="rId97" xr:uid="{C6506A2D-3A19-4636-BBF9-67E4508D5E6D}"/>
    <hyperlink ref="P47" r:id="rId98" xr:uid="{6FE06C17-2855-43D0-9574-730873486C0B}"/>
    <hyperlink ref="O55" r:id="rId99" xr:uid="{35AC2B3F-AD06-4BEC-9149-DB51D59CA474}"/>
    <hyperlink ref="P55" r:id="rId100" xr:uid="{F3D1C25A-8247-493D-BE4B-3BB121ACB550}"/>
    <hyperlink ref="O2" r:id="rId101" xr:uid="{48A7961F-91CA-40FC-8517-F882FE67F2FC}"/>
    <hyperlink ref="P2" r:id="rId102" xr:uid="{BAA58A4C-1C3B-46BC-968C-76EE9411BBB0}"/>
    <hyperlink ref="O66" r:id="rId103" xr:uid="{0760FC3E-AA90-413B-935E-D2BA8BDB4B6D}"/>
    <hyperlink ref="P66" r:id="rId104" xr:uid="{DC8AED46-568F-4711-8614-E3459186AEFC}"/>
    <hyperlink ref="O62" r:id="rId105" xr:uid="{FED01DDE-F413-4C6A-A62C-EBC0B2CEC51D}"/>
    <hyperlink ref="P62" r:id="rId106" xr:uid="{A80B8772-3DB0-46DB-A376-8872A87B963E}"/>
    <hyperlink ref="O75" r:id="rId107" xr:uid="{FAF3009E-14C1-4DBA-8E8C-F44884F08F69}"/>
    <hyperlink ref="P75" r:id="rId108" xr:uid="{39FA6BBD-D9FD-44AD-ABC0-791B307FEF96}"/>
    <hyperlink ref="O44" r:id="rId109" xr:uid="{ED2D824B-AA23-44E4-9A73-1505BFED61F6}"/>
    <hyperlink ref="P44" r:id="rId110" xr:uid="{07C94ED5-D8AA-49AA-B1C7-3EE645ED7D43}"/>
    <hyperlink ref="O18" r:id="rId111" xr:uid="{6B14F5BF-1C52-4666-87C9-2BBA49C13E93}"/>
    <hyperlink ref="P18" r:id="rId112" xr:uid="{3DEB7AAF-73BC-43F0-A144-CBF4475E2B7C}"/>
    <hyperlink ref="O17" r:id="rId113" xr:uid="{E66900F5-631A-4BCB-9FA0-7AB7C9B6A90F}"/>
    <hyperlink ref="P17" r:id="rId114" xr:uid="{2528D633-33DA-488D-A75B-FFFA94581FAE}"/>
    <hyperlink ref="O20" r:id="rId115" xr:uid="{1DB68FAC-160B-4472-BBAD-2FCAFAFE7086}"/>
    <hyperlink ref="P20" r:id="rId116" xr:uid="{3F8DF7FF-07B6-4FA8-ACD5-092034C52258}"/>
    <hyperlink ref="O23" r:id="rId117" xr:uid="{2F59CF05-6797-40B9-A894-3160D9C62E0A}"/>
    <hyperlink ref="P23" r:id="rId118" xr:uid="{A2E79CD6-2C58-4CEA-BFC4-4F728925DDE8}"/>
    <hyperlink ref="O24" r:id="rId119" xr:uid="{CF6005B0-451A-402C-9EFA-0BF449B9C021}"/>
    <hyperlink ref="P24" r:id="rId120" xr:uid="{7E7243ED-F518-4CDA-A305-B5A1F3DD9A15}"/>
    <hyperlink ref="O30" r:id="rId121" xr:uid="{C8DA84EC-8C1A-4E8D-BA03-29BD16E04EB5}"/>
    <hyperlink ref="P30" r:id="rId122" xr:uid="{87ADBC00-32AD-4343-8856-E2F2D06F1253}"/>
    <hyperlink ref="O4" r:id="rId123" xr:uid="{84485341-9DC1-432D-BB3B-BF2D617F6709}"/>
    <hyperlink ref="P4" r:id="rId124" xr:uid="{C72A6B7A-0D12-4EED-A43D-2B4A874342D1}"/>
    <hyperlink ref="O29" r:id="rId125" xr:uid="{5B7A2082-65EC-4485-902F-3C2E2D3F2233}"/>
    <hyperlink ref="P29" r:id="rId126" xr:uid="{F2C978D5-C179-4A51-B925-DC543CBDD3BC}"/>
    <hyperlink ref="O36" r:id="rId127" xr:uid="{7F835D12-7D11-4E30-9ED4-3E6A49D76598}"/>
    <hyperlink ref="P36" r:id="rId128" xr:uid="{2F395BD2-9178-436F-99E0-CDFBB35C392F}"/>
    <hyperlink ref="O25" r:id="rId129" xr:uid="{8E0651A0-DDE2-4C5E-A5BA-F98AB804D598}"/>
    <hyperlink ref="P25" r:id="rId130" xr:uid="{5A11915F-688F-4195-AFDE-8C0408C7404A}"/>
    <hyperlink ref="O35" r:id="rId131" xr:uid="{34947B49-F1B6-4B78-84A5-DE10B68F9D84}"/>
    <hyperlink ref="P35" r:id="rId132" xr:uid="{5773EA27-A9CD-4C14-8837-961F5A9E2210}"/>
    <hyperlink ref="O31" r:id="rId133" xr:uid="{DC327A58-E256-4673-A421-4558125181B4}"/>
    <hyperlink ref="P31" r:id="rId134" xr:uid="{0BD125A7-F5A4-4E9C-BCBB-8F7CFC5DDFFA}"/>
    <hyperlink ref="O73" r:id="rId135" xr:uid="{06529C59-481C-4EDA-933D-3B2F6182FA52}"/>
    <hyperlink ref="P73" r:id="rId136" xr:uid="{8A8005C4-C2BC-4237-B22B-2072A20AAE2F}"/>
    <hyperlink ref="O27" r:id="rId137" xr:uid="{A5F7F876-E194-481D-B8E3-5C31132182AC}"/>
    <hyperlink ref="P27" r:id="rId138" xr:uid="{241C2ABB-B0F0-4D3A-98CD-A166B69C84FA}"/>
    <hyperlink ref="O34" r:id="rId139" xr:uid="{1DEE6CFC-AC26-46B4-850D-3614E6F75BA7}"/>
    <hyperlink ref="P34" r:id="rId140" xr:uid="{F4C1FD44-1EBD-453A-B654-3F67793FA438}"/>
    <hyperlink ref="O48" r:id="rId141" xr:uid="{F9EF8A45-8477-4193-81C3-6AD6455D7C56}"/>
    <hyperlink ref="P48" r:id="rId142" xr:uid="{03A80AAC-6D8A-4712-A346-682D64E1CA01}"/>
    <hyperlink ref="O21" r:id="rId143" xr:uid="{0D018381-8415-4F8F-96AA-A2311B4FF506}"/>
    <hyperlink ref="P21" r:id="rId144" xr:uid="{967B506F-6F14-487A-A70B-DA3411C1F489}"/>
    <hyperlink ref="O50" r:id="rId145" xr:uid="{01A4647B-AE5F-4F9E-9463-25A42B038D34}"/>
    <hyperlink ref="P50" r:id="rId146" xr:uid="{6A4BEA7A-9683-47D5-98D4-15B4EB79AF8D}"/>
    <hyperlink ref="O51" r:id="rId147" xr:uid="{90C0431D-20FD-4605-BE95-88E73E774BD5}"/>
    <hyperlink ref="P51" r:id="rId148" xr:uid="{CAD45D45-CE42-42BA-A3B1-A943784BCAEF}"/>
    <hyperlink ref="O63" r:id="rId149" xr:uid="{4E0CADA4-D625-4570-AE7B-65ECFE62125C}"/>
    <hyperlink ref="P63" r:id="rId150" xr:uid="{180D9191-5B89-4CEF-A2BC-533381A81DC2}"/>
    <hyperlink ref="O59" r:id="rId151" xr:uid="{E21E3D2D-B1B1-4295-89A8-C309970F0577}"/>
    <hyperlink ref="P59" r:id="rId152" xr:uid="{0D290368-9112-4ED2-AF25-5A1A4A4D4B6F}"/>
  </hyperlinks>
  <pageMargins left="0.7" right="0.7" top="0.75" bottom="0.75" header="0.3" footer="0.3"/>
  <pageSetup paperSize="9" orientation="portrait" r:id="rId153"/>
  <drawing r:id="rId154"/>
  <legacyDrawing r:id="rId15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6" r:id="rId156" name="Button 2">
              <controlPr defaultSize="0" print="0" autoFill="0" autoPict="0" macro="[0]!mcrExit">
                <anchor moveWithCells="1" sizeWithCells="1">
                  <from>
                    <xdr:col>0</xdr:col>
                    <xdr:colOff>47625</xdr:colOff>
                    <xdr:row>0</xdr:row>
                    <xdr:rowOff>38100</xdr:rowOff>
                  </from>
                  <to>
                    <xdr:col>0</xdr:col>
                    <xdr:colOff>590550</xdr:colOff>
                    <xdr:row>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BCF2-07B6-40AC-B0D7-C577C502371B}">
  <sheetPr codeName="shStatic"/>
  <dimension ref="A1:D29"/>
  <sheetViews>
    <sheetView workbookViewId="0">
      <selection activeCell="D2" sqref="D2"/>
    </sheetView>
  </sheetViews>
  <sheetFormatPr defaultRowHeight="12.75" x14ac:dyDescent="0.2"/>
  <cols>
    <col min="1" max="1" width="16" bestFit="1" customWidth="1"/>
    <col min="2" max="2" width="24" bestFit="1" customWidth="1"/>
  </cols>
  <sheetData>
    <row r="1" spans="1:4" ht="13.5" thickTop="1" x14ac:dyDescent="0.2">
      <c r="A1" s="142">
        <v>44181</v>
      </c>
      <c r="B1" s="143" t="s">
        <v>10925</v>
      </c>
      <c r="D1" s="189" t="str">
        <f>HYPERLINK("C:\Users\hilton.netta\py","Back to py")</f>
        <v>Back to py</v>
      </c>
    </row>
    <row r="2" spans="1:4" x14ac:dyDescent="0.2">
      <c r="A2" s="142">
        <v>44190</v>
      </c>
      <c r="B2" s="143" t="s">
        <v>10926</v>
      </c>
    </row>
    <row r="3" spans="1:4" x14ac:dyDescent="0.2">
      <c r="A3" s="142">
        <v>44191</v>
      </c>
      <c r="B3" s="143" t="s">
        <v>10927</v>
      </c>
    </row>
    <row r="4" spans="1:4" x14ac:dyDescent="0.2">
      <c r="A4" s="142">
        <v>44197</v>
      </c>
      <c r="B4" s="143" t="s">
        <v>10928</v>
      </c>
    </row>
    <row r="5" spans="1:4" x14ac:dyDescent="0.2">
      <c r="A5" s="142">
        <v>44277</v>
      </c>
      <c r="B5" s="143" t="s">
        <v>10929</v>
      </c>
    </row>
    <row r="6" spans="1:4" x14ac:dyDescent="0.2">
      <c r="A6" s="142">
        <v>44288</v>
      </c>
      <c r="B6" s="143" t="s">
        <v>10930</v>
      </c>
    </row>
    <row r="7" spans="1:4" x14ac:dyDescent="0.2">
      <c r="A7" s="142">
        <v>44291</v>
      </c>
      <c r="B7" s="143" t="s">
        <v>10931</v>
      </c>
    </row>
    <row r="8" spans="1:4" x14ac:dyDescent="0.2">
      <c r="A8" s="142">
        <v>44313</v>
      </c>
      <c r="B8" s="143" t="s">
        <v>10932</v>
      </c>
    </row>
    <row r="9" spans="1:4" x14ac:dyDescent="0.2">
      <c r="A9" s="142">
        <v>44317</v>
      </c>
      <c r="B9" s="143" t="s">
        <v>10933</v>
      </c>
    </row>
    <row r="10" spans="1:4" x14ac:dyDescent="0.2">
      <c r="A10" s="142">
        <v>44363</v>
      </c>
      <c r="B10" s="143" t="s">
        <v>10934</v>
      </c>
    </row>
    <row r="11" spans="1:4" x14ac:dyDescent="0.2">
      <c r="A11" s="142">
        <v>44417</v>
      </c>
      <c r="B11" s="143" t="s">
        <v>10935</v>
      </c>
    </row>
    <row r="12" spans="1:4" x14ac:dyDescent="0.2">
      <c r="A12" s="142">
        <v>44463</v>
      </c>
      <c r="B12" s="143" t="s">
        <v>10936</v>
      </c>
    </row>
    <row r="13" spans="1:4" x14ac:dyDescent="0.2">
      <c r="A13" s="142">
        <v>44501</v>
      </c>
      <c r="B13" s="143" t="s">
        <v>10941</v>
      </c>
    </row>
    <row r="14" spans="1:4" x14ac:dyDescent="0.2">
      <c r="A14" s="142">
        <v>44546</v>
      </c>
      <c r="B14" s="143" t="s">
        <v>10925</v>
      </c>
    </row>
    <row r="15" spans="1:4" x14ac:dyDescent="0.2">
      <c r="A15" s="142">
        <v>44555</v>
      </c>
      <c r="B15" s="143" t="s">
        <v>10926</v>
      </c>
    </row>
    <row r="16" spans="1:4" x14ac:dyDescent="0.2">
      <c r="A16" s="142">
        <v>44557</v>
      </c>
      <c r="B16" s="143" t="s">
        <v>10927</v>
      </c>
    </row>
    <row r="17" spans="1:2" x14ac:dyDescent="0.2">
      <c r="A17" s="142">
        <v>44562</v>
      </c>
      <c r="B17" s="143" t="s">
        <v>10928</v>
      </c>
    </row>
    <row r="18" spans="1:2" x14ac:dyDescent="0.2">
      <c r="A18" s="142">
        <v>44641</v>
      </c>
      <c r="B18" s="143" t="s">
        <v>10929</v>
      </c>
    </row>
    <row r="19" spans="1:2" x14ac:dyDescent="0.2">
      <c r="A19" s="142">
        <v>44666</v>
      </c>
      <c r="B19" s="143" t="s">
        <v>10930</v>
      </c>
    </row>
    <row r="20" spans="1:2" x14ac:dyDescent="0.2">
      <c r="A20" s="142">
        <v>44669</v>
      </c>
      <c r="B20" s="143" t="s">
        <v>10931</v>
      </c>
    </row>
    <row r="21" spans="1:2" x14ac:dyDescent="0.2">
      <c r="A21" s="142">
        <v>44678</v>
      </c>
      <c r="B21" s="143" t="s">
        <v>10932</v>
      </c>
    </row>
    <row r="22" spans="1:2" x14ac:dyDescent="0.2">
      <c r="A22" s="142">
        <v>44682</v>
      </c>
      <c r="B22" s="143" t="s">
        <v>10937</v>
      </c>
    </row>
    <row r="23" spans="1:2" x14ac:dyDescent="0.2">
      <c r="A23" s="142">
        <v>44683</v>
      </c>
      <c r="B23" s="143" t="s">
        <v>10938</v>
      </c>
    </row>
    <row r="24" spans="1:2" x14ac:dyDescent="0.2">
      <c r="A24" s="142">
        <v>44728</v>
      </c>
      <c r="B24" s="143" t="s">
        <v>10939</v>
      </c>
    </row>
    <row r="25" spans="1:2" x14ac:dyDescent="0.2">
      <c r="A25" s="142">
        <v>44782</v>
      </c>
      <c r="B25" s="143" t="s">
        <v>10935</v>
      </c>
    </row>
    <row r="26" spans="1:2" x14ac:dyDescent="0.2">
      <c r="A26" s="142">
        <v>44828</v>
      </c>
      <c r="B26" s="143" t="s">
        <v>10936</v>
      </c>
    </row>
    <row r="27" spans="1:2" x14ac:dyDescent="0.2">
      <c r="A27" s="142">
        <v>44911</v>
      </c>
      <c r="B27" s="143" t="s">
        <v>10925</v>
      </c>
    </row>
    <row r="28" spans="1:2" x14ac:dyDescent="0.2">
      <c r="A28" s="142">
        <v>44920</v>
      </c>
      <c r="B28" s="143" t="s">
        <v>10926</v>
      </c>
    </row>
    <row r="29" spans="1:2" x14ac:dyDescent="0.2">
      <c r="A29" s="142">
        <v>44921</v>
      </c>
      <c r="B29" s="143" t="s">
        <v>10940</v>
      </c>
    </row>
  </sheetData>
  <hyperlinks>
    <hyperlink ref="B18" r:id="rId1" display="https://publicholidays.co.za/human-rights-day/" xr:uid="{101C7B87-AD42-4D25-9D64-F5CC83C5CD58}"/>
    <hyperlink ref="B19" r:id="rId2" display="https://publicholidays.co.za/easter/" xr:uid="{E7FB45C3-3B95-4CD7-8543-02BB9AEB2DE0}"/>
    <hyperlink ref="B20" r:id="rId3" display="https://publicholidays.co.za/easter/" xr:uid="{C6088781-8345-427F-BFA7-A9B66076202E}"/>
    <hyperlink ref="B21" r:id="rId4" display="https://publicholidays.co.za/freedom-day/" xr:uid="{559B87A3-FB6E-4966-B7D5-882A6A37E0FD}"/>
    <hyperlink ref="B22" r:id="rId5" display="https://publicholidays.co.za/workers-day/" xr:uid="{B26F9D92-14C8-476D-9471-26ABF385EF7A}"/>
    <hyperlink ref="B23" r:id="rId6" display="https://publicholidays.co.za/workers-day/" xr:uid="{BDB07905-ECC1-4E9E-A031-8C075B4F72C0}"/>
    <hyperlink ref="B24" r:id="rId7" display="https://publicholidays.co.za/youth-day/" xr:uid="{5FF842D1-3043-4114-A6B4-4004C9501F9E}"/>
    <hyperlink ref="B25" r:id="rId8" display="https://publicholidays.co.za/national-womens-day/" xr:uid="{5B89C0B6-521D-4C85-9A7A-374A7C26BB39}"/>
    <hyperlink ref="B26" r:id="rId9" display="https://publicholidays.co.za/heritage-day/" xr:uid="{CA668709-D5AD-4B48-907A-F8FC061AE320}"/>
    <hyperlink ref="B27" r:id="rId10" display="https://publicholidays.co.za/day-of-reconciliation/" xr:uid="{9AF21DFE-2CA8-45E1-8F0A-D6F2D8C6320F}"/>
    <hyperlink ref="B28" r:id="rId11" display="https://publicholidays.co.za/christmas/" xr:uid="{A0E5A821-730C-4C1C-9089-BAFDD69F9C1C}"/>
    <hyperlink ref="B29" r:id="rId12" display="https://publicholidays.co.za/day-of-goodwill/" xr:uid="{A8972EDA-9CCB-4031-8D9F-925141658CFE}"/>
    <hyperlink ref="D1" location="Links!B553" display="Back to links" xr:uid="{FB60380C-F137-4C06-92C2-0B31C35091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D5AD-8C33-4071-A06C-0E2554F643AB}">
  <sheetPr codeName="shSummary"/>
  <dimension ref="A1:DO83"/>
  <sheetViews>
    <sheetView workbookViewId="0">
      <pane xSplit="1" ySplit="5" topLeftCell="B6" activePane="bottomRight" state="frozen"/>
      <selection activeCell="L2" sqref="L2"/>
      <selection pane="topRight" activeCell="L2" sqref="L2"/>
      <selection pane="bottomLeft" activeCell="L2" sqref="L2"/>
      <selection pane="bottomRight" activeCell="A2" sqref="A2"/>
    </sheetView>
  </sheetViews>
  <sheetFormatPr defaultColWidth="9.140625" defaultRowHeight="15.75" x14ac:dyDescent="0.3"/>
  <cols>
    <col min="1" max="1" width="70" style="63" bestFit="1" customWidth="1"/>
    <col min="2" max="2" width="16.85546875" style="63" bestFit="1" customWidth="1"/>
    <col min="3" max="3" width="13.140625" style="63" bestFit="1" customWidth="1"/>
    <col min="4" max="4" width="9.140625" style="63" customWidth="1"/>
    <col min="5" max="5" width="8" style="21" customWidth="1"/>
    <col min="6" max="6" width="58.7109375" style="21" customWidth="1"/>
    <col min="7" max="7" width="9.85546875" style="63" customWidth="1"/>
    <col min="8" max="8" width="17.28515625" style="21" bestFit="1" customWidth="1"/>
    <col min="9" max="11" width="15.7109375" style="28" customWidth="1"/>
    <col min="12" max="19" width="9.140625" style="28" customWidth="1"/>
    <col min="20" max="60" width="9.140625" style="28"/>
    <col min="61" max="16384" width="9.140625" style="12"/>
  </cols>
  <sheetData>
    <row r="1" spans="1:119" x14ac:dyDescent="0.3">
      <c r="A1" s="8" t="str">
        <f>Data!$A$2&amp;" ("&amp;Data!$AK$2&amp;")"</f>
        <v>0 (44676)</v>
      </c>
      <c r="B1" s="109" t="s">
        <v>33</v>
      </c>
      <c r="C1" s="109" t="s">
        <v>56</v>
      </c>
      <c r="D1" s="68"/>
      <c r="E1" s="9">
        <f>COUNTIF(Data!$B:$B,"Derivatives")+COUNTIF(Data!$B:$B,"Forwards")+COUNTIF(Data!$B:$B,"Swaps")</f>
        <v>0</v>
      </c>
      <c r="F1" s="9" t="str">
        <f>"derivative"&amp;IF(E1=1,"","s")</f>
        <v>derivatives</v>
      </c>
      <c r="G1" s="152" t="str">
        <f>HYPERLINK("J:\PProfile Operations\Legal\Legal and Compliance Framework\Hilton\Client Mandates\"&amp;SUBSTITUTE(Data!$AK$2,"_C","")&amp;" Rules.docx","Mandate")</f>
        <v>Mandate</v>
      </c>
      <c r="H1" s="157" t="str" cm="1">
        <f t="array" ref="H1">"SA equity indices ("&amp;SUMPRODUCT((Data!$C:$C="Equity Derivatives")*(Data!$W:$W="ZAR"))&amp;")"</f>
        <v>SA equity indices (0)</v>
      </c>
      <c r="I1" s="44" t="str" cm="1">
        <f t="array" ref="I1">IF(ISNA(MATCH(1,("Equity derivatives"=Data!C:C)*("ZAR"=Data!W:W),0)),"",INDEX(Data!D:D,MATCH(1,("Equity derivatives"=Data!C:C)*("ZAR"=Data!W:W),0)))</f>
        <v/>
      </c>
      <c r="J1" s="10" t="str" cm="1">
        <f t="array" ref="J1">IF(COUNTA($I$1:I$1)&lt;COUNTIFS(Data!$C:$C,"Equity derivatives",Data!$W:$W,"ZAR"),INDEX(Data!$D:$D,MATCH(I$1,Data!$D:$D,0)+1),"")</f>
        <v/>
      </c>
      <c r="K1" s="10" t="str" cm="1">
        <f t="array" ref="K1">IF(COUNTA($I$1:J$1)&lt;COUNTIFS(Data!$C:$C,"Equity derivatives",Data!$W:$W,"ZAR"),INDEX(Data!$D:$D,MATCH(J$1,Data!$D:$D,0)+1),"")</f>
        <v/>
      </c>
      <c r="L1" s="10" t="str" cm="1">
        <f t="array" ref="L1">IF(COUNTA($I$1:K$1)&lt;COUNTIFS(Data!$C:$C,"Equity derivatives",Data!$W:$W,"ZAR"),INDEX(Data!$D:$D,MATCH(K$1,Data!$D:$D,0)+1),"")</f>
        <v/>
      </c>
      <c r="M1" s="10" t="str" cm="1">
        <f t="array" ref="M1">IF(COUNTA($I$1:L$1)&lt;COUNTIFS(Data!$C:$C,"Equity derivatives",Data!$W:$W,"ZAR"),INDEX(Data!$D:$D,MATCH(L$1,Data!$D:$D,0)+1),"")</f>
        <v/>
      </c>
      <c r="N1" s="10" t="str" cm="1">
        <f t="array" ref="N1">IF(COUNTA($I$1:M$1)&lt;COUNTIFS(Data!$C:$C,"Equity derivatives",Data!$W:$W,"ZAR"),INDEX(Data!$D:$D,MATCH(M$1,Data!$D:$D,0)+1),"")</f>
        <v/>
      </c>
      <c r="O1" s="10" t="str" cm="1">
        <f t="array" ref="O1">IF(COUNTA($I$1:N$1)&lt;COUNTIFS(Data!$C:$C,"Equity derivatives",Data!$W:$W,"ZAR"),INDEX(Data!$D:$D,MATCH(N$1,Data!$D:$D,0)+1),"")</f>
        <v/>
      </c>
      <c r="P1" s="10" t="str" cm="1">
        <f t="array" ref="P1">IF(COUNTA($I$1:O$1)&lt;COUNTIFS(Data!$C:$C,"Equity derivatives",Data!$W:$W,"ZAR"),INDEX(Data!$D:$D,MATCH(O$1,Data!$D:$D,0)+1),"")</f>
        <v/>
      </c>
      <c r="Q1" s="10" t="str" cm="1">
        <f t="array" ref="Q1">IF(COUNTA($I$1:P$1)&lt;COUNTIFS(Data!$C:$C,"Equity derivatives",Data!$W:$W,"ZAR"),INDEX(Data!$D:$D,MATCH(P$1,Data!$D:$D,0)+1),"")</f>
        <v/>
      </c>
      <c r="R1" s="10" t="str" cm="1">
        <f t="array" ref="R1">IF(COUNTA($I$1:Q$1)&lt;COUNTIFS(Data!$C:$C,"Equity derivatives",Data!$W:$W,"ZAR"),INDEX(Data!$D:$D,MATCH(Q$1,Data!$D:$D,0)+1),"")</f>
        <v/>
      </c>
      <c r="S1" s="10" t="str" cm="1">
        <f t="array" ref="S1">IF(COUNTA($I$1:R$1)&lt;COUNTIFS(Data!$C:$C,"Equity derivatives",Data!$W:$W,"ZAR"),INDEX(Data!$D:$D,MATCH(R$1,Data!$D:$D,0)+1),"")</f>
        <v/>
      </c>
      <c r="T1" s="10" t="str" cm="1">
        <f t="array" ref="T1">IF(COUNTA($I$1:S$1)&lt;COUNTIFS(Data!$C:$C,"Equity derivatives",Data!$W:$W,"ZAR"),INDEX(Data!$D:$D,MATCH(S$1,Data!$D:$D,0)+1),"")</f>
        <v/>
      </c>
      <c r="U1" s="10" t="str" cm="1">
        <f t="array" ref="U1">IF(COUNTA($I$1:T$1)&lt;COUNTIFS(Data!$C:$C,"Equity derivatives",Data!$W:$W,"ZAR"),INDEX(Data!$D:$D,MATCH(T$1,Data!$D:$D,0)+1),"")</f>
        <v/>
      </c>
      <c r="V1" s="10" t="str" cm="1">
        <f t="array" ref="V1">IF(COUNTA($I$1:U$1)&lt;COUNTIFS(Data!$C:$C,"Equity derivatives",Data!$W:$W,"ZAR"),INDEX(Data!$D:$D,MATCH(U$1,Data!$D:$D,0)+1),"")</f>
        <v/>
      </c>
      <c r="W1" s="10" t="str" cm="1">
        <f t="array" ref="W1">IF(COUNTA($I$1:V$1)&lt;COUNTIFS(Data!$C:$C,"Equity derivatives",Data!$W:$W,"ZAR"),INDEX(Data!$D:$D,MATCH(V$1,Data!$D:$D,0)+1),"")</f>
        <v/>
      </c>
      <c r="X1" s="10" t="str" cm="1">
        <f t="array" ref="X1">IF(COUNTA($I$1:W$1)&lt;COUNTIFS(Data!$C:$C,"Equity derivatives",Data!$W:$W,"ZAR"),INDEX(Data!$D:$D,MATCH(W$1,Data!$D:$D,0)+1),"")</f>
        <v/>
      </c>
      <c r="Y1" s="10" t="str" cm="1">
        <f t="array" ref="Y1">IF(COUNTA($I$1:X$1)&lt;COUNTIFS(Data!$C:$C,"Equity derivatives",Data!$W:$W,"ZAR"),INDEX(Data!$D:$D,MATCH(X$1,Data!$D:$D,0)+1),"")</f>
        <v/>
      </c>
      <c r="Z1" s="10" t="str" cm="1">
        <f t="array" ref="Z1">IF(COUNTA($I$1:Y$1)&lt;COUNTIFS(Data!$C:$C,"Equity derivatives",Data!$W:$W,"ZAR"),INDEX(Data!$D:$D,MATCH(Y$1,Data!$D:$D,0)+1),"")</f>
        <v/>
      </c>
      <c r="AA1" s="10" t="str" cm="1">
        <f t="array" ref="AA1">IF(COUNTA($I$1:Z$1)&lt;COUNTIFS(Data!$C:$C,"Equity derivatives",Data!$W:$W,"ZAR"),INDEX(Data!$D:$D,MATCH(Z$1,Data!$D:$D,0)+1),"")</f>
        <v/>
      </c>
      <c r="AB1" s="10" t="str" cm="1">
        <f t="array" ref="AB1">IF(COUNTA($I$1:AA$1)&lt;COUNTIFS(Data!$C:$C,"Equity derivatives",Data!$W:$W,"ZAR"),INDEX(Data!$D:$D,MATCH(AA$1,Data!$D:$D,0)+1),"")</f>
        <v/>
      </c>
      <c r="AC1" s="10" t="str" cm="1">
        <f t="array" ref="AC1">IF(COUNTA($I$1:AB$1)&lt;COUNTIFS(Data!$C:$C,"Equity derivatives",Data!$W:$W,"ZAR"),INDEX(Data!$D:$D,MATCH(AB$1,Data!$D:$D,0)+1),"")</f>
        <v/>
      </c>
      <c r="AD1" s="10" t="str" cm="1">
        <f t="array" ref="AD1">IF(COUNTA($I$1:AC$1)&lt;COUNTIFS(Data!$C:$C,"Equity derivatives",Data!$W:$W,"ZAR"),INDEX(Data!$D:$D,MATCH(AC$1,Data!$D:$D,0)+1),"")</f>
        <v/>
      </c>
      <c r="AE1" s="10" t="str" cm="1">
        <f t="array" ref="AE1">IF(COUNTA($I$1:AD$1)&lt;COUNTIFS(Data!$C:$C,"Equity derivatives",Data!$W:$W,"ZAR"),INDEX(Data!$D:$D,MATCH(AD$1,Data!$D:$D,0)+1),"")</f>
        <v/>
      </c>
      <c r="AF1" s="10" t="str" cm="1">
        <f t="array" ref="AF1">IF(COUNTA($I$1:AE$1)&lt;COUNTIFS(Data!$C:$C,"Equity derivatives",Data!$W:$W,"ZAR"),INDEX(Data!$D:$D,MATCH(AE$1,Data!$D:$D,0)+1),"")</f>
        <v/>
      </c>
      <c r="AG1" s="10" t="str" cm="1">
        <f t="array" ref="AG1">IF(COUNTA($I$1:AF$1)&lt;COUNTIFS(Data!$C:$C,"Equity derivatives",Data!$W:$W,"ZAR"),INDEX(Data!$D:$D,MATCH(AF$1,Data!$D:$D,0)+1),"")</f>
        <v/>
      </c>
      <c r="AH1" s="10" t="str" cm="1">
        <f t="array" ref="AH1">IF(COUNTA($I$1:AG$1)&lt;COUNTIFS(Data!$C:$C,"Equity derivatives",Data!$W:$W,"ZAR"),INDEX(Data!$D:$D,MATCH(AG$1,Data!$D:$D,0)+1),"")</f>
        <v/>
      </c>
      <c r="AI1" s="10" t="str" cm="1">
        <f t="array" ref="AI1">IF(COUNTA($I$1:AH$1)&lt;COUNTIFS(Data!$C:$C,"Equity derivatives",Data!$W:$W,"ZAR"),INDEX(Data!$D:$D,MATCH(AH$1,Data!$D:$D,0)+1),"")</f>
        <v/>
      </c>
      <c r="AJ1" s="10" t="str" cm="1">
        <f t="array" ref="AJ1">IF(COUNTA($I$1:AI$1)&lt;COUNTIFS(Data!$C:$C,"Equity derivatives",Data!$W:$W,"ZAR"),INDEX(Data!$D:$D,MATCH(AI$1,Data!$D:$D,0)+1),"")</f>
        <v/>
      </c>
      <c r="AK1" s="10" t="str" cm="1">
        <f t="array" ref="AK1">IF(COUNTA($I$1:AJ$1)&lt;COUNTIFS(Data!$C:$C,"Equity derivatives",Data!$W:$W,"ZAR"),INDEX(Data!$D:$D,MATCH(AJ$1,Data!$D:$D,0)+1),"")</f>
        <v/>
      </c>
      <c r="AL1" s="10" t="str" cm="1">
        <f t="array" ref="AL1">IF(COUNTA($I$1:AK$1)&lt;COUNTIFS(Data!$C:$C,"Equity derivatives",Data!$W:$W,"ZAR"),INDEX(Data!$D:$D,MATCH(AK$1,Data!$D:$D,0)+1),"")</f>
        <v/>
      </c>
      <c r="AM1" s="10" t="str" cm="1">
        <f t="array" ref="AM1">IF(COUNTA($I$1:AL$1)&lt;COUNTIFS(Data!$C:$C,"Equity derivatives",Data!$W:$W,"ZAR"),INDEX(Data!$D:$D,MATCH(AL$1,Data!$D:$D,0)+1),"")</f>
        <v/>
      </c>
      <c r="AN1" s="10" t="str" cm="1">
        <f t="array" ref="AN1">IF(COUNTA($I$1:AM$1)&lt;COUNTIFS(Data!$C:$C,"Equity derivatives",Data!$W:$W,"ZAR"),INDEX(Data!$D:$D,MATCH(AM$1,Data!$D:$D,0)+1),"")</f>
        <v/>
      </c>
      <c r="AO1" s="10" t="str" cm="1">
        <f t="array" ref="AO1">IF(COUNTA($I$1:AN$1)&lt;COUNTIFS(Data!$C:$C,"Equity derivatives",Data!$W:$W,"ZAR"),INDEX(Data!$D:$D,MATCH(AN$1,Data!$D:$D,0)+1),"")</f>
        <v/>
      </c>
      <c r="AP1" s="10" t="str" cm="1">
        <f t="array" ref="AP1">IF(COUNTA($I$1:AO$1)&lt;COUNTIFS(Data!$C:$C,"Equity derivatives",Data!$W:$W,"ZAR"),INDEX(Data!$D:$D,MATCH(AO$1,Data!$D:$D,0)+1),"")</f>
        <v/>
      </c>
      <c r="AQ1" s="10" t="str" cm="1">
        <f t="array" ref="AQ1">IF(COUNTA($I$1:AP$1)&lt;COUNTIFS(Data!$C:$C,"Equity derivatives",Data!$W:$W,"ZAR"),INDEX(Data!$D:$D,MATCH(AP$1,Data!$D:$D,0)+1),"")</f>
        <v/>
      </c>
      <c r="AR1" s="10" t="str" cm="1">
        <f t="array" ref="AR1">IF(COUNTA($I$1:AQ$1)&lt;COUNTIFS(Data!$C:$C,"Equity derivatives",Data!$W:$W,"ZAR"),INDEX(Data!$D:$D,MATCH(AQ$1,Data!$D:$D,0)+1),"")</f>
        <v/>
      </c>
      <c r="AS1" s="10" t="str" cm="1">
        <f t="array" ref="AS1">IF(COUNTA($I$1:AR$1)&lt;COUNTIFS(Data!$C:$C,"Equity derivatives",Data!$W:$W,"ZAR"),INDEX(Data!$D:$D,MATCH(AR$1,Data!$D:$D,0)+1),"")</f>
        <v/>
      </c>
      <c r="AT1" s="10" t="str" cm="1">
        <f t="array" ref="AT1">IF(COUNTA($I$1:AS$1)&lt;COUNTIFS(Data!$C:$C,"Equity derivatives",Data!$W:$W,"ZAR"),INDEX(Data!$D:$D,MATCH(AS$1,Data!$D:$D,0)+1),"")</f>
        <v/>
      </c>
      <c r="AU1" s="10" t="str" cm="1">
        <f t="array" ref="AU1">IF(COUNTA($I$1:AT$1)&lt;COUNTIFS(Data!$C:$C,"Equity derivatives",Data!$W:$W,"ZAR"),INDEX(Data!$D:$D,MATCH(AT$1,Data!$D:$D,0)+1),"")</f>
        <v/>
      </c>
      <c r="AV1" s="10" t="str" cm="1">
        <f t="array" ref="AV1">IF(COUNTA($I$1:AU$1)&lt;COUNTIFS(Data!$C:$C,"Equity derivatives",Data!$W:$W,"ZAR"),INDEX(Data!$D:$D,MATCH(AU$1,Data!$D:$D,0)+1),"")</f>
        <v/>
      </c>
      <c r="AW1" s="10" t="str" cm="1">
        <f t="array" ref="AW1">IF(COUNTA($I$1:AV$1)&lt;COUNTIFS(Data!$C:$C,"Equity derivatives",Data!$W:$W,"ZAR"),INDEX(Data!$D:$D,MATCH(AV$1,Data!$D:$D,0)+1),"")</f>
        <v/>
      </c>
      <c r="AX1" s="10" t="str" cm="1">
        <f t="array" ref="AX1">IF(COUNTA($I$1:AW$1)&lt;COUNTIFS(Data!$C:$C,"Equity derivatives",Data!$W:$W,"ZAR"),INDEX(Data!$D:$D,MATCH(AW$1,Data!$D:$D,0)+1),"")</f>
        <v/>
      </c>
      <c r="AY1" s="10" t="str" cm="1">
        <f t="array" ref="AY1">IF(COUNTA($I$1:AX$1)&lt;COUNTIFS(Data!$C:$C,"Equity derivatives",Data!$W:$W,"ZAR"),INDEX(Data!$D:$D,MATCH(AX$1,Data!$D:$D,0)+1),"")</f>
        <v/>
      </c>
      <c r="AZ1" s="10" t="str" cm="1">
        <f t="array" ref="AZ1">IF(COUNTA($I$1:AY$1)&lt;COUNTIFS(Data!$C:$C,"Equity derivatives",Data!$W:$W,"ZAR"),INDEX(Data!$D:$D,MATCH(AY$1,Data!$D:$D,0)+1),"")</f>
        <v/>
      </c>
      <c r="BA1" s="10" t="str" cm="1">
        <f t="array" ref="BA1">IF(COUNTA($I$1:AZ$1)&lt;COUNTIFS(Data!$C:$C,"Equity derivatives",Data!$W:$W,"ZAR"),INDEX(Data!$D:$D,MATCH(AZ$1,Data!$D:$D,0)+1),"")</f>
        <v/>
      </c>
      <c r="BB1" s="10" t="str" cm="1">
        <f t="array" ref="BB1">IF(COUNTA($I$1:BA$1)&lt;COUNTIFS(Data!$C:$C,"Equity derivatives",Data!$W:$W,"ZAR"),INDEX(Data!$D:$D,MATCH(BA$1,Data!$D:$D,0)+1),"")</f>
        <v/>
      </c>
      <c r="BC1" s="10" t="str" cm="1">
        <f t="array" ref="BC1">IF(COUNTA($I$1:BB$1)&lt;COUNTIFS(Data!$C:$C,"Equity derivatives",Data!$W:$W,"ZAR"),INDEX(Data!$D:$D,MATCH(BB$1,Data!$D:$D,0)+1),"")</f>
        <v/>
      </c>
      <c r="BD1" s="10" t="str" cm="1">
        <f t="array" ref="BD1">IF(COUNTA($I$1:BC$1)&lt;COUNTIFS(Data!$C:$C,"Equity derivatives",Data!$W:$W,"ZAR"),INDEX(Data!$D:$D,MATCH(BC$1,Data!$D:$D,0)+1),"")</f>
        <v/>
      </c>
      <c r="BE1" s="10" t="str" cm="1">
        <f t="array" ref="BE1">IF(COUNTA($I$1:BD$1)&lt;COUNTIFS(Data!$C:$C,"Equity derivatives",Data!$W:$W,"ZAR"),INDEX(Data!$D:$D,MATCH(BD$1,Data!$D:$D,0)+1),"")</f>
        <v/>
      </c>
      <c r="BF1" s="10" t="str" cm="1">
        <f t="array" ref="BF1">IF(COUNTA($I$1:BE$1)&lt;COUNTIFS(Data!$C:$C,"Equity derivatives",Data!$W:$W,"ZAR"),INDEX(Data!$D:$D,MATCH(BE$1,Data!$D:$D,0)+1),"")</f>
        <v/>
      </c>
      <c r="BG1" s="10" t="str" cm="1">
        <f t="array" ref="BG1">IF(COUNTA($I$1:BF$1)&lt;COUNTIFS(Data!$C:$C,"Equity derivatives",Data!$W:$W,"ZAR"),INDEX(Data!$D:$D,MATCH(BF$1,Data!$D:$D,0)+1),"")</f>
        <v/>
      </c>
      <c r="BH1" s="11" t="str" cm="1">
        <f t="array" ref="BH1">IF(COUNTA($I$1:BG$1)&lt;COUNTIFS(Data!$C:$C,"Equity derivatives",Data!$W:$W,"ZAR"),INDEX(Data!$D:$D,MATCH(BG$1,Data!$D:$D,0)+1),"")</f>
        <v/>
      </c>
    </row>
    <row r="2" spans="1:119" x14ac:dyDescent="0.3">
      <c r="A2" s="110" t="str">
        <f>HYPERLINK("https://pimportalprod2015.eagleaccess.com/Default.aspx","Derivative Cover "&amp;TEXT(Data!$AJ$2,"dddd d mmmm yyyy"))</f>
        <v>Derivative Cover Saturday 0 January 1900</v>
      </c>
      <c r="B2" s="111" t="s">
        <v>60</v>
      </c>
      <c r="C2" s="111" t="s">
        <v>61</v>
      </c>
      <c r="D2" s="68"/>
      <c r="F2" s="14" t="s">
        <v>65</v>
      </c>
      <c r="G2" s="153" t="str" cm="1">
        <f t="array" aca="1" ref="G2" ca="1">CELL("filename")</f>
        <v>C:\Users\hilton.netta\py\[derv - Copy.xlsx]Deltas</v>
      </c>
      <c r="H2" s="158">
        <f>IF(ISNA(SUM(I2:BH2)),0,SUM(I2:BH2))</f>
        <v>0</v>
      </c>
      <c r="I2" s="15" t="str">
        <f>IF(I$1="","",INDEX(Data!$AH:$AH,MATCH(I$1,Data!$D:$D,0))/$B$4)</f>
        <v/>
      </c>
      <c r="J2" s="16" t="str">
        <f>IF(J$1="","",INDEX(Data!$AH:$AH,MATCH(J$1,Data!$D:$D,0))/$B$4)</f>
        <v/>
      </c>
      <c r="K2" s="16" t="str">
        <f>IF(K$1="","",INDEX(Data!$AH:$AH,MATCH(K$1,Data!$D:$D,0))/$B$4)</f>
        <v/>
      </c>
      <c r="L2" s="16" t="str">
        <f>IF(L$1="","",INDEX(Data!$AH:$AH,MATCH(L$1,Data!$D:$D,0))/$B$4)</f>
        <v/>
      </c>
      <c r="M2" s="16" t="str">
        <f>IF(M$1="","",INDEX(Data!$AH:$AH,MATCH(M$1,Data!$D:$D,0))/$B$4)</f>
        <v/>
      </c>
      <c r="N2" s="16" t="str">
        <f>IF(N$1="","",INDEX(Data!$AH:$AH,MATCH(N$1,Data!$D:$D,0))/$B$4)</f>
        <v/>
      </c>
      <c r="O2" s="16" t="str">
        <f>IF(O$1="","",INDEX(Data!$AH:$AH,MATCH(O$1,Data!$D:$D,0))/$B$4)</f>
        <v/>
      </c>
      <c r="P2" s="16" t="str">
        <f>IF(P$1="","",INDEX(Data!$AH:$AH,MATCH(P$1,Data!$D:$D,0))/$B$4)</f>
        <v/>
      </c>
      <c r="Q2" s="16" t="str">
        <f>IF(Q$1="","",INDEX(Data!$AH:$AH,MATCH(Q$1,Data!$D:$D,0))/$B$4)</f>
        <v/>
      </c>
      <c r="R2" s="16" t="str">
        <f>IF(R$1="","",INDEX(Data!$AH:$AH,MATCH(R$1,Data!$D:$D,0))/$B$4)</f>
        <v/>
      </c>
      <c r="S2" s="16" t="str">
        <f>IF(S$1="","",INDEX(Data!$AH:$AH,MATCH(S$1,Data!$D:$D,0))/$B$4)</f>
        <v/>
      </c>
      <c r="T2" s="16" t="str">
        <f>IF(T$1="","",INDEX(Data!$AH:$AH,MATCH(T$1,Data!$D:$D,0))/$B$4)</f>
        <v/>
      </c>
      <c r="U2" s="16" t="str">
        <f>IF(U$1="","",INDEX(Data!$AH:$AH,MATCH(U$1,Data!$D:$D,0))/$B$4)</f>
        <v/>
      </c>
      <c r="V2" s="16" t="str">
        <f>IF(V$1="","",INDEX(Data!$AH:$AH,MATCH(V$1,Data!$D:$D,0))/$B$4)</f>
        <v/>
      </c>
      <c r="W2" s="16" t="str">
        <f>IF(W$1="","",INDEX(Data!$AH:$AH,MATCH(W$1,Data!$D:$D,0))/$B$4)</f>
        <v/>
      </c>
      <c r="X2" s="16" t="str">
        <f>IF(X$1="","",INDEX(Data!$AH:$AH,MATCH(X$1,Data!$D:$D,0))/$B$4)</f>
        <v/>
      </c>
      <c r="Y2" s="16" t="str">
        <f>IF(Y$1="","",INDEX(Data!$AH:$AH,MATCH(Y$1,Data!$D:$D,0))/$B$4)</f>
        <v/>
      </c>
      <c r="Z2" s="16" t="str">
        <f>IF(Z$1="","",INDEX(Data!$AH:$AH,MATCH(Z$1,Data!$D:$D,0))/$B$4)</f>
        <v/>
      </c>
      <c r="AA2" s="16" t="str">
        <f>IF(AA$1="","",INDEX(Data!$AH:$AH,MATCH(AA$1,Data!$D:$D,0))/$B$4)</f>
        <v/>
      </c>
      <c r="AB2" s="16" t="str">
        <f>IF(AB$1="","",INDEX(Data!$AH:$AH,MATCH(AB$1,Data!$D:$D,0))/$B$4)</f>
        <v/>
      </c>
      <c r="AC2" s="16" t="str">
        <f>IF(AC$1="","",INDEX(Data!$AH:$AH,MATCH(AC$1,Data!$D:$D,0))/$B$4)</f>
        <v/>
      </c>
      <c r="AD2" s="16" t="str">
        <f>IF(AD$1="","",INDEX(Data!$AH:$AH,MATCH(AD$1,Data!$D:$D,0))/$B$4)</f>
        <v/>
      </c>
      <c r="AE2" s="16" t="str">
        <f>IF(AE$1="","",INDEX(Data!$AH:$AH,MATCH(AE$1,Data!$D:$D,0))/$B$4)</f>
        <v/>
      </c>
      <c r="AF2" s="16" t="str">
        <f>IF(AF$1="","",INDEX(Data!$AH:$AH,MATCH(AF$1,Data!$D:$D,0))/$B$4)</f>
        <v/>
      </c>
      <c r="AG2" s="16" t="str">
        <f>IF(AG$1="","",INDEX(Data!$AH:$AH,MATCH(AG$1,Data!$D:$D,0))/$B$4)</f>
        <v/>
      </c>
      <c r="AH2" s="16" t="str">
        <f>IF(AH$1="","",INDEX(Data!$AH:$AH,MATCH(AH$1,Data!$D:$D,0))/$B$4)</f>
        <v/>
      </c>
      <c r="AI2" s="16" t="str">
        <f>IF(AI$1="","",INDEX(Data!$AH:$AH,MATCH(AI$1,Data!$D:$D,0))/$B$4)</f>
        <v/>
      </c>
      <c r="AJ2" s="16" t="str">
        <f>IF(AJ$1="","",INDEX(Data!$AH:$AH,MATCH(AJ$1,Data!$D:$D,0))/$B$4)</f>
        <v/>
      </c>
      <c r="AK2" s="16" t="str">
        <f>IF(AK$1="","",INDEX(Data!$AH:$AH,MATCH(AK$1,Data!$D:$D,0))/$B$4)</f>
        <v/>
      </c>
      <c r="AL2" s="16" t="str">
        <f>IF(AL$1="","",INDEX(Data!$AH:$AH,MATCH(AL$1,Data!$D:$D,0))/$B$4)</f>
        <v/>
      </c>
      <c r="AM2" s="16" t="str">
        <f>IF(AM$1="","",INDEX(Data!$AH:$AH,MATCH(AM$1,Data!$D:$D,0))/$B$4)</f>
        <v/>
      </c>
      <c r="AN2" s="16" t="str">
        <f>IF(AN$1="","",INDEX(Data!$AH:$AH,MATCH(AN$1,Data!$D:$D,0))/$B$4)</f>
        <v/>
      </c>
      <c r="AO2" s="16" t="str">
        <f>IF(AO$1="","",INDEX(Data!$AH:$AH,MATCH(AO$1,Data!$D:$D,0))/$B$4)</f>
        <v/>
      </c>
      <c r="AP2" s="16" t="str">
        <f>IF(AP$1="","",INDEX(Data!$AH:$AH,MATCH(AP$1,Data!$D:$D,0))/$B$4)</f>
        <v/>
      </c>
      <c r="AQ2" s="16" t="str">
        <f>IF(AQ$1="","",INDEX(Data!$AH:$AH,MATCH(AQ$1,Data!$D:$D,0))/$B$4)</f>
        <v/>
      </c>
      <c r="AR2" s="16" t="str">
        <f>IF(AR$1="","",INDEX(Data!$AH:$AH,MATCH(AR$1,Data!$D:$D,0))/$B$4)</f>
        <v/>
      </c>
      <c r="AS2" s="16" t="str">
        <f>IF(AS$1="","",INDEX(Data!$AH:$AH,MATCH(AS$1,Data!$D:$D,0))/$B$4)</f>
        <v/>
      </c>
      <c r="AT2" s="16" t="str">
        <f>IF(AT$1="","",INDEX(Data!$AH:$AH,MATCH(AT$1,Data!$D:$D,0))/$B$4)</f>
        <v/>
      </c>
      <c r="AU2" s="16" t="str">
        <f>IF(AU$1="","",INDEX(Data!$AH:$AH,MATCH(AU$1,Data!$D:$D,0))/$B$4)</f>
        <v/>
      </c>
      <c r="AV2" s="16" t="str">
        <f>IF(AV$1="","",INDEX(Data!$AH:$AH,MATCH(AV$1,Data!$D:$D,0))/$B$4)</f>
        <v/>
      </c>
      <c r="AW2" s="16" t="str">
        <f>IF(AW$1="","",INDEX(Data!$AH:$AH,MATCH(AW$1,Data!$D:$D,0))/$B$4)</f>
        <v/>
      </c>
      <c r="AX2" s="16" t="str">
        <f>IF(AX$1="","",INDEX(Data!$AH:$AH,MATCH(AX$1,Data!$D:$D,0))/$B$4)</f>
        <v/>
      </c>
      <c r="AY2" s="16" t="str">
        <f>IF(AY$1="","",INDEX(Data!$AH:$AH,MATCH(AY$1,Data!$D:$D,0))/$B$4)</f>
        <v/>
      </c>
      <c r="AZ2" s="16" t="str">
        <f>IF(AZ$1="","",INDEX(Data!$AH:$AH,MATCH(AZ$1,Data!$D:$D,0))/$B$4)</f>
        <v/>
      </c>
      <c r="BA2" s="16" t="str">
        <f>IF(BA$1="","",INDEX(Data!$AH:$AH,MATCH(BA$1,Data!$D:$D,0))/$B$4)</f>
        <v/>
      </c>
      <c r="BB2" s="16" t="str">
        <f>IF(BB$1="","",INDEX(Data!$AH:$AH,MATCH(BB$1,Data!$D:$D,0))/$B$4)</f>
        <v/>
      </c>
      <c r="BC2" s="16" t="str">
        <f>IF(BC$1="","",INDEX(Data!$AH:$AH,MATCH(BC$1,Data!$D:$D,0))/$B$4)</f>
        <v/>
      </c>
      <c r="BD2" s="16" t="str">
        <f>IF(BD$1="","",INDEX(Data!$AH:$AH,MATCH(BD$1,Data!$D:$D,0))/$B$4)</f>
        <v/>
      </c>
      <c r="BE2" s="16" t="str">
        <f>IF(BE$1="","",INDEX(Data!$AH:$AH,MATCH(BE$1,Data!$D:$D,0))/$B$4)</f>
        <v/>
      </c>
      <c r="BF2" s="16" t="str">
        <f>IF(BF$1="","",INDEX(Data!$AH:$AH,MATCH(BF$1,Data!$D:$D,0))/$B$4)</f>
        <v/>
      </c>
      <c r="BG2" s="16" t="str">
        <f>IF(BG$1="","",INDEX(Data!$AH:$AH,MATCH(BG$1,Data!$D:$D,0))/$B$4)</f>
        <v/>
      </c>
      <c r="BH2" s="17" t="str">
        <f>IF(BH$1="","",INDEX(Data!$AH:$AH,MATCH(BH$1,Data!$D:$D,0))/$B$4)</f>
        <v/>
      </c>
    </row>
    <row r="3" spans="1:119" x14ac:dyDescent="0.3">
      <c r="A3" s="18" t="s">
        <v>10906</v>
      </c>
      <c r="D3" s="68"/>
      <c r="E3" s="19">
        <v>0</v>
      </c>
      <c r="F3" s="20" t="s">
        <v>67</v>
      </c>
      <c r="G3" s="154" t="e">
        <f>_xlfn.XLOOKUP(Data!AK$2,[77]Funds!$A:$A,[77]Funds!$E:$E)</f>
        <v>#N/A</v>
      </c>
      <c r="H3" s="158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4"/>
    </row>
    <row r="4" spans="1:119" ht="16.5" thickBot="1" x14ac:dyDescent="0.35">
      <c r="A4" s="63" t="s">
        <v>63</v>
      </c>
      <c r="B4" s="112">
        <f>SUM(Data!$L:$L)</f>
        <v>0</v>
      </c>
      <c r="C4" s="67">
        <f>SUM(Data!$N:$N)/100</f>
        <v>3137.87490355</v>
      </c>
      <c r="E4" s="36">
        <f>IF(ISNA(MATCH($G4,Data!$E:$E,0)),0,_xlfn.XLOOKUP($G4,Data!$E:$E,Data!$AI:$AI))+IF(ISNA(MATCH(186,Data!$E:$E,0)),0,_xlfn.XLOOKUP(186,Data!$E:$E,Data!$AI:$AI))</f>
        <v>0</v>
      </c>
      <c r="F4" s="20" t="s">
        <v>69</v>
      </c>
      <c r="G4" s="183" t="s">
        <v>10923</v>
      </c>
      <c r="H4" s="159" t="str" cm="1">
        <f t="array" ref="H4">"World equity indices ("&amp;SUMPRODUCT((Data!$C:$C="Equity Derivatives")*(Data!$W:$W&lt;&gt;"ZAR"))&amp;")"</f>
        <v>World equity indices (0)</v>
      </c>
      <c r="I4" s="161" t="str" cm="1">
        <f t="array" ref="I4">IF(ISNA(MATCH(1,("Equity derivatives"=Data!C:C)*("ZAR"&lt;&gt;Data!W:W),0)),"",INDEX(Data!D:D,MATCH(1,("Equity derivatives"=Data!C:C)*("ZAR"&lt;&gt;Data!W:W),0)))</f>
        <v/>
      </c>
      <c r="J4" s="28" t="str" cm="1">
        <f t="array" ref="J4">IF(COUNTA($I$4:I$4)&lt;COUNTIFS(Data!$C:$C,"Equity derivatives",Data!$W:$W,"&lt;&gt;ZAR"),INDEX(Data!$D:$D,MATCH(I$4,Data!$D:$D,0)+1),"")</f>
        <v/>
      </c>
      <c r="K4" s="28" t="str" cm="1">
        <f t="array" ref="K4">IF(COUNTA($I$4:J$4)&lt;COUNTIFS(Data!$C:$C,"Equity derivatives",Data!$W:$W,"&lt;&gt;ZAR"),INDEX(Data!$D:$D,MATCH(J$4,Data!$D:$D,0)+1),"")</f>
        <v/>
      </c>
      <c r="L4" s="28" t="str" cm="1">
        <f t="array" ref="L4">IF(COUNTA($I$4:K$4)&lt;COUNTIFS(Data!$C:$C,"Equity derivatives",Data!$W:$W,"&lt;&gt;ZAR"),INDEX(Data!$D:$D,MATCH(K$4,Data!$D:$D,0)+1),"")</f>
        <v/>
      </c>
      <c r="M4" s="28" t="str" cm="1">
        <f t="array" ref="M4">IF(COUNTA($I$4:L$4)&lt;COUNTIFS(Data!$C:$C,"Equity derivatives",Data!$W:$W,"&lt;&gt;ZAR"),INDEX(Data!$D:$D,MATCH(L$4,Data!$D:$D,0)+1),"")</f>
        <v/>
      </c>
      <c r="N4" s="28" t="str" cm="1">
        <f t="array" ref="N4">IF(COUNTA($I$4:M$4)&lt;COUNTIFS(Data!$C:$C,"Equity derivatives",Data!$W:$W,"&lt;&gt;ZAR"),INDEX(Data!$D:$D,MATCH(M$4,Data!$D:$D,0)+1),"")</f>
        <v/>
      </c>
      <c r="O4" s="28" t="str" cm="1">
        <f t="array" ref="O4">IF(COUNTA($I$4:N$4)&lt;COUNTIFS(Data!$C:$C,"Equity derivatives",Data!$W:$W,"&lt;&gt;ZAR"),INDEX(Data!$D:$D,MATCH(N$4,Data!$D:$D,0)+1),"")</f>
        <v/>
      </c>
      <c r="P4" s="28" t="str" cm="1">
        <f t="array" ref="P4">IF(COUNTA($I$4:O$4)&lt;COUNTIFS(Data!$C:$C,"Equity derivatives",Data!$W:$W,"&lt;&gt;ZAR"),INDEX(Data!$D:$D,MATCH(O$4,Data!$D:$D,0)+1),"")</f>
        <v/>
      </c>
      <c r="Q4" s="28" t="str" cm="1">
        <f t="array" ref="Q4">IF(COUNTA($I$4:P$4)&lt;COUNTIFS(Data!$C:$C,"Equity derivatives",Data!$W:$W,"&lt;&gt;ZAR"),INDEX(Data!$D:$D,MATCH(P$4,Data!$D:$D,0)+1),"")</f>
        <v/>
      </c>
      <c r="R4" s="28" t="str" cm="1">
        <f t="array" ref="R4">IF(COUNTA($I$4:Q$4)&lt;COUNTIFS(Data!$C:$C,"Equity derivatives",Data!$W:$W,"&lt;&gt;ZAR"),INDEX(Data!$D:$D,MATCH(Q$4,Data!$D:$D,0)+1),"")</f>
        <v/>
      </c>
      <c r="S4" s="28" t="str" cm="1">
        <f t="array" ref="S4">IF(COUNTA($I$4:R$4)&lt;COUNTIFS(Data!$C:$C,"Equity derivatives",Data!$W:$W,"&lt;&gt;ZAR"),INDEX(Data!$D:$D,MATCH(R$4,Data!$D:$D,0)+1),"")</f>
        <v/>
      </c>
      <c r="T4" s="28" t="str" cm="1">
        <f t="array" ref="T4">IF(COUNTA($I$4:S$4)&lt;COUNTIFS(Data!$C:$C,"Equity derivatives",Data!$W:$W,"&lt;&gt;ZAR"),INDEX(Data!$D:$D,MATCH(S$4,Data!$D:$D,0)+1),"")</f>
        <v/>
      </c>
      <c r="U4" s="28" t="str" cm="1">
        <f t="array" ref="U4">IF(COUNTA($I$4:T$4)&lt;COUNTIFS(Data!$C:$C,"Equity derivatives",Data!$W:$W,"&lt;&gt;ZAR"),INDEX(Data!$D:$D,MATCH(T$4,Data!$D:$D,0)+1),"")</f>
        <v/>
      </c>
      <c r="V4" s="28" t="str" cm="1">
        <f t="array" ref="V4">IF(COUNTA($I$4:U$4)&lt;COUNTIFS(Data!$C:$C,"Equity derivatives",Data!$W:$W,"&lt;&gt;ZAR"),INDEX(Data!$D:$D,MATCH(U$4,Data!$D:$D,0)+1),"")</f>
        <v/>
      </c>
      <c r="W4" s="28" t="str" cm="1">
        <f t="array" ref="W4">IF(COUNTA($I$4:V$4)&lt;COUNTIFS(Data!$C:$C,"Equity derivatives",Data!$W:$W,"&lt;&gt;ZAR"),INDEX(Data!$D:$D,MATCH(V$4,Data!$D:$D,0)+1),"")</f>
        <v/>
      </c>
      <c r="X4" s="28" t="str" cm="1">
        <f t="array" ref="X4">IF(COUNTA($I$4:W$4)&lt;COUNTIFS(Data!$C:$C,"Equity derivatives",Data!$W:$W,"&lt;&gt;ZAR"),INDEX(Data!$D:$D,MATCH(W$4,Data!$D:$D,0)+1),"")</f>
        <v/>
      </c>
      <c r="Y4" s="28" t="str" cm="1">
        <f t="array" ref="Y4">IF(COUNTA($I$4:X$4)&lt;COUNTIFS(Data!$C:$C,"Equity derivatives",Data!$W:$W,"&lt;&gt;ZAR"),INDEX(Data!$D:$D,MATCH(X$4,Data!$D:$D,0)+1),"")</f>
        <v/>
      </c>
      <c r="Z4" s="28" t="str" cm="1">
        <f t="array" ref="Z4">IF(COUNTA($I$4:Y$4)&lt;COUNTIFS(Data!$C:$C,"Equity derivatives",Data!$W:$W,"&lt;&gt;ZAR"),INDEX(Data!$D:$D,MATCH(Y$4,Data!$D:$D,0)+1),"")</f>
        <v/>
      </c>
      <c r="AA4" s="28" t="str" cm="1">
        <f t="array" ref="AA4">IF(COUNTA($I$4:Z$4)&lt;COUNTIFS(Data!$C:$C,"Equity derivatives",Data!$W:$W,"&lt;&gt;ZAR"),INDEX(Data!$D:$D,MATCH(Z$4,Data!$D:$D,0)+1),"")</f>
        <v/>
      </c>
      <c r="AB4" s="28" t="str" cm="1">
        <f t="array" ref="AB4">IF(COUNTA($I$4:AA$4)&lt;COUNTIFS(Data!$C:$C,"Equity derivatives",Data!$W:$W,"&lt;&gt;ZAR"),INDEX(Data!$D:$D,MATCH(AA$4,Data!$D:$D,0)+1),"")</f>
        <v/>
      </c>
      <c r="AC4" s="28" t="str" cm="1">
        <f t="array" ref="AC4">IF(COUNTA($I$4:AB$4)&lt;COUNTIFS(Data!$C:$C,"Equity derivatives",Data!$W:$W,"&lt;&gt;ZAR"),INDEX(Data!$D:$D,MATCH(AB$4,Data!$D:$D,0)+1),"")</f>
        <v/>
      </c>
      <c r="AD4" s="28" t="str" cm="1">
        <f t="array" ref="AD4">IF(COUNTA($I$4:AC$4)&lt;COUNTIFS(Data!$C:$C,"Equity derivatives",Data!$W:$W,"&lt;&gt;ZAR"),INDEX(Data!$D:$D,MATCH(AC$4,Data!$D:$D,0)+1),"")</f>
        <v/>
      </c>
      <c r="AE4" s="28" t="str" cm="1">
        <f t="array" ref="AE4">IF(COUNTA($I$4:AD$4)&lt;COUNTIFS(Data!$C:$C,"Equity derivatives",Data!$W:$W,"&lt;&gt;ZAR"),INDEX(Data!$D:$D,MATCH(AD$4,Data!$D:$D,0)+1),"")</f>
        <v/>
      </c>
      <c r="AF4" s="28" t="str" cm="1">
        <f t="array" ref="AF4">IF(COUNTA($I$4:AE$4)&lt;COUNTIFS(Data!$C:$C,"Equity derivatives",Data!$W:$W,"&lt;&gt;ZAR"),INDEX(Data!$D:$D,MATCH(AE$4,Data!$D:$D,0)+1),"")</f>
        <v/>
      </c>
      <c r="AG4" s="28" t="str" cm="1">
        <f t="array" ref="AG4">IF(COUNTA($I$4:AF$4)&lt;COUNTIFS(Data!$C:$C,"Equity derivatives",Data!$W:$W,"&lt;&gt;ZAR"),INDEX(Data!$D:$D,MATCH(AF$4,Data!$D:$D,0)+1),"")</f>
        <v/>
      </c>
      <c r="AH4" s="28" t="str" cm="1">
        <f t="array" ref="AH4">IF(COUNTA($I$4:AG$4)&lt;COUNTIFS(Data!$C:$C,"Equity derivatives",Data!$W:$W,"&lt;&gt;ZAR"),INDEX(Data!$D:$D,MATCH(AG$4,Data!$D:$D,0)+1),"")</f>
        <v/>
      </c>
      <c r="AI4" s="28" t="str" cm="1">
        <f t="array" ref="AI4">IF(COUNTA($I$4:AH$4)&lt;COUNTIFS(Data!$C:$C,"Equity derivatives",Data!$W:$W,"&lt;&gt;ZAR"),INDEX(Data!$D:$D,MATCH(AH$4,Data!$D:$D,0)+1),"")</f>
        <v/>
      </c>
      <c r="AJ4" s="28" t="str" cm="1">
        <f t="array" ref="AJ4">IF(COUNTA($I$4:AI$4)&lt;COUNTIFS(Data!$C:$C,"Equity derivatives",Data!$W:$W,"&lt;&gt;ZAR"),INDEX(Data!$D:$D,MATCH(AI$4,Data!$D:$D,0)+1),"")</f>
        <v/>
      </c>
      <c r="AK4" s="28" t="str" cm="1">
        <f t="array" ref="AK4">IF(COUNTA($I$4:AJ$4)&lt;COUNTIFS(Data!$C:$C,"Equity derivatives",Data!$W:$W,"&lt;&gt;ZAR"),INDEX(Data!$D:$D,MATCH(AJ$4,Data!$D:$D,0)+1),"")</f>
        <v/>
      </c>
      <c r="AL4" s="28" t="str" cm="1">
        <f t="array" ref="AL4">IF(COUNTA($I$4:AK$4)&lt;COUNTIFS(Data!$C:$C,"Equity derivatives",Data!$W:$W,"&lt;&gt;ZAR"),INDEX(Data!$D:$D,MATCH(AK$4,Data!$D:$D,0)+1),"")</f>
        <v/>
      </c>
      <c r="AM4" s="28" t="str" cm="1">
        <f t="array" ref="AM4">IF(COUNTA($I$4:AL$4)&lt;COUNTIFS(Data!$C:$C,"Equity derivatives",Data!$W:$W,"&lt;&gt;ZAR"),INDEX(Data!$D:$D,MATCH(AL$4,Data!$D:$D,0)+1),"")</f>
        <v/>
      </c>
      <c r="AN4" s="28" t="str" cm="1">
        <f t="array" ref="AN4">IF(COUNTA($I$4:AM$4)&lt;COUNTIFS(Data!$C:$C,"Equity derivatives",Data!$W:$W,"&lt;&gt;ZAR"),INDEX(Data!$D:$D,MATCH(AM$4,Data!$D:$D,0)+1),"")</f>
        <v/>
      </c>
      <c r="AO4" s="28" t="str" cm="1">
        <f t="array" ref="AO4">IF(COUNTA($I$4:AN$4)&lt;COUNTIFS(Data!$C:$C,"Equity derivatives",Data!$W:$W,"&lt;&gt;ZAR"),INDEX(Data!$D:$D,MATCH(AN$4,Data!$D:$D,0)+1),"")</f>
        <v/>
      </c>
      <c r="AP4" s="28" t="str" cm="1">
        <f t="array" ref="AP4">IF(COUNTA($I$4:AO$4)&lt;COUNTIFS(Data!$C:$C,"Equity derivatives",Data!$W:$W,"&lt;&gt;ZAR"),INDEX(Data!$D:$D,MATCH(AO$4,Data!$D:$D,0)+1),"")</f>
        <v/>
      </c>
      <c r="AQ4" s="28" t="str" cm="1">
        <f t="array" ref="AQ4">IF(COUNTA($I$4:AP$4)&lt;COUNTIFS(Data!$C:$C,"Equity derivatives",Data!$W:$W,"&lt;&gt;ZAR"),INDEX(Data!$D:$D,MATCH(AP$4,Data!$D:$D,0)+1),"")</f>
        <v/>
      </c>
      <c r="AR4" s="28" t="str" cm="1">
        <f t="array" ref="AR4">IF(COUNTA($I$4:AQ$4)&lt;COUNTIFS(Data!$C:$C,"Equity derivatives",Data!$W:$W,"&lt;&gt;ZAR"),INDEX(Data!$D:$D,MATCH(AQ$4,Data!$D:$D,0)+1),"")</f>
        <v/>
      </c>
      <c r="AS4" s="28" t="str" cm="1">
        <f t="array" ref="AS4">IF(COUNTA($I$4:AR$4)&lt;COUNTIFS(Data!$C:$C,"Equity derivatives",Data!$W:$W,"&lt;&gt;ZAR"),INDEX(Data!$D:$D,MATCH(AR$4,Data!$D:$D,0)+1),"")</f>
        <v/>
      </c>
      <c r="AT4" s="28" t="str" cm="1">
        <f t="array" ref="AT4">IF(COUNTA($I$4:AS$4)&lt;COUNTIFS(Data!$C:$C,"Equity derivatives",Data!$W:$W,"&lt;&gt;ZAR"),INDEX(Data!$D:$D,MATCH(AS$4,Data!$D:$D,0)+1),"")</f>
        <v/>
      </c>
      <c r="AU4" s="28" t="str" cm="1">
        <f t="array" ref="AU4">IF(COUNTA($I$4:AT$4)&lt;COUNTIFS(Data!$C:$C,"Equity derivatives",Data!$W:$W,"&lt;&gt;ZAR"),INDEX(Data!$D:$D,MATCH(AT$4,Data!$D:$D,0)+1),"")</f>
        <v/>
      </c>
      <c r="AV4" s="28" t="str" cm="1">
        <f t="array" ref="AV4">IF(COUNTA($I$4:AU$4)&lt;COUNTIFS(Data!$C:$C,"Equity derivatives",Data!$W:$W,"&lt;&gt;ZAR"),INDEX(Data!$D:$D,MATCH(AU$4,Data!$D:$D,0)+1),"")</f>
        <v/>
      </c>
      <c r="AW4" s="28" t="str" cm="1">
        <f t="array" ref="AW4">IF(COUNTA($I$4:AV$4)&lt;COUNTIFS(Data!$C:$C,"Equity derivatives",Data!$W:$W,"&lt;&gt;ZAR"),INDEX(Data!$D:$D,MATCH(AV$4,Data!$D:$D,0)+1),"")</f>
        <v/>
      </c>
      <c r="AX4" s="28" t="str" cm="1">
        <f t="array" ref="AX4">IF(COUNTA($I$4:AW$4)&lt;COUNTIFS(Data!$C:$C,"Equity derivatives",Data!$W:$W,"&lt;&gt;ZAR"),INDEX(Data!$D:$D,MATCH(AW$4,Data!$D:$D,0)+1),"")</f>
        <v/>
      </c>
      <c r="AY4" s="28" t="str" cm="1">
        <f t="array" ref="AY4">IF(COUNTA($I$4:AX$4)&lt;COUNTIFS(Data!$C:$C,"Equity derivatives",Data!$W:$W,"&lt;&gt;ZAR"),INDEX(Data!$D:$D,MATCH(AX$4,Data!$D:$D,0)+1),"")</f>
        <v/>
      </c>
      <c r="AZ4" s="28" t="str" cm="1">
        <f t="array" ref="AZ4">IF(COUNTA($I$4:AY$4)&lt;COUNTIFS(Data!$C:$C,"Equity derivatives",Data!$W:$W,"&lt;&gt;ZAR"),INDEX(Data!$D:$D,MATCH(AY$4,Data!$D:$D,0)+1),"")</f>
        <v/>
      </c>
      <c r="BA4" s="28" t="str" cm="1">
        <f t="array" ref="BA4">IF(COUNTA($I$4:AZ$4)&lt;COUNTIFS(Data!$C:$C,"Equity derivatives",Data!$W:$W,"&lt;&gt;ZAR"),INDEX(Data!$D:$D,MATCH(AZ$4,Data!$D:$D,0)+1),"")</f>
        <v/>
      </c>
      <c r="BB4" s="28" t="str" cm="1">
        <f t="array" ref="BB4">IF(COUNTA($I$4:BA$4)&lt;COUNTIFS(Data!$C:$C,"Equity derivatives",Data!$W:$W,"&lt;&gt;ZAR"),INDEX(Data!$D:$D,MATCH(BA$4,Data!$D:$D,0)+1),"")</f>
        <v/>
      </c>
      <c r="BC4" s="28" t="str" cm="1">
        <f t="array" ref="BC4">IF(COUNTA($I$4:BB$4)&lt;COUNTIFS(Data!$C:$C,"Equity derivatives",Data!$W:$W,"&lt;&gt;ZAR"),INDEX(Data!$D:$D,MATCH(BB$4,Data!$D:$D,0)+1),"")</f>
        <v/>
      </c>
      <c r="BD4" s="28" t="str" cm="1">
        <f t="array" ref="BD4">IF(COUNTA($I$4:BC$4)&lt;COUNTIFS(Data!$C:$C,"Equity derivatives",Data!$W:$W,"&lt;&gt;ZAR"),INDEX(Data!$D:$D,MATCH(BC$4,Data!$D:$D,0)+1),"")</f>
        <v/>
      </c>
      <c r="BE4" s="28" t="str" cm="1">
        <f t="array" ref="BE4">IF(COUNTA($I$4:BD$4)&lt;COUNTIFS(Data!$C:$C,"Equity derivatives",Data!$W:$W,"&lt;&gt;ZAR"),INDEX(Data!$D:$D,MATCH(BD$4,Data!$D:$D,0)+1),"")</f>
        <v/>
      </c>
      <c r="BF4" s="28" t="str" cm="1">
        <f t="array" ref="BF4">IF(COUNTA($I$4:BE$4)&lt;COUNTIFS(Data!$C:$C,"Equity derivatives",Data!$W:$W,"&lt;&gt;ZAR"),INDEX(Data!$D:$D,MATCH(BE$4,Data!$D:$D,0)+1),"")</f>
        <v/>
      </c>
      <c r="BG4" s="28" t="str" cm="1">
        <f t="array" ref="BG4">IF(COUNTA($I$4:BF$4)&lt;COUNTIFS(Data!$C:$C,"Equity derivatives",Data!$W:$W,"&lt;&gt;ZAR"),INDEX(Data!$D:$D,MATCH(BF$4,Data!$D:$D,0)+1),"")</f>
        <v/>
      </c>
      <c r="BH4" s="29" t="str" cm="1">
        <f t="array" ref="BH4">IF(COUNTA($I$4:BG$4)&lt;COUNTIFS(Data!$C:$C,"Equity derivatives",Data!$W:$W,"&lt;&gt;ZAR"),INDEX(Data!$D:$D,MATCH(BG$4,Data!$D:$D,0)+1),"")</f>
        <v/>
      </c>
    </row>
    <row r="5" spans="1:119" x14ac:dyDescent="0.3">
      <c r="D5" s="68"/>
      <c r="E5" s="25">
        <f>MIN(0,$H$8*100)</f>
        <v>0</v>
      </c>
      <c r="F5" s="26" t="s">
        <v>70</v>
      </c>
      <c r="H5" s="158">
        <f>IF(ISNA(SUM(I5:BH5)),0,SUM(I5:BH5))</f>
        <v>0</v>
      </c>
      <c r="I5" s="15" t="str">
        <f>IF(I$4="","",INDEX(Data!$AH:$AH,MATCH(I$4,Data!$D:$D,0))/$B$4)</f>
        <v/>
      </c>
      <c r="J5" s="16" t="str">
        <f>IF(J$4="","",INDEX(Data!$AH:$AH,MATCH(J$4,Data!$D:$D,0))/$B$4)</f>
        <v/>
      </c>
      <c r="K5" s="16" t="str">
        <f>IF(K$4="","",INDEX(Data!$AH:$AH,MATCH(K$4,Data!$D:$D,0))/$B$4)</f>
        <v/>
      </c>
      <c r="L5" s="16" t="str">
        <f>IF(L$4="","",INDEX(Data!$AH:$AH,MATCH(L$4,Data!$D:$D,0))/$B$4)</f>
        <v/>
      </c>
      <c r="M5" s="16" t="str">
        <f>IF(M$4="","",INDEX(Data!$AH:$AH,MATCH(M$4,Data!$D:$D,0))/$B$4)</f>
        <v/>
      </c>
      <c r="N5" s="16" t="str">
        <f>IF(N$4="","",INDEX(Data!$AH:$AH,MATCH(N$4,Data!$D:$D,0))/$B$4)</f>
        <v/>
      </c>
      <c r="O5" s="16" t="str">
        <f>IF(O$4="","",INDEX(Data!$AH:$AH,MATCH(O$4,Data!$D:$D,0))/$B$4)</f>
        <v/>
      </c>
      <c r="P5" s="16" t="str">
        <f>IF(P$4="","",INDEX(Data!$AH:$AH,MATCH(P$4,Data!$D:$D,0))/$B$4)</f>
        <v/>
      </c>
      <c r="Q5" s="16" t="str">
        <f>IF(Q$4="","",INDEX(Data!$AH:$AH,MATCH(Q$4,Data!$D:$D,0))/$B$4)</f>
        <v/>
      </c>
      <c r="R5" s="16" t="str">
        <f>IF(R$4="","",INDEX(Data!$AH:$AH,MATCH(R$4,Data!$D:$D,0))/$B$4)</f>
        <v/>
      </c>
      <c r="S5" s="16" t="str">
        <f>IF(S$4="","",INDEX(Data!$AH:$AH,MATCH(S$4,Data!$D:$D,0))/$B$4)</f>
        <v/>
      </c>
      <c r="T5" s="16" t="str">
        <f>IF(T$4="","",INDEX(Data!$AH:$AH,MATCH(T$4,Data!$D:$D,0))/$B$4)</f>
        <v/>
      </c>
      <c r="U5" s="16" t="str">
        <f>IF(U$4="","",INDEX(Data!$AH:$AH,MATCH(U$4,Data!$D:$D,0))/$B$4)</f>
        <v/>
      </c>
      <c r="V5" s="16" t="str">
        <f>IF(V$4="","",INDEX(Data!$AH:$AH,MATCH(V$4,Data!$D:$D,0))/$B$4)</f>
        <v/>
      </c>
      <c r="W5" s="16" t="str">
        <f>IF(W$4="","",INDEX(Data!$AH:$AH,MATCH(W$4,Data!$D:$D,0))/$B$4)</f>
        <v/>
      </c>
      <c r="X5" s="16" t="str">
        <f>IF(X$4="","",INDEX(Data!$AH:$AH,MATCH(X$4,Data!$D:$D,0))/$B$4)</f>
        <v/>
      </c>
      <c r="Y5" s="16" t="str">
        <f>IF(Y$4="","",INDEX(Data!$AH:$AH,MATCH(Y$4,Data!$D:$D,0))/$B$4)</f>
        <v/>
      </c>
      <c r="Z5" s="16" t="str">
        <f>IF(Z$4="","",INDEX(Data!$AH:$AH,MATCH(Z$4,Data!$D:$D,0))/$B$4)</f>
        <v/>
      </c>
      <c r="AA5" s="16" t="str">
        <f>IF(AA$4="","",INDEX(Data!$AH:$AH,MATCH(AA$4,Data!$D:$D,0))/$B$4)</f>
        <v/>
      </c>
      <c r="AB5" s="16" t="str">
        <f>IF(AB$4="","",INDEX(Data!$AH:$AH,MATCH(AB$4,Data!$D:$D,0))/$B$4)</f>
        <v/>
      </c>
      <c r="AC5" s="16" t="str">
        <f>IF(AC$4="","",INDEX(Data!$AH:$AH,MATCH(AC$4,Data!$D:$D,0))/$B$4)</f>
        <v/>
      </c>
      <c r="AD5" s="16" t="str">
        <f>IF(AD$4="","",INDEX(Data!$AH:$AH,MATCH(AD$4,Data!$D:$D,0))/$B$4)</f>
        <v/>
      </c>
      <c r="AE5" s="16" t="str">
        <f>IF(AE$4="","",INDEX(Data!$AH:$AH,MATCH(AE$4,Data!$D:$D,0))/$B$4)</f>
        <v/>
      </c>
      <c r="AF5" s="16" t="str">
        <f>IF(AF$4="","",INDEX(Data!$AH:$AH,MATCH(AF$4,Data!$D:$D,0))/$B$4)</f>
        <v/>
      </c>
      <c r="AG5" s="16" t="str">
        <f>IF(AG$4="","",INDEX(Data!$AH:$AH,MATCH(AG$4,Data!$D:$D,0))/$B$4)</f>
        <v/>
      </c>
      <c r="AH5" s="16" t="str">
        <f>IF(AH$4="","",INDEX(Data!$AH:$AH,MATCH(AH$4,Data!$D:$D,0))/$B$4)</f>
        <v/>
      </c>
      <c r="AI5" s="16" t="str">
        <f>IF(AI$4="","",INDEX(Data!$AH:$AH,MATCH(AI$4,Data!$D:$D,0))/$B$4)</f>
        <v/>
      </c>
      <c r="AJ5" s="16" t="str">
        <f>IF(AJ$4="","",INDEX(Data!$AH:$AH,MATCH(AJ$4,Data!$D:$D,0))/$B$4)</f>
        <v/>
      </c>
      <c r="AK5" s="16" t="str">
        <f>IF(AK$4="","",INDEX(Data!$AH:$AH,MATCH(AK$4,Data!$D:$D,0))/$B$4)</f>
        <v/>
      </c>
      <c r="AL5" s="16" t="str">
        <f>IF(AL$4="","",INDEX(Data!$AH:$AH,MATCH(AL$4,Data!$D:$D,0))/$B$4)</f>
        <v/>
      </c>
      <c r="AM5" s="16" t="str">
        <f>IF(AM$4="","",INDEX(Data!$AH:$AH,MATCH(AM$4,Data!$D:$D,0))/$B$4)</f>
        <v/>
      </c>
      <c r="AN5" s="16" t="str">
        <f>IF(AN$4="","",INDEX(Data!$AH:$AH,MATCH(AN$4,Data!$D:$D,0))/$B$4)</f>
        <v/>
      </c>
      <c r="AO5" s="16" t="str">
        <f>IF(AO$4="","",INDEX(Data!$AH:$AH,MATCH(AO$4,Data!$D:$D,0))/$B$4)</f>
        <v/>
      </c>
      <c r="AP5" s="16" t="str">
        <f>IF(AP$4="","",INDEX(Data!$AH:$AH,MATCH(AP$4,Data!$D:$D,0))/$B$4)</f>
        <v/>
      </c>
      <c r="AQ5" s="16" t="str">
        <f>IF(AQ$4="","",INDEX(Data!$AH:$AH,MATCH(AQ$4,Data!$D:$D,0))/$B$4)</f>
        <v/>
      </c>
      <c r="AR5" s="16" t="str">
        <f>IF(AR$4="","",INDEX(Data!$AH:$AH,MATCH(AR$4,Data!$D:$D,0))/$B$4)</f>
        <v/>
      </c>
      <c r="AS5" s="16" t="str">
        <f>IF(AS$4="","",INDEX(Data!$AH:$AH,MATCH(AS$4,Data!$D:$D,0))/$B$4)</f>
        <v/>
      </c>
      <c r="AT5" s="16" t="str">
        <f>IF(AT$4="","",INDEX(Data!$AH:$AH,MATCH(AT$4,Data!$D:$D,0))/$B$4)</f>
        <v/>
      </c>
      <c r="AU5" s="16" t="str">
        <f>IF(AU$4="","",INDEX(Data!$AH:$AH,MATCH(AU$4,Data!$D:$D,0))/$B$4)</f>
        <v/>
      </c>
      <c r="AV5" s="16" t="str">
        <f>IF(AV$4="","",INDEX(Data!$AH:$AH,MATCH(AV$4,Data!$D:$D,0))/$B$4)</f>
        <v/>
      </c>
      <c r="AW5" s="16" t="str">
        <f>IF(AW$4="","",INDEX(Data!$AH:$AH,MATCH(AW$4,Data!$D:$D,0))/$B$4)</f>
        <v/>
      </c>
      <c r="AX5" s="16" t="str">
        <f>IF(AX$4="","",INDEX(Data!$AH:$AH,MATCH(AX$4,Data!$D:$D,0))/$B$4)</f>
        <v/>
      </c>
      <c r="AY5" s="16" t="str">
        <f>IF(AY$4="","",INDEX(Data!$AH:$AH,MATCH(AY$4,Data!$D:$D,0))/$B$4)</f>
        <v/>
      </c>
      <c r="AZ5" s="16" t="str">
        <f>IF(AZ$4="","",INDEX(Data!$AH:$AH,MATCH(AZ$4,Data!$D:$D,0))/$B$4)</f>
        <v/>
      </c>
      <c r="BA5" s="16" t="str">
        <f>IF(BA$4="","",INDEX(Data!$AH:$AH,MATCH(BA$4,Data!$D:$D,0))/$B$4)</f>
        <v/>
      </c>
      <c r="BB5" s="16" t="str">
        <f>IF(BB$4="","",INDEX(Data!$AH:$AH,MATCH(BB$4,Data!$D:$D,0))/$B$4)</f>
        <v/>
      </c>
      <c r="BC5" s="16" t="str">
        <f>IF(BC$4="","",INDEX(Data!$AH:$AH,MATCH(BC$4,Data!$D:$D,0))/$B$4)</f>
        <v/>
      </c>
      <c r="BD5" s="16" t="str">
        <f>IF(BD$4="","",INDEX(Data!$AH:$AH,MATCH(BD$4,Data!$D:$D,0))/$B$4)</f>
        <v/>
      </c>
      <c r="BE5" s="16" t="str">
        <f>IF(BE$4="","",INDEX(Data!$AH:$AH,MATCH(BE$4,Data!$D:$D,0))/$B$4)</f>
        <v/>
      </c>
      <c r="BF5" s="16" t="str">
        <f>IF(BF$4="","",INDEX(Data!$AH:$AH,MATCH(BF$4,Data!$D:$D,0))/$B$4)</f>
        <v/>
      </c>
      <c r="BG5" s="16" t="str">
        <f>IF(BG$4="","",INDEX(Data!$AH:$AH,MATCH(BG$4,Data!$D:$D,0))/$B$4)</f>
        <v/>
      </c>
      <c r="BH5" s="17" t="str">
        <f>IF(BH$4="","",INDEX(Data!$AH:$AH,MATCH(BH$4,Data!$D:$D,0))/$B$4)</f>
        <v/>
      </c>
    </row>
    <row r="6" spans="1:119" ht="16.5" thickBot="1" x14ac:dyDescent="0.35">
      <c r="A6" s="63" t="s">
        <v>64</v>
      </c>
      <c r="B6" s="64">
        <f>SUM(B7:B11)</f>
        <v>0</v>
      </c>
      <c r="C6" s="68" t="e">
        <f>SUM(C7:C11)</f>
        <v>#DIV/0!</v>
      </c>
      <c r="D6" s="68"/>
      <c r="E6" s="32">
        <f>SUM(E3:E5)</f>
        <v>0</v>
      </c>
      <c r="F6" s="20" t="str">
        <f>IF($E6&gt;=0,"Adequate","INADEQUATE")&amp;" short SA bond bond derivative cover [BN90 16(1)(a) &amp; (b)]"</f>
        <v>Adequate short SA bond bond derivative cover [BN90 16(1)(a) &amp; (b)]</v>
      </c>
      <c r="H6" s="158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4"/>
    </row>
    <row r="7" spans="1:119" ht="16.5" thickTop="1" x14ac:dyDescent="0.3">
      <c r="A7" s="103" t="s">
        <v>10907</v>
      </c>
      <c r="B7" s="113">
        <f>SUMIF(Data!$B:$B,"CASH",Data!$AH:$AH)-SUMIF(Data!$E:$E,"SAFEX",Data!$AH:$AH)-SUMIF(Data!$E:$E,"VARMARG",Data!$AH:$AH)</f>
        <v>0</v>
      </c>
      <c r="C7" s="69" t="e">
        <f>$B7/$B$4</f>
        <v>#DIV/0!</v>
      </c>
      <c r="D7" s="68"/>
      <c r="H7" s="159" t="str" cm="1">
        <f t="array" ref="H7">"SA bond indices ("&amp;SUMPRODUCT((Data!$C:$C="Bond Derivatives")*(Data!$W:$W="ZAR"))&amp;")"</f>
        <v>SA bond indices (0)</v>
      </c>
      <c r="I7" s="161" t="str" cm="1">
        <f t="array" ref="I7">IF(ISNA(MATCH(1,("Bond derivatives"=Data!C:C)*("ZAR"=Data!W:W),0)),"",INDEX(Data!D:D,MATCH(1,("Bond derivatives"=Data!C:C)*("ZAR"=Data!W:W),0)))</f>
        <v/>
      </c>
      <c r="J7" s="28" t="str" cm="1">
        <f t="array" ref="J7">IF(I7&lt;&gt;"",IF(COUNTA($I$7:I$7)&lt;COUNTIF(Data!$C:$C,"Bond Derivatives"),INDEX(Data!$D:$D,MATCH(I$7,Data!$D:$D,0)+1),""),"")</f>
        <v/>
      </c>
      <c r="K7" s="28" t="str" cm="1">
        <f t="array" ref="K7">IF(COUNTA($I$7:J$7)&lt;COUNTIF(Data!$C:$C,"Bond derivatives"),INDEX(Data!$D:$D,MATCH(J$7,Data!$D:$D,0)+1),"")</f>
        <v/>
      </c>
      <c r="L7" s="28" t="str" cm="1">
        <f t="array" ref="L7">IF(COUNTA($I$7:K$7)&lt;COUNTIF(Data!$C:$C,"Bond derivatives"),INDEX(Data!$D:$D,MATCH(K$7,Data!$D:$D,0)+1),"")</f>
        <v/>
      </c>
      <c r="M7" s="28" t="str" cm="1">
        <f t="array" ref="M7">IF(COUNTA($I$7:L$7)&lt;COUNTIF(Data!$C:$C,"Bond derivatives"),INDEX(Data!$D:$D,MATCH(L$7,Data!$D:$D,0)+1),"")</f>
        <v/>
      </c>
      <c r="N7" s="28" t="str" cm="1">
        <f t="array" ref="N7">IF(COUNTA($I$7:M$7)&lt;COUNTIF(Data!$C:$C,"Bond derivatives"),INDEX(Data!$D:$D,MATCH(M$7,Data!$D:$D,0)+1),"")</f>
        <v/>
      </c>
      <c r="O7" s="28" t="str" cm="1">
        <f t="array" ref="O7">IF(COUNTA($I$7:N$7)&lt;COUNTIF(Data!$C:$C,"Bond derivatives"),INDEX(Data!$D:$D,MATCH(N$7,Data!$D:$D,0)+1),"")</f>
        <v/>
      </c>
      <c r="P7" s="28" t="str" cm="1">
        <f t="array" ref="P7">IF(COUNTA($I$7:O$7)&lt;COUNTIF(Data!$C:$C,"Bond derivatives"),INDEX(Data!$D:$D,MATCH(O$7,Data!$D:$D,0)+1),"")</f>
        <v/>
      </c>
      <c r="Q7" s="28" t="str" cm="1">
        <f t="array" ref="Q7">IF(COUNTA($I$7:P$7)&lt;COUNTIF(Data!$C:$C,"Bond derivatives"),INDEX(Data!$D:$D,MATCH(P$7,Data!$D:$D,0)+1),"")</f>
        <v/>
      </c>
      <c r="R7" s="28" t="str" cm="1">
        <f t="array" ref="R7">IF(COUNTA($I$7:Q$7)&lt;COUNTIF(Data!$C:$C,"Bond derivatives"),INDEX(Data!$D:$D,MATCH(Q$7,Data!$D:$D,0)+1),"")</f>
        <v/>
      </c>
      <c r="S7" s="28" t="str" cm="1">
        <f t="array" ref="S7">IF(COUNTA($I$7:R$7)&lt;COUNTIF(Data!$C:$C,"Bond derivatives"),INDEX(Data!$D:$D,MATCH(R$7,Data!$D:$D,0)+1),"")</f>
        <v/>
      </c>
      <c r="T7" s="28" t="str" cm="1">
        <f t="array" ref="T7">IF(COUNTA($I$7:S$7)&lt;COUNTIF(Data!$C:$C,"Bond derivatives"),INDEX(Data!$D:$D,MATCH(S$7,Data!$D:$D,0)+1),"")</f>
        <v/>
      </c>
      <c r="U7" s="28" t="str" cm="1">
        <f t="array" ref="U7">IF(COUNTA($I$7:T$7)&lt;COUNTIF(Data!$C:$C,"Bond derivatives"),INDEX(Data!$D:$D,MATCH(T$7,Data!$D:$D,0)+1),"")</f>
        <v/>
      </c>
      <c r="V7" s="28" t="str" cm="1">
        <f t="array" ref="V7">IF(COUNTA($I$7:U$7)&lt;COUNTIF(Data!$C:$C,"Bond derivatives"),INDEX(Data!$D:$D,MATCH(U$7,Data!$D:$D,0)+1),"")</f>
        <v/>
      </c>
      <c r="W7" s="28" t="str" cm="1">
        <f t="array" ref="W7">IF(COUNTA($I$7:V$7)&lt;COUNTIF(Data!$C:$C,"Bond derivatives"),INDEX(Data!$D:$D,MATCH(V$7,Data!$D:$D,0)+1),"")</f>
        <v/>
      </c>
      <c r="X7" s="28" t="str" cm="1">
        <f t="array" ref="X7">IF(COUNTA($I$7:W$7)&lt;COUNTIF(Data!$C:$C,"Bond derivatives"),INDEX(Data!$D:$D,MATCH(W$7,Data!$D:$D,0)+1),"")</f>
        <v/>
      </c>
      <c r="Y7" s="28" t="str" cm="1">
        <f t="array" ref="Y7">IF(COUNTA($I$7:X$7)&lt;COUNTIF(Data!$C:$C,"Bond derivatives"),INDEX(Data!$D:$D,MATCH(X$7,Data!$D:$D,0)+1),"")</f>
        <v/>
      </c>
      <c r="Z7" s="28" t="str" cm="1">
        <f t="array" ref="Z7">IF(COUNTA($I$7:Y$7)&lt;COUNTIF(Data!$C:$C,"Bond derivatives"),INDEX(Data!$D:$D,MATCH(Y$7,Data!$D:$D,0)+1),"")</f>
        <v/>
      </c>
      <c r="AA7" s="28" t="str" cm="1">
        <f t="array" ref="AA7">IF(COUNTA($I$7:Z$7)&lt;COUNTIF(Data!$C:$C,"Bond derivatives"),INDEX(Data!$D:$D,MATCH(Z$7,Data!$D:$D,0)+1),"")</f>
        <v/>
      </c>
      <c r="AB7" s="28" t="str" cm="1">
        <f t="array" ref="AB7">IF(COUNTA($I$7:AA$7)&lt;COUNTIF(Data!$C:$C,"Bond derivatives"),INDEX(Data!$D:$D,MATCH(AA$7,Data!$D:$D,0)+1),"")</f>
        <v/>
      </c>
      <c r="AC7" s="28" t="str" cm="1">
        <f t="array" ref="AC7">IF(COUNTA($I$7:AB$7)&lt;COUNTIF(Data!$C:$C,"Bond derivatives"),INDEX(Data!$D:$D,MATCH(AB$7,Data!$D:$D,0)+1),"")</f>
        <v/>
      </c>
      <c r="AD7" s="28" t="str" cm="1">
        <f t="array" ref="AD7">IF(COUNTA($I$7:AC$7)&lt;COUNTIF(Data!$C:$C,"Bond derivatives"),INDEX(Data!$D:$D,MATCH(AC$7,Data!$D:$D,0)+1),"")</f>
        <v/>
      </c>
      <c r="AE7" s="28" t="str" cm="1">
        <f t="array" ref="AE7">IF(COUNTA($I$7:AD$7)&lt;COUNTIF(Data!$C:$C,"Bond derivatives"),INDEX(Data!$D:$D,MATCH(AD$7,Data!$D:$D,0)+1),"")</f>
        <v/>
      </c>
      <c r="AF7" s="28" t="str" cm="1">
        <f t="array" ref="AF7">IF(COUNTA($I$7:AE$7)&lt;COUNTIF(Data!$C:$C,"Bond derivatives"),INDEX(Data!$D:$D,MATCH(AE$7,Data!$D:$D,0)+1),"")</f>
        <v/>
      </c>
      <c r="AG7" s="28" t="str" cm="1">
        <f t="array" ref="AG7">IF(COUNTA($I$7:AF$7)&lt;COUNTIF(Data!$C:$C,"Bond derivatives"),INDEX(Data!$D:$D,MATCH(AF$7,Data!$D:$D,0)+1),"")</f>
        <v/>
      </c>
      <c r="AH7" s="28" t="str" cm="1">
        <f t="array" ref="AH7">IF(COUNTA($I$7:AG$7)&lt;COUNTIF(Data!$C:$C,"Bond derivatives"),INDEX(Data!$D:$D,MATCH(AG$7,Data!$D:$D,0)+1),"")</f>
        <v/>
      </c>
      <c r="AI7" s="28" t="str" cm="1">
        <f t="array" ref="AI7">IF(COUNTA($I$7:AH$7)&lt;COUNTIF(Data!$C:$C,"Bond derivatives"),INDEX(Data!$D:$D,MATCH(AH$7,Data!$D:$D,0)+1),"")</f>
        <v/>
      </c>
      <c r="AJ7" s="28" t="str" cm="1">
        <f t="array" ref="AJ7">IF(COUNTA($I$7:AI$7)&lt;COUNTIF(Data!$C:$C,"Bond derivatives"),INDEX(Data!$D:$D,MATCH(AI$7,Data!$D:$D,0)+1),"")</f>
        <v/>
      </c>
      <c r="AK7" s="28" t="str" cm="1">
        <f t="array" ref="AK7">IF(COUNTA($I$7:AJ$7)&lt;COUNTIF(Data!$C:$C,"Bond derivatives"),INDEX(Data!$D:$D,MATCH(AJ$7,Data!$D:$D,0)+1),"")</f>
        <v/>
      </c>
      <c r="AL7" s="28" t="str" cm="1">
        <f t="array" ref="AL7">IF(COUNTA($I$7:AK$7)&lt;COUNTIF(Data!$C:$C,"Bond derivatives"),INDEX(Data!$D:$D,MATCH(AK$7,Data!$D:$D,0)+1),"")</f>
        <v/>
      </c>
      <c r="AM7" s="28" t="str" cm="1">
        <f t="array" ref="AM7">IF(COUNTA($I$7:AL$7)&lt;COUNTIF(Data!$C:$C,"Bond derivatives"),INDEX(Data!$D:$D,MATCH(AL$7,Data!$D:$D,0)+1),"")</f>
        <v/>
      </c>
      <c r="AN7" s="28" t="str" cm="1">
        <f t="array" ref="AN7">IF(COUNTA($I$7:AM$7)&lt;COUNTIF(Data!$C:$C,"Bond derivatives"),INDEX(Data!$D:$D,MATCH(AM$7,Data!$D:$D,0)+1),"")</f>
        <v/>
      </c>
      <c r="AO7" s="28" t="str" cm="1">
        <f t="array" ref="AO7">IF(COUNTA($I$7:AN$7)&lt;COUNTIF(Data!$C:$C,"Bond derivatives"),INDEX(Data!$D:$D,MATCH(AN$7,Data!$D:$D,0)+1),"")</f>
        <v/>
      </c>
      <c r="AP7" s="28" t="str" cm="1">
        <f t="array" ref="AP7">IF(COUNTA($I$7:AO$7)&lt;COUNTIF(Data!$C:$C,"Bond derivatives"),INDEX(Data!$D:$D,MATCH(AO$7,Data!$D:$D,0)+1),"")</f>
        <v/>
      </c>
      <c r="AQ7" s="28" t="str" cm="1">
        <f t="array" ref="AQ7">IF(COUNTA($I$7:AP$7)&lt;COUNTIF(Data!$C:$C,"Bond derivatives"),INDEX(Data!$D:$D,MATCH(AP$7,Data!$D:$D,0)+1),"")</f>
        <v/>
      </c>
      <c r="AR7" s="28" t="str" cm="1">
        <f t="array" ref="AR7">IF(COUNTA($I$7:AQ$7)&lt;COUNTIF(Data!$C:$C,"Bond derivatives"),INDEX(Data!$D:$D,MATCH(AQ$7,Data!$D:$D,0)+1),"")</f>
        <v/>
      </c>
      <c r="AS7" s="28" t="str" cm="1">
        <f t="array" ref="AS7">IF(COUNTA($I$7:AR$7)&lt;COUNTIF(Data!$C:$C,"Bond derivatives"),INDEX(Data!$D:$D,MATCH(AR$7,Data!$D:$D,0)+1),"")</f>
        <v/>
      </c>
      <c r="AT7" s="28" t="str" cm="1">
        <f t="array" ref="AT7">IF(COUNTA($I$7:AS$7)&lt;COUNTIF(Data!$C:$C,"Bond derivatives"),INDEX(Data!$D:$D,MATCH(AS$7,Data!$D:$D,0)+1),"")</f>
        <v/>
      </c>
      <c r="AU7" s="28" t="str" cm="1">
        <f t="array" ref="AU7">IF(COUNTA($I$7:AT$7)&lt;COUNTIF(Data!$C:$C,"Bond derivatives"),INDEX(Data!$D:$D,MATCH(AT$7,Data!$D:$D,0)+1),"")</f>
        <v/>
      </c>
      <c r="AV7" s="28" t="str" cm="1">
        <f t="array" ref="AV7">IF(COUNTA($I$7:AU$7)&lt;COUNTIF(Data!$C:$C,"Bond derivatives"),INDEX(Data!$D:$D,MATCH(AU$7,Data!$D:$D,0)+1),"")</f>
        <v/>
      </c>
      <c r="AW7" s="28" t="str" cm="1">
        <f t="array" ref="AW7">IF(COUNTA($I$7:AV$7)&lt;COUNTIF(Data!$C:$C,"Bond derivatives"),INDEX(Data!$D:$D,MATCH(AV$7,Data!$D:$D,0)+1),"")</f>
        <v/>
      </c>
      <c r="AX7" s="28" t="str" cm="1">
        <f t="array" ref="AX7">IF(COUNTA($I$7:AW$7)&lt;COUNTIF(Data!$C:$C,"Bond derivatives"),INDEX(Data!$D:$D,MATCH(AW$7,Data!$D:$D,0)+1),"")</f>
        <v/>
      </c>
      <c r="AY7" s="28" t="str" cm="1">
        <f t="array" ref="AY7">IF(COUNTA($I$7:AX$7)&lt;COUNTIF(Data!$C:$C,"Bond derivatives"),INDEX(Data!$D:$D,MATCH(AX$7,Data!$D:$D,0)+1),"")</f>
        <v/>
      </c>
      <c r="AZ7" s="28" t="str" cm="1">
        <f t="array" ref="AZ7">IF(COUNTA($I$7:AY$7)&lt;COUNTIF(Data!$C:$C,"Bond derivatives"),INDEX(Data!$D:$D,MATCH(AY$7,Data!$D:$D,0)+1),"")</f>
        <v/>
      </c>
      <c r="BA7" s="28" t="str" cm="1">
        <f t="array" ref="BA7">IF(COUNTA($I$7:AZ$7)&lt;COUNTIF(Data!$C:$C,"Bond derivatives"),INDEX(Data!$D:$D,MATCH(AZ$7,Data!$D:$D,0)+1),"")</f>
        <v/>
      </c>
      <c r="BB7" s="28" t="str" cm="1">
        <f t="array" ref="BB7">IF(COUNTA($I$7:BA$7)&lt;COUNTIF(Data!$C:$C,"Bond derivatives"),INDEX(Data!$D:$D,MATCH(BA$7,Data!$D:$D,0)+1),"")</f>
        <v/>
      </c>
      <c r="BC7" s="28" t="str" cm="1">
        <f t="array" ref="BC7">IF(COUNTA($I$7:BB$7)&lt;COUNTIF(Data!$C:$C,"Bond derivatives"),INDEX(Data!$D:$D,MATCH(BB$7,Data!$D:$D,0)+1),"")</f>
        <v/>
      </c>
      <c r="BD7" s="28" t="str" cm="1">
        <f t="array" ref="BD7">IF(COUNTA($I$7:BC$7)&lt;COUNTIF(Data!$C:$C,"Bond derivatives"),INDEX(Data!$D:$D,MATCH(BC$7,Data!$D:$D,0)+1),"")</f>
        <v/>
      </c>
      <c r="BE7" s="28" t="str" cm="1">
        <f t="array" ref="BE7">IF(COUNTA($I$7:BD$7)&lt;COUNTIF(Data!$C:$C,"Bond derivatives"),INDEX(Data!$D:$D,MATCH(BD$7,Data!$D:$D,0)+1),"")</f>
        <v/>
      </c>
      <c r="BF7" s="28" t="str" cm="1">
        <f t="array" ref="BF7">IF(COUNTA($I$7:BE$7)&lt;COUNTIF(Data!$C:$C,"Bond derivatives"),INDEX(Data!$D:$D,MATCH(BE$7,Data!$D:$D,0)+1),"")</f>
        <v/>
      </c>
      <c r="BG7" s="28" t="str" cm="1">
        <f t="array" ref="BG7">IF(COUNTA($I$7:BF$7)&lt;COUNTIF(Data!$C:$C,"Bond derivatives"),INDEX(Data!$D:$D,MATCH(BF$7,Data!$D:$D,0)+1),"")</f>
        <v/>
      </c>
      <c r="BH7" s="29" t="str" cm="1">
        <f t="array" ref="BH7">IF(COUNTA($I$7:BG$7)&lt;COUNTIF(Data!$C:$C,"Bond derivatives"),INDEX(Data!$D:$D,MATCH(BG$7,Data!$D:$D,0)+1),"")</f>
        <v/>
      </c>
    </row>
    <row r="8" spans="1:119" x14ac:dyDescent="0.3">
      <c r="A8" s="103" t="str">
        <f>"Money market instruments"&amp;IF($A3="UT"," (excl CLNs and &gt; 13 month bonds)","")</f>
        <v>Money market instruments (excl CLNs and &gt; 13 month bonds)</v>
      </c>
      <c r="B8" s="114" cm="1">
        <f t="array" ref="B8">IF($A3="UT",SUMPRODUCT((Data!$B:$B="MONEY MARKET")*((Data!$P:$P&lt;Data!$AJ$2+397)*(Data!$V:$V&lt;&gt;"CLN")),(Data!$AH:$AH)),SUMIF(Data!$B:$B,"MONEY MARKET",Data!$AH:$AH))</f>
        <v>0</v>
      </c>
      <c r="C8" s="70" t="e">
        <f>$B8/$B$4</f>
        <v>#DIV/0!</v>
      </c>
      <c r="D8" s="68"/>
      <c r="E8" s="19">
        <f>SUM(BM!$V:$V)</f>
        <v>0</v>
      </c>
      <c r="F8" s="20" t="s">
        <v>71</v>
      </c>
      <c r="H8" s="158">
        <f>SUM(I8:BH8)</f>
        <v>0</v>
      </c>
      <c r="I8" s="15" t="str">
        <f>IF(I$7="","",INDEX(Data!$AH:$AH,MATCH(I$7,Data!$D:$D,0))/$B$4)</f>
        <v/>
      </c>
      <c r="J8" s="16" t="str">
        <f>IF(J$7="","",INDEX(Data!$AH:$AH,MATCH(J$7,Data!$D:$D,0))/$B$4)</f>
        <v/>
      </c>
      <c r="K8" s="16" t="str">
        <f>IF(K$7="","",INDEX(Data!$AH:$AH,MATCH(K$7,Data!$D:$D,0))/$B$4)</f>
        <v/>
      </c>
      <c r="L8" s="16" t="str">
        <f>IF(L$7="","",INDEX(Data!$AH:$AH,MATCH(L$7,Data!$D:$D,0))/$B$4)</f>
        <v/>
      </c>
      <c r="M8" s="16" t="str">
        <f>IF(M$7="","",INDEX(Data!$AH:$AH,MATCH(M$7,Data!$D:$D,0))/$B$4)</f>
        <v/>
      </c>
      <c r="N8" s="16" t="str">
        <f>IF(N$7="","",INDEX(Data!$AH:$AH,MATCH(N$7,Data!$D:$D,0))/$B$4)</f>
        <v/>
      </c>
      <c r="O8" s="16" t="str">
        <f>IF(O$7="","",INDEX(Data!$AH:$AH,MATCH(O$7,Data!$D:$D,0))/$B$4)</f>
        <v/>
      </c>
      <c r="P8" s="16" t="str">
        <f>IF(P$7="","",INDEX(Data!$AH:$AH,MATCH(P$7,Data!$D:$D,0))/$B$4)</f>
        <v/>
      </c>
      <c r="Q8" s="16" t="str">
        <f>IF(Q$7="","",INDEX(Data!$AH:$AH,MATCH(Q$7,Data!$D:$D,0))/$B$4)</f>
        <v/>
      </c>
      <c r="R8" s="16" t="str">
        <f>IF(R$7="","",INDEX(Data!$AH:$AH,MATCH(R$7,Data!$D:$D,0))/$B$4)</f>
        <v/>
      </c>
      <c r="S8" s="16" t="str">
        <f>IF(S$7="","",INDEX(Data!$AH:$AH,MATCH(S$7,Data!$D:$D,0))/$B$4)</f>
        <v/>
      </c>
      <c r="T8" s="16" t="str">
        <f>IF(T$7="","",INDEX(Data!$AH:$AH,MATCH(T$7,Data!$D:$D,0))/$B$4)</f>
        <v/>
      </c>
      <c r="U8" s="16" t="str">
        <f>IF(U$7="","",INDEX(Data!$AH:$AH,MATCH(U$7,Data!$D:$D,0))/$B$4)</f>
        <v/>
      </c>
      <c r="V8" s="16" t="str">
        <f>IF(V$7="","",INDEX(Data!$AH:$AH,MATCH(V$7,Data!$D:$D,0))/$B$4)</f>
        <v/>
      </c>
      <c r="W8" s="16" t="str">
        <f>IF(W$7="","",INDEX(Data!$AH:$AH,MATCH(W$7,Data!$D:$D,0))/$B$4)</f>
        <v/>
      </c>
      <c r="X8" s="16" t="str">
        <f>IF(X$7="","",INDEX(Data!$AH:$AH,MATCH(X$7,Data!$D:$D,0))/$B$4)</f>
        <v/>
      </c>
      <c r="Y8" s="16" t="str">
        <f>IF(Y$7="","",INDEX(Data!$AH:$AH,MATCH(Y$7,Data!$D:$D,0))/$B$4)</f>
        <v/>
      </c>
      <c r="Z8" s="16" t="str">
        <f>IF(Z$7="","",INDEX(Data!$AH:$AH,MATCH(Z$7,Data!$D:$D,0))/$B$4)</f>
        <v/>
      </c>
      <c r="AA8" s="16" t="str">
        <f>IF(AA$7="","",INDEX(Data!$AH:$AH,MATCH(AA$7,Data!$D:$D,0))/$B$4)</f>
        <v/>
      </c>
      <c r="AB8" s="16" t="str">
        <f>IF(AB$7="","",INDEX(Data!$AH:$AH,MATCH(AB$7,Data!$D:$D,0))/$B$4)</f>
        <v/>
      </c>
      <c r="AC8" s="16" t="str">
        <f>IF(AC$7="","",INDEX(Data!$AH:$AH,MATCH(AC$7,Data!$D:$D,0))/$B$4)</f>
        <v/>
      </c>
      <c r="AD8" s="16" t="str">
        <f>IF(AD$7="","",INDEX(Data!$AH:$AH,MATCH(AD$7,Data!$D:$D,0))/$B$4)</f>
        <v/>
      </c>
      <c r="AE8" s="16" t="str">
        <f>IF(AE$7="","",INDEX(Data!$AH:$AH,MATCH(AE$7,Data!$D:$D,0))/$B$4)</f>
        <v/>
      </c>
      <c r="AF8" s="16" t="str">
        <f>IF(AF$7="","",INDEX(Data!$AH:$AH,MATCH(AF$7,Data!$D:$D,0))/$B$4)</f>
        <v/>
      </c>
      <c r="AG8" s="16" t="str">
        <f>IF(AG$7="","",INDEX(Data!$AH:$AH,MATCH(AG$7,Data!$D:$D,0))/$B$4)</f>
        <v/>
      </c>
      <c r="AH8" s="16" t="str">
        <f>IF(AH$7="","",INDEX(Data!$AH:$AH,MATCH(AH$7,Data!$D:$D,0))/$B$4)</f>
        <v/>
      </c>
      <c r="AI8" s="16" t="str">
        <f>IF(AI$7="","",INDEX(Data!$AH:$AH,MATCH(AI$7,Data!$D:$D,0))/$B$4)</f>
        <v/>
      </c>
      <c r="AJ8" s="16" t="str">
        <f>IF(AJ$7="","",INDEX(Data!$AH:$AH,MATCH(AJ$7,Data!$D:$D,0))/$B$4)</f>
        <v/>
      </c>
      <c r="AK8" s="16" t="str">
        <f>IF(AK$7="","",INDEX(Data!$AH:$AH,MATCH(AK$7,Data!$D:$D,0))/$B$4)</f>
        <v/>
      </c>
      <c r="AL8" s="16" t="str">
        <f>IF(AL$7="","",INDEX(Data!$AH:$AH,MATCH(AL$7,Data!$D:$D,0))/$B$4)</f>
        <v/>
      </c>
      <c r="AM8" s="16" t="str">
        <f>IF(AM$7="","",INDEX(Data!$AH:$AH,MATCH(AM$7,Data!$D:$D,0))/$B$4)</f>
        <v/>
      </c>
      <c r="AN8" s="16" t="str">
        <f>IF(AN$7="","",INDEX(Data!$AH:$AH,MATCH(AN$7,Data!$D:$D,0))/$B$4)</f>
        <v/>
      </c>
      <c r="AO8" s="16" t="str">
        <f>IF(AO$7="","",INDEX(Data!$AH:$AH,MATCH(AO$7,Data!$D:$D,0))/$B$4)</f>
        <v/>
      </c>
      <c r="AP8" s="16" t="str">
        <f>IF(AP$7="","",INDEX(Data!$AH:$AH,MATCH(AP$7,Data!$D:$D,0))/$B$4)</f>
        <v/>
      </c>
      <c r="AQ8" s="16" t="str">
        <f>IF(AQ$7="","",INDEX(Data!$AH:$AH,MATCH(AQ$7,Data!$D:$D,0))/$B$4)</f>
        <v/>
      </c>
      <c r="AR8" s="16" t="str">
        <f>IF(AR$7="","",INDEX(Data!$AH:$AH,MATCH(AR$7,Data!$D:$D,0))/$B$4)</f>
        <v/>
      </c>
      <c r="AS8" s="16" t="str">
        <f>IF(AS$7="","",INDEX(Data!$AH:$AH,MATCH(AS$7,Data!$D:$D,0))/$B$4)</f>
        <v/>
      </c>
      <c r="AT8" s="16" t="str">
        <f>IF(AT$7="","",INDEX(Data!$AH:$AH,MATCH(AT$7,Data!$D:$D,0))/$B$4)</f>
        <v/>
      </c>
      <c r="AU8" s="16" t="str">
        <f>IF(AU$7="","",INDEX(Data!$AH:$AH,MATCH(AU$7,Data!$D:$D,0))/$B$4)</f>
        <v/>
      </c>
      <c r="AV8" s="16" t="str">
        <f>IF(AV$7="","",INDEX(Data!$AH:$AH,MATCH(AV$7,Data!$D:$D,0))/$B$4)</f>
        <v/>
      </c>
      <c r="AW8" s="16" t="str">
        <f>IF(AW$7="","",INDEX(Data!$AH:$AH,MATCH(AW$7,Data!$D:$D,0))/$B$4)</f>
        <v/>
      </c>
      <c r="AX8" s="16" t="str">
        <f>IF(AX$7="","",INDEX(Data!$AH:$AH,MATCH(AX$7,Data!$D:$D,0))/$B$4)</f>
        <v/>
      </c>
      <c r="AY8" s="16" t="str">
        <f>IF(AY$7="","",INDEX(Data!$AH:$AH,MATCH(AY$7,Data!$D:$D,0))/$B$4)</f>
        <v/>
      </c>
      <c r="AZ8" s="16" t="str">
        <f>IF(AZ$7="","",INDEX(Data!$AH:$AH,MATCH(AZ$7,Data!$D:$D,0))/$B$4)</f>
        <v/>
      </c>
      <c r="BA8" s="16" t="str">
        <f>IF(BA$7="","",INDEX(Data!$AH:$AH,MATCH(BA$7,Data!$D:$D,0))/$B$4)</f>
        <v/>
      </c>
      <c r="BB8" s="16" t="str">
        <f>IF(BB$7="","",INDEX(Data!$AH:$AH,MATCH(BB$7,Data!$D:$D,0))/$B$4)</f>
        <v/>
      </c>
      <c r="BC8" s="16" t="str">
        <f>IF(BC$7="","",INDEX(Data!$AH:$AH,MATCH(BC$7,Data!$D:$D,0))/$B$4)</f>
        <v/>
      </c>
      <c r="BD8" s="16" t="str">
        <f>IF(BD$7="","",INDEX(Data!$AH:$AH,MATCH(BD$7,Data!$D:$D,0))/$B$4)</f>
        <v/>
      </c>
      <c r="BE8" s="16" t="str">
        <f>IF(BE$7="","",INDEX(Data!$AH:$AH,MATCH(BE$7,Data!$D:$D,0))/$B$4)</f>
        <v/>
      </c>
      <c r="BF8" s="16" t="str">
        <f>IF(BF$7="","",INDEX(Data!$AH:$AH,MATCH(BF$7,Data!$D:$D,0))/$B$4)</f>
        <v/>
      </c>
      <c r="BG8" s="16" t="str">
        <f>IF(BG$7="","",INDEX(Data!$AH:$AH,MATCH(BG$7,Data!$D:$D,0))/$B$4)</f>
        <v/>
      </c>
      <c r="BH8" s="17" t="str">
        <f>IF(BH$7="","",INDEX(Data!$AH:$AH,MATCH(BH$7,Data!$D:$D,0))/$B$4)</f>
        <v/>
      </c>
    </row>
    <row r="9" spans="1:119" x14ac:dyDescent="0.3">
      <c r="A9" s="103" t="s">
        <v>10908</v>
      </c>
      <c r="B9" s="114" cm="1">
        <f t="array" ref="B9">IF($A3="UT",SUMPRODUCT((Data!$B:$B="BONDS")*((Data!$P:$P&lt;Data!$AJ$2+397)*(Data!$V:$V&lt;&gt;"CLN")),(Data!$AH:$AH)),SUMIF(Data!$B:$B,"BONDS",Data!$AH:$AH))</f>
        <v>0</v>
      </c>
      <c r="C9" s="70" t="e">
        <f>$B9/$B$4</f>
        <v>#DIV/0!</v>
      </c>
      <c r="D9" s="68"/>
      <c r="E9" s="25">
        <f>MIN(0,$H$5*100)</f>
        <v>0</v>
      </c>
      <c r="F9" s="26" t="s">
        <v>70</v>
      </c>
      <c r="H9" s="184"/>
      <c r="BH9" s="29"/>
    </row>
    <row r="10" spans="1:119" ht="16.5" thickBot="1" x14ac:dyDescent="0.35">
      <c r="A10" s="103" t="s">
        <v>10900</v>
      </c>
      <c r="B10" s="114">
        <f>SUMIF(Data!$E:$E,"SAFEX",Data!$AH:$AH)</f>
        <v>0</v>
      </c>
      <c r="C10" s="70" t="e">
        <f>$B10/$B$4</f>
        <v>#DIV/0!</v>
      </c>
      <c r="D10" s="68"/>
      <c r="E10" s="32">
        <f>SUM(E8:E9)</f>
        <v>0</v>
      </c>
      <c r="F10" s="20" t="str">
        <f>IF($E10&gt;=0,"Adequate","INADEQUATE")&amp;" short MSCI derivative cover [BN90 16(1)(a) &amp; (b)]"</f>
        <v>Adequate short MSCI derivative cover [BN90 16(1)(a) &amp; (b)]</v>
      </c>
      <c r="H10" s="159" t="str" cm="1">
        <f t="array" ref="H10">"World bond indices ("&amp;SUMPRODUCT((Data!$C:$C="Bond Derivatives")*(Data!$W:$W&lt;&gt;"ZAR"))&amp;")"</f>
        <v>World bond indices (0)</v>
      </c>
      <c r="I10" s="161" t="str" cm="1">
        <f t="array" ref="I10">IF(ISNA(MATCH(1,("bond derivatives"=Data!C:C)*("ZAR"&lt;&gt;Data!W:W),0)),"",INDEX(Data!D:D,MATCH(1,("bond derivatives"=Data!C:C)*("ZAR"&lt;&gt;Data!W:W),0)))</f>
        <v/>
      </c>
      <c r="J10" s="28" t="str" cm="1">
        <f t="array" ref="J10">IF(I10&lt;&gt;"",IF(COUNTA($I$10:I$10)&lt;COUNTIF(Data!$C:$C,"Bond Derivatives"),INDEX(Data!$D:$D,MATCH(I$10,Data!$D:$D,0)+1),""),"")</f>
        <v/>
      </c>
      <c r="K10" s="28" t="str" cm="1">
        <f t="array" ref="K10">IF(COUNTA($I$10:J$10)&lt;COUNTIF(Data!$C:$C,"Bond Derivatives"),INDEX(Data!$D:$D,MATCH(J$10,Data!$D:$D,0)+1),"")</f>
        <v/>
      </c>
      <c r="L10" s="28" t="str" cm="1">
        <f t="array" ref="L10">IF(COUNTA($I$10:K$10)&lt;COUNTIF(Data!$C:$C,"Bond Derivatives"),INDEX(Data!$D:$D,MATCH(K$10,Data!$D:$D,0)+1),"")</f>
        <v/>
      </c>
      <c r="M10" s="28" t="str" cm="1">
        <f t="array" ref="M10">IF(COUNTA($I$10:L$10)&lt;COUNTIF(Data!$C:$C,"Bond Derivatives"),INDEX(Data!$D:$D,MATCH(L$10,Data!$D:$D,0)+1),"")</f>
        <v/>
      </c>
      <c r="N10" s="28" t="str" cm="1">
        <f t="array" ref="N10">IF(COUNTA($I$10:M$10)&lt;COUNTIF(Data!$C:$C,"Bond Derivatives"),INDEX(Data!$D:$D,MATCH(M$10,Data!$D:$D,0)+1),"")</f>
        <v/>
      </c>
      <c r="O10" s="28" t="str" cm="1">
        <f t="array" ref="O10">IF(COUNTA($I$10:N$10)&lt;COUNTIF(Data!$C:$C,"Bond Derivatives"),INDEX(Data!$D:$D,MATCH(N$10,Data!$D:$D,0)+1),"")</f>
        <v/>
      </c>
      <c r="P10" s="28" t="str" cm="1">
        <f t="array" ref="P10">IF(COUNTA($I$10:O$10)&lt;COUNTIF(Data!$C:$C,"Bond Derivatives"),INDEX(Data!$D:$D,MATCH(O$10,Data!$D:$D,0)+1),"")</f>
        <v/>
      </c>
      <c r="Q10" s="28" t="str" cm="1">
        <f t="array" ref="Q10">IF(COUNTA($I$10:P$10)&lt;COUNTIF(Data!$C:$C,"Bond Derivatives"),INDEX(Data!$D:$D,MATCH(P$10,Data!$D:$D,0)+1),"")</f>
        <v/>
      </c>
      <c r="R10" s="28" t="str" cm="1">
        <f t="array" ref="R10">IF(COUNTA($I$10:Q$10)&lt;COUNTIF(Data!$C:$C,"Bond Derivatives"),INDEX(Data!$D:$D,MATCH(Q$10,Data!$D:$D,0)+1),"")</f>
        <v/>
      </c>
      <c r="S10" s="28" t="str" cm="1">
        <f t="array" ref="S10">IF(COUNTA($I$10:R$10)&lt;COUNTIF(Data!$C:$C,"Bond Derivatives"),INDEX(Data!$D:$D,MATCH(R$10,Data!$D:$D,0)+1),"")</f>
        <v/>
      </c>
      <c r="T10" s="28" t="str" cm="1">
        <f t="array" ref="T10">IF(COUNTA($I$10:S$10)&lt;COUNTIF(Data!$C:$C,"Bond Derivatives"),INDEX(Data!$D:$D,MATCH(S$10,Data!$D:$D,0)+1),"")</f>
        <v/>
      </c>
      <c r="U10" s="28" t="str" cm="1">
        <f t="array" ref="U10">IF(COUNTA($I$10:T$10)&lt;COUNTIF(Data!$C:$C,"Bond Derivatives"),INDEX(Data!$D:$D,MATCH(T$10,Data!$D:$D,0)+1),"")</f>
        <v/>
      </c>
      <c r="V10" s="28" t="str" cm="1">
        <f t="array" ref="V10">IF(COUNTA($I$10:U$10)&lt;COUNTIF(Data!$C:$C,"Bond Derivatives"),INDEX(Data!$D:$D,MATCH(U$10,Data!$D:$D,0)+1),"")</f>
        <v/>
      </c>
      <c r="W10" s="28" t="str" cm="1">
        <f t="array" ref="W10">IF(COUNTA($I$10:V$10)&lt;COUNTIF(Data!$C:$C,"Bond Derivatives"),INDEX(Data!$D:$D,MATCH(V$10,Data!$D:$D,0)+1),"")</f>
        <v/>
      </c>
      <c r="X10" s="28" t="str" cm="1">
        <f t="array" ref="X10">IF(COUNTA($I$10:W$10)&lt;COUNTIF(Data!$C:$C,"Bond Derivatives"),INDEX(Data!$D:$D,MATCH(W$10,Data!$D:$D,0)+1),"")</f>
        <v/>
      </c>
      <c r="Y10" s="28" t="str" cm="1">
        <f t="array" ref="Y10">IF(COUNTA($I$10:X$10)&lt;COUNTIF(Data!$C:$C,"Bond Derivatives"),INDEX(Data!$D:$D,MATCH(X$10,Data!$D:$D,0)+1),"")</f>
        <v/>
      </c>
      <c r="Z10" s="28" t="str" cm="1">
        <f t="array" ref="Z10">IF(COUNTA($I$10:Y$10)&lt;COUNTIF(Data!$C:$C,"Bond Derivatives"),INDEX(Data!$D:$D,MATCH(Y$10,Data!$D:$D,0)+1),"")</f>
        <v/>
      </c>
      <c r="AA10" s="28" t="str" cm="1">
        <f t="array" ref="AA10">IF(COUNTA($I$10:Z$10)&lt;COUNTIF(Data!$C:$C,"Bond Derivatives"),INDEX(Data!$D:$D,MATCH(Z$10,Data!$D:$D,0)+1),"")</f>
        <v/>
      </c>
      <c r="AB10" s="28" t="str" cm="1">
        <f t="array" ref="AB10">IF(COUNTA($I$10:AA$10)&lt;COUNTIF(Data!$C:$C,"Bond Derivatives"),INDEX(Data!$D:$D,MATCH(AA$10,Data!$D:$D,0)+1),"")</f>
        <v/>
      </c>
      <c r="AC10" s="28" t="str" cm="1">
        <f t="array" ref="AC10">IF(COUNTA($I$10:AB$10)&lt;COUNTIF(Data!$C:$C,"Bond Derivatives"),INDEX(Data!$D:$D,MATCH(AB$10,Data!$D:$D,0)+1),"")</f>
        <v/>
      </c>
      <c r="AD10" s="28" t="str" cm="1">
        <f t="array" ref="AD10">IF(COUNTA($I$10:AC$10)&lt;COUNTIF(Data!$C:$C,"Bond Derivatives"),INDEX(Data!$D:$D,MATCH(AC$10,Data!$D:$D,0)+1),"")</f>
        <v/>
      </c>
      <c r="AE10" s="28" t="str" cm="1">
        <f t="array" ref="AE10">IF(COUNTA($I$10:AD$10)&lt;COUNTIF(Data!$C:$C,"Bond Derivatives"),INDEX(Data!$D:$D,MATCH(AD$10,Data!$D:$D,0)+1),"")</f>
        <v/>
      </c>
      <c r="AF10" s="28" t="str" cm="1">
        <f t="array" ref="AF10">IF(COUNTA($I$10:AE$10)&lt;COUNTIF(Data!$C:$C,"Bond Derivatives"),INDEX(Data!$D:$D,MATCH(AE$10,Data!$D:$D,0)+1),"")</f>
        <v/>
      </c>
      <c r="AG10" s="28" t="str" cm="1">
        <f t="array" ref="AG10">IF(COUNTA($I$10:AF$10)&lt;COUNTIF(Data!$C:$C,"Bond Derivatives"),INDEX(Data!$D:$D,MATCH(AF$10,Data!$D:$D,0)+1),"")</f>
        <v/>
      </c>
      <c r="AH10" s="28" t="str" cm="1">
        <f t="array" ref="AH10">IF(COUNTA($I$10:AG$10)&lt;COUNTIF(Data!$C:$C,"Bond Derivatives"),INDEX(Data!$D:$D,MATCH(AG$10,Data!$D:$D,0)+1),"")</f>
        <v/>
      </c>
      <c r="AI10" s="28" t="str" cm="1">
        <f t="array" ref="AI10">IF(COUNTA($I$10:AH$10)&lt;COUNTIF(Data!$C:$C,"Bond Derivatives"),INDEX(Data!$D:$D,MATCH(AH$10,Data!$D:$D,0)+1),"")</f>
        <v/>
      </c>
      <c r="AJ10" s="28" t="str" cm="1">
        <f t="array" ref="AJ10">IF(COUNTA($I$10:AI$10)&lt;COUNTIF(Data!$C:$C,"Bond Derivatives"),INDEX(Data!$D:$D,MATCH(AI$10,Data!$D:$D,0)+1),"")</f>
        <v/>
      </c>
      <c r="AK10" s="28" t="str" cm="1">
        <f t="array" ref="AK10">IF(COUNTA($I$10:AJ$10)&lt;COUNTIF(Data!$C:$C,"Bond Derivatives"),INDEX(Data!$D:$D,MATCH(AJ$10,Data!$D:$D,0)+1),"")</f>
        <v/>
      </c>
      <c r="AL10" s="28" t="str" cm="1">
        <f t="array" ref="AL10">IF(COUNTA($I$10:AK$10)&lt;COUNTIF(Data!$C:$C,"Bond Derivatives"),INDEX(Data!$D:$D,MATCH(AK$10,Data!$D:$D,0)+1),"")</f>
        <v/>
      </c>
      <c r="AM10" s="28" t="str" cm="1">
        <f t="array" ref="AM10">IF(COUNTA($I$10:AL$10)&lt;COUNTIF(Data!$C:$C,"Bond Derivatives"),INDEX(Data!$D:$D,MATCH(AL$10,Data!$D:$D,0)+1),"")</f>
        <v/>
      </c>
      <c r="AN10" s="28" t="str" cm="1">
        <f t="array" ref="AN10">IF(COUNTA($I$10:AM$10)&lt;COUNTIF(Data!$C:$C,"Bond Derivatives"),INDEX(Data!$D:$D,MATCH(AM$10,Data!$D:$D,0)+1),"")</f>
        <v/>
      </c>
      <c r="AO10" s="28" t="str" cm="1">
        <f t="array" ref="AO10">IF(COUNTA($I$10:AN$10)&lt;COUNTIF(Data!$C:$C,"Bond Derivatives"),INDEX(Data!$D:$D,MATCH(AN$10,Data!$D:$D,0)+1),"")</f>
        <v/>
      </c>
      <c r="AP10" s="28" t="str" cm="1">
        <f t="array" ref="AP10">IF(COUNTA($I$10:AO$10)&lt;COUNTIF(Data!$C:$C,"Bond Derivatives"),INDEX(Data!$D:$D,MATCH(AO$10,Data!$D:$D,0)+1),"")</f>
        <v/>
      </c>
      <c r="AQ10" s="28" t="str" cm="1">
        <f t="array" ref="AQ10">IF(COUNTA($I$10:AP$10)&lt;COUNTIF(Data!$C:$C,"Bond Derivatives"),INDEX(Data!$D:$D,MATCH(AP$10,Data!$D:$D,0)+1),"")</f>
        <v/>
      </c>
      <c r="AR10" s="28" t="str" cm="1">
        <f t="array" ref="AR10">IF(COUNTA($I$10:AQ$10)&lt;COUNTIF(Data!$C:$C,"Bond Derivatives"),INDEX(Data!$D:$D,MATCH(AQ$10,Data!$D:$D,0)+1),"")</f>
        <v/>
      </c>
      <c r="AS10" s="28" t="str" cm="1">
        <f t="array" ref="AS10">IF(COUNTA($I$10:AR$10)&lt;COUNTIF(Data!$C:$C,"Bond Derivatives"),INDEX(Data!$D:$D,MATCH(AR$10,Data!$D:$D,0)+1),"")</f>
        <v/>
      </c>
      <c r="AT10" s="28" t="str" cm="1">
        <f t="array" ref="AT10">IF(COUNTA($I$10:AS$10)&lt;COUNTIF(Data!$C:$C,"Bond Derivatives"),INDEX(Data!$D:$D,MATCH(AS$10,Data!$D:$D,0)+1),"")</f>
        <v/>
      </c>
      <c r="AU10" s="28" t="str" cm="1">
        <f t="array" ref="AU10">IF(COUNTA($I$10:AT$10)&lt;COUNTIF(Data!$C:$C,"Bond Derivatives"),INDEX(Data!$D:$D,MATCH(AT$10,Data!$D:$D,0)+1),"")</f>
        <v/>
      </c>
      <c r="AV10" s="28" t="str" cm="1">
        <f t="array" ref="AV10">IF(COUNTA($I$10:AU$10)&lt;COUNTIF(Data!$C:$C,"Bond Derivatives"),INDEX(Data!$D:$D,MATCH(AU$10,Data!$D:$D,0)+1),"")</f>
        <v/>
      </c>
      <c r="AW10" s="28" t="str" cm="1">
        <f t="array" ref="AW10">IF(COUNTA($I$10:AV$10)&lt;COUNTIF(Data!$C:$C,"Bond Derivatives"),INDEX(Data!$D:$D,MATCH(AV$10,Data!$D:$D,0)+1),"")</f>
        <v/>
      </c>
      <c r="AX10" s="28" t="str" cm="1">
        <f t="array" ref="AX10">IF(COUNTA($I$10:AW$10)&lt;COUNTIF(Data!$C:$C,"Bond Derivatives"),INDEX(Data!$D:$D,MATCH(AW$10,Data!$D:$D,0)+1),"")</f>
        <v/>
      </c>
      <c r="AY10" s="28" t="str" cm="1">
        <f t="array" ref="AY10">IF(COUNTA($I$10:AX$10)&lt;COUNTIF(Data!$C:$C,"Bond Derivatives"),INDEX(Data!$D:$D,MATCH(AX$10,Data!$D:$D,0)+1),"")</f>
        <v/>
      </c>
      <c r="AZ10" s="28" t="str" cm="1">
        <f t="array" ref="AZ10">IF(COUNTA($I$10:AY$10)&lt;COUNTIF(Data!$C:$C,"Bond Derivatives"),INDEX(Data!$D:$D,MATCH(AY$10,Data!$D:$D,0)+1),"")</f>
        <v/>
      </c>
      <c r="BA10" s="28" t="str" cm="1">
        <f t="array" ref="BA10">IF(COUNTA($I$10:AZ$10)&lt;COUNTIF(Data!$C:$C,"Bond Derivatives"),INDEX(Data!$D:$D,MATCH(AZ$10,Data!$D:$D,0)+1),"")</f>
        <v/>
      </c>
      <c r="BB10" s="28" t="str" cm="1">
        <f t="array" ref="BB10">IF(COUNTA($I$10:BA$10)&lt;COUNTIF(Data!$C:$C,"Bond Derivatives"),INDEX(Data!$D:$D,MATCH(BA$10,Data!$D:$D,0)+1),"")</f>
        <v/>
      </c>
      <c r="BC10" s="28" t="str" cm="1">
        <f t="array" ref="BC10">IF(COUNTA($I$10:BB$10)&lt;COUNTIF(Data!$C:$C,"Bond Derivatives"),INDEX(Data!$D:$D,MATCH(BB$10,Data!$D:$D,0)+1),"")</f>
        <v/>
      </c>
      <c r="BD10" s="28" t="str" cm="1">
        <f t="array" ref="BD10">IF(COUNTA($I$10:BC$10)&lt;COUNTIF(Data!$C:$C,"Bond Derivatives"),INDEX(Data!$D:$D,MATCH(BC$10,Data!$D:$D,0)+1),"")</f>
        <v/>
      </c>
      <c r="BE10" s="28" t="str" cm="1">
        <f t="array" ref="BE10">IF(COUNTA($I$10:BD$10)&lt;COUNTIF(Data!$C:$C,"Bond Derivatives"),INDEX(Data!$D:$D,MATCH(BD$10,Data!$D:$D,0)+1),"")</f>
        <v/>
      </c>
      <c r="BF10" s="28" t="str" cm="1">
        <f t="array" ref="BF10">IF(COUNTA($I$10:BE$10)&lt;COUNTIF(Data!$C:$C,"Bond Derivatives"),INDEX(Data!$D:$D,MATCH(BE$10,Data!$D:$D,0)+1),"")</f>
        <v/>
      </c>
      <c r="BG10" s="28" t="str" cm="1">
        <f t="array" ref="BG10">IF(COUNTA($I$10:BF$10)&lt;COUNTIF(Data!$C:$C,"Bond Derivatives"),INDEX(Data!$D:$D,MATCH(BF$10,Data!$D:$D,0)+1),"")</f>
        <v/>
      </c>
      <c r="BH10" s="29" t="str" cm="1">
        <f t="array" ref="BH10">IF(COUNTA($I$10:BG$10)&lt;COUNTIF(Data!$C:$C,"Bond Derivatives"),INDEX(Data!$D:$D,MATCH(BG$10,Data!$D:$D,0)+1),"")</f>
        <v/>
      </c>
    </row>
    <row r="11" spans="1:119" ht="16.5" thickTop="1" x14ac:dyDescent="0.3">
      <c r="A11" s="103" t="s">
        <v>10899</v>
      </c>
      <c r="B11" s="115">
        <f>SUMIF(Data!$E:$E,"VARMARG",Data!$AH:$AH)</f>
        <v>0</v>
      </c>
      <c r="C11" s="71" t="e">
        <f>$B11/$B$4</f>
        <v>#DIV/0!</v>
      </c>
      <c r="H11" s="158">
        <f>SUM(I11:BH11)</f>
        <v>0</v>
      </c>
      <c r="I11" s="15" t="str">
        <f>IF(I$10="","",INDEX(Data!$AH:$AH,MATCH(I$10,Data!$D:$D,0))/$B$4)</f>
        <v/>
      </c>
      <c r="J11" s="16" t="str">
        <f>IF(J$10="","",INDEX(Data!$AH:$AH,MATCH(J$10,Data!$D:$D,0))/$B$4)</f>
        <v/>
      </c>
      <c r="K11" s="16" t="str">
        <f>IF(K$10="","",INDEX(Data!$AH:$AH,MATCH(K$10,Data!$D:$D,0))/$B$4)</f>
        <v/>
      </c>
      <c r="L11" s="16" t="str">
        <f>IF(L$10="","",INDEX(Data!$AH:$AH,MATCH(L$10,Data!$D:$D,0))/$B$4)</f>
        <v/>
      </c>
      <c r="M11" s="16" t="str">
        <f>IF(M$10="","",INDEX(Data!$AH:$AH,MATCH(M$10,Data!$D:$D,0))/$B$4)</f>
        <v/>
      </c>
      <c r="N11" s="16" t="str">
        <f>IF(N$10="","",INDEX(Data!$AH:$AH,MATCH(N$10,Data!$D:$D,0))/$B$4)</f>
        <v/>
      </c>
      <c r="O11" s="16" t="str">
        <f>IF(O$10="","",INDEX(Data!$AH:$AH,MATCH(O$10,Data!$D:$D,0))/$B$4)</f>
        <v/>
      </c>
      <c r="P11" s="16" t="str">
        <f>IF(P$10="","",INDEX(Data!$AH:$AH,MATCH(P$10,Data!$D:$D,0))/$B$4)</f>
        <v/>
      </c>
      <c r="Q11" s="16" t="str">
        <f>IF(Q$10="","",INDEX(Data!$AH:$AH,MATCH(Q$10,Data!$D:$D,0))/$B$4)</f>
        <v/>
      </c>
      <c r="R11" s="16" t="str">
        <f>IF(R$10="","",INDEX(Data!$AH:$AH,MATCH(R$10,Data!$D:$D,0))/$B$4)</f>
        <v/>
      </c>
      <c r="S11" s="16" t="str">
        <f>IF(S$10="","",INDEX(Data!$AH:$AH,MATCH(S$10,Data!$D:$D,0))/$B$4)</f>
        <v/>
      </c>
      <c r="T11" s="16" t="str">
        <f>IF(T$10="","",INDEX(Data!$AH:$AH,MATCH(T$10,Data!$D:$D,0))/$B$4)</f>
        <v/>
      </c>
      <c r="U11" s="16" t="str">
        <f>IF(U$10="","",INDEX(Data!$AH:$AH,MATCH(U$10,Data!$D:$D,0))/$B$4)</f>
        <v/>
      </c>
      <c r="V11" s="16" t="str">
        <f>IF(V$10="","",INDEX(Data!$AH:$AH,MATCH(V$10,Data!$D:$D,0))/$B$4)</f>
        <v/>
      </c>
      <c r="W11" s="16" t="str">
        <f>IF(W$10="","",INDEX(Data!$AH:$AH,MATCH(W$10,Data!$D:$D,0))/$B$4)</f>
        <v/>
      </c>
      <c r="X11" s="16" t="str">
        <f>IF(X$10="","",INDEX(Data!$AH:$AH,MATCH(X$10,Data!$D:$D,0))/$B$4)</f>
        <v/>
      </c>
      <c r="Y11" s="16" t="str">
        <f>IF(Y$10="","",INDEX(Data!$AH:$AH,MATCH(Y$10,Data!$D:$D,0))/$B$4)</f>
        <v/>
      </c>
      <c r="Z11" s="16" t="str">
        <f>IF(Z$10="","",INDEX(Data!$AH:$AH,MATCH(Z$10,Data!$D:$D,0))/$B$4)</f>
        <v/>
      </c>
      <c r="AA11" s="16" t="str">
        <f>IF(AA$10="","",INDEX(Data!$AH:$AH,MATCH(AA$10,Data!$D:$D,0))/$B$4)</f>
        <v/>
      </c>
      <c r="AB11" s="16" t="str">
        <f>IF(AB$10="","",INDEX(Data!$AH:$AH,MATCH(AB$10,Data!$D:$D,0))/$B$4)</f>
        <v/>
      </c>
      <c r="AC11" s="16" t="str">
        <f>IF(AC$10="","",INDEX(Data!$AH:$AH,MATCH(AC$10,Data!$D:$D,0))/$B$4)</f>
        <v/>
      </c>
      <c r="AD11" s="16" t="str">
        <f>IF(AD$10="","",INDEX(Data!$AH:$AH,MATCH(AD$10,Data!$D:$D,0))/$B$4)</f>
        <v/>
      </c>
      <c r="AE11" s="16" t="str">
        <f>IF(AE$10="","",INDEX(Data!$AH:$AH,MATCH(AE$10,Data!$D:$D,0))/$B$4)</f>
        <v/>
      </c>
      <c r="AF11" s="16" t="str">
        <f>IF(AF$10="","",INDEX(Data!$AH:$AH,MATCH(AF$10,Data!$D:$D,0))/$B$4)</f>
        <v/>
      </c>
      <c r="AG11" s="16" t="str">
        <f>IF(AG$10="","",INDEX(Data!$AH:$AH,MATCH(AG$10,Data!$D:$D,0))/$B$4)</f>
        <v/>
      </c>
      <c r="AH11" s="16" t="str">
        <f>IF(AH$10="","",INDEX(Data!$AH:$AH,MATCH(AH$10,Data!$D:$D,0))/$B$4)</f>
        <v/>
      </c>
      <c r="AI11" s="16" t="str">
        <f>IF(AI$10="","",INDEX(Data!$AH:$AH,MATCH(AI$10,Data!$D:$D,0))/$B$4)</f>
        <v/>
      </c>
      <c r="AJ11" s="16" t="str">
        <f>IF(AJ$10="","",INDEX(Data!$AH:$AH,MATCH(AJ$10,Data!$D:$D,0))/$B$4)</f>
        <v/>
      </c>
      <c r="AK11" s="16" t="str">
        <f>IF(AK$10="","",INDEX(Data!$AH:$AH,MATCH(AK$10,Data!$D:$D,0))/$B$4)</f>
        <v/>
      </c>
      <c r="AL11" s="16" t="str">
        <f>IF(AL$10="","",INDEX(Data!$AH:$AH,MATCH(AL$10,Data!$D:$D,0))/$B$4)</f>
        <v/>
      </c>
      <c r="AM11" s="16" t="str">
        <f>IF(AM$10="","",INDEX(Data!$AH:$AH,MATCH(AM$10,Data!$D:$D,0))/$B$4)</f>
        <v/>
      </c>
      <c r="AN11" s="16" t="str">
        <f>IF(AN$10="","",INDEX(Data!$AH:$AH,MATCH(AN$10,Data!$D:$D,0))/$B$4)</f>
        <v/>
      </c>
      <c r="AO11" s="16" t="str">
        <f>IF(AO$10="","",INDEX(Data!$AH:$AH,MATCH(AO$10,Data!$D:$D,0))/$B$4)</f>
        <v/>
      </c>
      <c r="AP11" s="16" t="str">
        <f>IF(AP$10="","",INDEX(Data!$AH:$AH,MATCH(AP$10,Data!$D:$D,0))/$B$4)</f>
        <v/>
      </c>
      <c r="AQ11" s="16" t="str">
        <f>IF(AQ$10="","",INDEX(Data!$AH:$AH,MATCH(AQ$10,Data!$D:$D,0))/$B$4)</f>
        <v/>
      </c>
      <c r="AR11" s="16" t="str">
        <f>IF(AR$10="","",INDEX(Data!$AH:$AH,MATCH(AR$10,Data!$D:$D,0))/$B$4)</f>
        <v/>
      </c>
      <c r="AS11" s="16" t="str">
        <f>IF(AS$10="","",INDEX(Data!$AH:$AH,MATCH(AS$10,Data!$D:$D,0))/$B$4)</f>
        <v/>
      </c>
      <c r="AT11" s="16" t="str">
        <f>IF(AT$10="","",INDEX(Data!$AH:$AH,MATCH(AT$10,Data!$D:$D,0))/$B$4)</f>
        <v/>
      </c>
      <c r="AU11" s="16" t="str">
        <f>IF(AU$10="","",INDEX(Data!$AH:$AH,MATCH(AU$10,Data!$D:$D,0))/$B$4)</f>
        <v/>
      </c>
      <c r="AV11" s="16" t="str">
        <f>IF(AV$10="","",INDEX(Data!$AH:$AH,MATCH(AV$10,Data!$D:$D,0))/$B$4)</f>
        <v/>
      </c>
      <c r="AW11" s="16" t="str">
        <f>IF(AW$10="","",INDEX(Data!$AH:$AH,MATCH(AW$10,Data!$D:$D,0))/$B$4)</f>
        <v/>
      </c>
      <c r="AX11" s="16" t="str">
        <f>IF(AX$10="","",INDEX(Data!$AH:$AH,MATCH(AX$10,Data!$D:$D,0))/$B$4)</f>
        <v/>
      </c>
      <c r="AY11" s="16" t="str">
        <f>IF(AY$10="","",INDEX(Data!$AH:$AH,MATCH(AY$10,Data!$D:$D,0))/$B$4)</f>
        <v/>
      </c>
      <c r="AZ11" s="16" t="str">
        <f>IF(AZ$10="","",INDEX(Data!$AH:$AH,MATCH(AZ$10,Data!$D:$D,0))/$B$4)</f>
        <v/>
      </c>
      <c r="BA11" s="16" t="str">
        <f>IF(BA$10="","",INDEX(Data!$AH:$AH,MATCH(BA$10,Data!$D:$D,0))/$B$4)</f>
        <v/>
      </c>
      <c r="BB11" s="16" t="str">
        <f>IF(BB$10="","",INDEX(Data!$AH:$AH,MATCH(BB$10,Data!$D:$D,0))/$B$4)</f>
        <v/>
      </c>
      <c r="BC11" s="16" t="str">
        <f>IF(BC$10="","",INDEX(Data!$AH:$AH,MATCH(BC$10,Data!$D:$D,0))/$B$4)</f>
        <v/>
      </c>
      <c r="BD11" s="16" t="str">
        <f>IF(BD$10="","",INDEX(Data!$AH:$AH,MATCH(BD$10,Data!$D:$D,0))/$B$4)</f>
        <v/>
      </c>
      <c r="BE11" s="16" t="str">
        <f>IF(BE$10="","",INDEX(Data!$AH:$AH,MATCH(BE$10,Data!$D:$D,0))/$B$4)</f>
        <v/>
      </c>
      <c r="BF11" s="16" t="str">
        <f>IF(BF$10="","",INDEX(Data!$AH:$AH,MATCH(BF$10,Data!$D:$D,0))/$B$4)</f>
        <v/>
      </c>
      <c r="BG11" s="16" t="str">
        <f>IF(BG$10="","",INDEX(Data!$AH:$AH,MATCH(BG$10,Data!$D:$D,0))/$B$4)</f>
        <v/>
      </c>
      <c r="BH11" s="17" t="str">
        <f>IF(BH$10="","",INDEX(Data!$AH:$AH,MATCH(BH$10,Data!$D:$D,0))/$B$4)</f>
        <v/>
      </c>
    </row>
    <row r="12" spans="1:119" x14ac:dyDescent="0.3">
      <c r="B12" s="64"/>
      <c r="C12" s="64"/>
      <c r="D12" s="64"/>
      <c r="E12" s="19">
        <f>SUMIF(BM!$A:$A,"J203",BM!$E:$E)</f>
        <v>0</v>
      </c>
      <c r="F12" s="20" t="s">
        <v>72</v>
      </c>
      <c r="H12" s="158"/>
      <c r="I12" s="2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</row>
    <row r="13" spans="1:119" x14ac:dyDescent="0.3">
      <c r="A13" s="116" t="s">
        <v>10912</v>
      </c>
      <c r="B13" s="64">
        <f>SUM(B14:B14)</f>
        <v>0</v>
      </c>
      <c r="C13" s="68" t="e">
        <f>SUM(C14:C14)</f>
        <v>#DIV/0!</v>
      </c>
      <c r="D13" s="64"/>
      <c r="E13" s="25">
        <f>MIN(0, $H$2*100)</f>
        <v>0</v>
      </c>
      <c r="F13" s="26" t="s">
        <v>70</v>
      </c>
      <c r="H13" s="159" t="str">
        <f>"Currency futures ("&amp;COUNTIF(Data!$C:$C,"Currency Derivatives")&amp;")"</f>
        <v>Currency futures (0)</v>
      </c>
      <c r="I13" s="27" t="str">
        <f>IF(ISNA(IF(ISNA(MATCH("Currency Derivatives",Data!$C:$C,0)),"",INDEX(Data!$D:$D,MATCH("Currency Derivatives",Data!$C:$C,0)))),"",IF(ISNA(MATCH("Currency Derivatives",Data!$C:$C,0)),"",INDEX(Data!$D:$D,MATCH("Currency Derivatives",Data!$C:$C,0))))</f>
        <v/>
      </c>
      <c r="J13" s="28" t="str" cm="1">
        <f t="array" ref="J13">IF(COUNTA($I$13:I$13)&lt;COUNTIF(Data!$C:$C,"Currency derivatives"),INDEX(Data!$D:$D,MATCH(I$13,Data!$D:$D,0)+1),"")</f>
        <v/>
      </c>
      <c r="K13" s="28" t="str" cm="1">
        <f t="array" ref="K13">IF(COUNTA($I$13:J$13)&lt;COUNTIF(Data!$C:$C,"Currency derivatives"),INDEX(Data!$D:$D,MATCH(J$13,Data!$D:$D,0)+1),"")</f>
        <v/>
      </c>
      <c r="L13" s="28" t="str" cm="1">
        <f t="array" ref="L13">IF(COUNTA($I$13:K$13)&lt;COUNTIF(Data!$C:$C,"Currency derivatives"),INDEX(Data!$D:$D,MATCH(K$13,Data!$D:$D,0)+1),"")</f>
        <v/>
      </c>
      <c r="M13" s="28" t="str" cm="1">
        <f t="array" ref="M13">IF(COUNTA($I$13:L$13)&lt;COUNTIF(Data!$C:$C,"Currency derivatives"),INDEX(Data!$D:$D,MATCH(L$13,Data!$D:$D,0)+1),"")</f>
        <v/>
      </c>
      <c r="N13" s="28" t="str" cm="1">
        <f t="array" ref="N13">IF(COUNTA($I$13:M$13)&lt;COUNTIF(Data!$C:$C,"Currency derivatives"),INDEX(Data!$D:$D,MATCH(M$13,Data!$D:$D,0)+1),"")</f>
        <v/>
      </c>
      <c r="O13" s="28" t="str" cm="1">
        <f t="array" ref="O13">IF(COUNTA($I$13:N$13)&lt;COUNTIF(Data!$C:$C,"Currency derivatives"),INDEX(Data!$D:$D,MATCH(N$13,Data!$D:$D,0)+1),"")</f>
        <v/>
      </c>
      <c r="P13" s="28" t="str" cm="1">
        <f t="array" ref="P13">IF(COUNTA($I$13:O$13)&lt;COUNTIF(Data!$C:$C,"Currency derivatives"),INDEX(Data!$D:$D,MATCH(O$13,Data!$D:$D,0)+1),"")</f>
        <v/>
      </c>
      <c r="Q13" s="28" t="str" cm="1">
        <f t="array" ref="Q13">IF(COUNTA($I$13:P$13)&lt;COUNTIF(Data!$C:$C,"Currency derivatives"),INDEX(Data!$D:$D,MATCH(P$13,Data!$D:$D,0)+1),"")</f>
        <v/>
      </c>
      <c r="R13" s="28" t="str" cm="1">
        <f t="array" ref="R13">IF(COUNTA($I$13:Q$13)&lt;COUNTIF(Data!$C:$C,"Currency derivatives"),INDEX(Data!$D:$D,MATCH(Q$13,Data!$D:$D,0)+1),"")</f>
        <v/>
      </c>
      <c r="S13" s="28" t="str" cm="1">
        <f t="array" ref="S13">IF(COUNTA($I$13:R$13)&lt;COUNTIF(Data!$C:$C,"Currency derivatives"),INDEX(Data!$D:$D,MATCH(R$13,Data!$D:$D,0)+1),"")</f>
        <v/>
      </c>
      <c r="T13" s="28" t="str" cm="1">
        <f t="array" ref="T13">IF(COUNTA($I$13:S$13)&lt;COUNTIF(Data!$C:$C,"Currency derivatives"),INDEX(Data!$D:$D,MATCH(S$13,Data!$D:$D,0)+1),"")</f>
        <v/>
      </c>
      <c r="U13" s="28" t="str" cm="1">
        <f t="array" ref="U13">IF(COUNTA($I$13:T$13)&lt;COUNTIF(Data!$C:$C,"Currency derivatives"),INDEX(Data!$D:$D,MATCH(T$13,Data!$D:$D,0)+1),"")</f>
        <v/>
      </c>
      <c r="V13" s="28" t="str" cm="1">
        <f t="array" ref="V13">IF(COUNTA($I$13:U$13)&lt;COUNTIF(Data!$C:$C,"Currency derivatives"),INDEX(Data!$D:$D,MATCH(U$13,Data!$D:$D,0)+1),"")</f>
        <v/>
      </c>
      <c r="W13" s="28" t="str" cm="1">
        <f t="array" ref="W13">IF(COUNTA($I$13:V$13)&lt;COUNTIF(Data!$C:$C,"Currency derivatives"),INDEX(Data!$D:$D,MATCH(V$13,Data!$D:$D,0)+1),"")</f>
        <v/>
      </c>
      <c r="X13" s="28" t="str" cm="1">
        <f t="array" ref="X13">IF(COUNTA($I$13:W$13)&lt;COUNTIF(Data!$C:$C,"Currency derivatives"),INDEX(Data!$D:$D,MATCH(W$13,Data!$D:$D,0)+1),"")</f>
        <v/>
      </c>
      <c r="Y13" s="28" t="str" cm="1">
        <f t="array" ref="Y13">IF(COUNTA($I$13:X$13)&lt;COUNTIF(Data!$C:$C,"Currency derivatives"),INDEX(Data!$D:$D,MATCH(X$13,Data!$D:$D,0)+1),"")</f>
        <v/>
      </c>
      <c r="Z13" s="28" t="str" cm="1">
        <f t="array" ref="Z13">IF(COUNTA($I$13:Y$13)&lt;COUNTIF(Data!$C:$C,"Currency derivatives"),INDEX(Data!$D:$D,MATCH(Y$13,Data!$D:$D,0)+1),"")</f>
        <v/>
      </c>
      <c r="AA13" s="28" t="str" cm="1">
        <f t="array" ref="AA13">IF(COUNTA($I$13:Z$13)&lt;COUNTIF(Data!$C:$C,"Currency derivatives"),INDEX(Data!$D:$D,MATCH(Z$13,Data!$D:$D,0)+1),"")</f>
        <v/>
      </c>
      <c r="AB13" s="28" t="str" cm="1">
        <f t="array" ref="AB13">IF(COUNTA($I$13:AA$13)&lt;COUNTIF(Data!$C:$C,"Currency derivatives"),INDEX(Data!$D:$D,MATCH(AA$13,Data!$D:$D,0)+1),"")</f>
        <v/>
      </c>
      <c r="AC13" s="28" t="str" cm="1">
        <f t="array" ref="AC13">IF(COUNTA($I$13:AB$13)&lt;COUNTIF(Data!$C:$C,"Currency derivatives"),INDEX(Data!$D:$D,MATCH(AB$13,Data!$D:$D,0)+1),"")</f>
        <v/>
      </c>
      <c r="AD13" s="28" t="str" cm="1">
        <f t="array" ref="AD13">IF(COUNTA($I$13:AC$13)&lt;COUNTIF(Data!$C:$C,"Currency derivatives"),INDEX(Data!$D:$D,MATCH(AC$13,Data!$D:$D,0)+1),"")</f>
        <v/>
      </c>
      <c r="AE13" s="28" t="str" cm="1">
        <f t="array" ref="AE13">IF(COUNTA($I$13:AD$13)&lt;COUNTIF(Data!$C:$C,"Currency derivatives"),INDEX(Data!$D:$D,MATCH(AD$13,Data!$D:$D,0)+1),"")</f>
        <v/>
      </c>
      <c r="AF13" s="28" t="str" cm="1">
        <f t="array" ref="AF13">IF(COUNTA($I$13:AE$13)&lt;COUNTIF(Data!$C:$C,"Currency derivatives"),INDEX(Data!$D:$D,MATCH(AE$13,Data!$D:$D,0)+1),"")</f>
        <v/>
      </c>
      <c r="AG13" s="28" t="str" cm="1">
        <f t="array" ref="AG13">IF(COUNTA($I$13:AF$13)&lt;COUNTIF(Data!$C:$C,"Currency derivatives"),INDEX(Data!$D:$D,MATCH(AF$13,Data!$D:$D,0)+1),"")</f>
        <v/>
      </c>
      <c r="AH13" s="28" t="str" cm="1">
        <f t="array" ref="AH13">IF(COUNTA($I$13:AG$13)&lt;COUNTIF(Data!$C:$C,"Currency derivatives"),INDEX(Data!$D:$D,MATCH(AG$13,Data!$D:$D,0)+1),"")</f>
        <v/>
      </c>
      <c r="AI13" s="28" t="str" cm="1">
        <f t="array" ref="AI13">IF(COUNTA($I$13:AH$13)&lt;COUNTIF(Data!$C:$C,"Currency derivatives"),INDEX(Data!$D:$D,MATCH(AH$13,Data!$D:$D,0)+1),"")</f>
        <v/>
      </c>
      <c r="AJ13" s="28" t="str" cm="1">
        <f t="array" ref="AJ13">IF(COUNTA($I$13:AI$13)&lt;COUNTIF(Data!$C:$C,"Currency derivatives"),INDEX(Data!$D:$D,MATCH(AI$13,Data!$D:$D,0)+1),"")</f>
        <v/>
      </c>
      <c r="AK13" s="28" t="str" cm="1">
        <f t="array" ref="AK13">IF(COUNTA($I$13:AJ$13)&lt;COUNTIF(Data!$C:$C,"Currency derivatives"),INDEX(Data!$D:$D,MATCH(AJ$13,Data!$D:$D,0)+1),"")</f>
        <v/>
      </c>
      <c r="AL13" s="28" t="str" cm="1">
        <f t="array" ref="AL13">IF(COUNTA($I$13:AK$13)&lt;COUNTIF(Data!$C:$C,"Currency derivatives"),INDEX(Data!$D:$D,MATCH(AK$13,Data!$D:$D,0)+1),"")</f>
        <v/>
      </c>
      <c r="AM13" s="28" t="str" cm="1">
        <f t="array" ref="AM13">IF(COUNTA($I$13:AL$13)&lt;COUNTIF(Data!$C:$C,"Currency derivatives"),INDEX(Data!$D:$D,MATCH(AL$13,Data!$D:$D,0)+1),"")</f>
        <v/>
      </c>
      <c r="AN13" s="28" t="str" cm="1">
        <f t="array" ref="AN13">IF(COUNTA($I$13:AM$13)&lt;COUNTIF(Data!$C:$C,"Currency derivatives"),INDEX(Data!$D:$D,MATCH(AM$13,Data!$D:$D,0)+1),"")</f>
        <v/>
      </c>
      <c r="AO13" s="28" t="str" cm="1">
        <f t="array" ref="AO13">IF(COUNTA($I$13:AN$13)&lt;COUNTIF(Data!$C:$C,"Currency derivatives"),INDEX(Data!$D:$D,MATCH(AN$13,Data!$D:$D,0)+1),"")</f>
        <v/>
      </c>
      <c r="AP13" s="28" t="str" cm="1">
        <f t="array" ref="AP13">IF(COUNTA($I$13:AO$13)&lt;COUNTIF(Data!$C:$C,"Currency derivatives"),INDEX(Data!$D:$D,MATCH(AO$13,Data!$D:$D,0)+1),"")</f>
        <v/>
      </c>
      <c r="AQ13" s="28" t="str" cm="1">
        <f t="array" ref="AQ13">IF(COUNTA($I$13:AP$13)&lt;COUNTIF(Data!$C:$C,"Currency derivatives"),INDEX(Data!$D:$D,MATCH(AP$13,Data!$D:$D,0)+1),"")</f>
        <v/>
      </c>
      <c r="AR13" s="28" t="str" cm="1">
        <f t="array" ref="AR13">IF(COUNTA($I$13:AQ$13)&lt;COUNTIF(Data!$C:$C,"Currency derivatives"),INDEX(Data!$D:$D,MATCH(AQ$13,Data!$D:$D,0)+1),"")</f>
        <v/>
      </c>
      <c r="AS13" s="28" t="str" cm="1">
        <f t="array" ref="AS13">IF(COUNTA($I$13:AR$13)&lt;COUNTIF(Data!$C:$C,"Currency derivatives"),INDEX(Data!$D:$D,MATCH(AR$13,Data!$D:$D,0)+1),"")</f>
        <v/>
      </c>
      <c r="AT13" s="28" t="str" cm="1">
        <f t="array" ref="AT13">IF(COUNTA($I$13:AS$13)&lt;COUNTIF(Data!$C:$C,"Currency derivatives"),INDEX(Data!$D:$D,MATCH(AS$13,Data!$D:$D,0)+1),"")</f>
        <v/>
      </c>
      <c r="AU13" s="28" t="str" cm="1">
        <f t="array" ref="AU13">IF(COUNTA($I$13:AT$13)&lt;COUNTIF(Data!$C:$C,"Currency derivatives"),INDEX(Data!$D:$D,MATCH(AT$13,Data!$D:$D,0)+1),"")</f>
        <v/>
      </c>
      <c r="AV13" s="28" t="str" cm="1">
        <f t="array" ref="AV13">IF(COUNTA($I$13:AU$13)&lt;COUNTIF(Data!$C:$C,"Currency derivatives"),INDEX(Data!$D:$D,MATCH(AU$13,Data!$D:$D,0)+1),"")</f>
        <v/>
      </c>
      <c r="AW13" s="28" t="str" cm="1">
        <f t="array" ref="AW13">IF(COUNTA($I$13:AV$13)&lt;COUNTIF(Data!$C:$C,"Currency derivatives"),INDEX(Data!$D:$D,MATCH(AV$13,Data!$D:$D,0)+1),"")</f>
        <v/>
      </c>
      <c r="AX13" s="28" t="str" cm="1">
        <f t="array" ref="AX13">IF(COUNTA($I$13:AW$13)&lt;COUNTIF(Data!$C:$C,"Currency derivatives"),INDEX(Data!$D:$D,MATCH(AW$13,Data!$D:$D,0)+1),"")</f>
        <v/>
      </c>
      <c r="AY13" s="28" t="str" cm="1">
        <f t="array" ref="AY13">IF(COUNTA($I$13:AX$13)&lt;COUNTIF(Data!$C:$C,"Currency derivatives"),INDEX(Data!$D:$D,MATCH(AX$13,Data!$D:$D,0)+1),"")</f>
        <v/>
      </c>
      <c r="AZ13" s="28" t="str" cm="1">
        <f t="array" ref="AZ13">IF(COUNTA($I$13:AY$13)&lt;COUNTIF(Data!$C:$C,"Currency derivatives"),INDEX(Data!$D:$D,MATCH(AY$13,Data!$D:$D,0)+1),"")</f>
        <v/>
      </c>
      <c r="BA13" s="28" t="str" cm="1">
        <f t="array" ref="BA13">IF(COUNTA($I$13:AZ$13)&lt;COUNTIF(Data!$C:$C,"Currency derivatives"),INDEX(Data!$D:$D,MATCH(AZ$13,Data!$D:$D,0)+1),"")</f>
        <v/>
      </c>
      <c r="BB13" s="28" t="str" cm="1">
        <f t="array" ref="BB13">IF(COUNTA($I$13:BA$13)&lt;COUNTIF(Data!$C:$C,"Currency derivatives"),INDEX(Data!$D:$D,MATCH(BA$13,Data!$D:$D,0)+1),"")</f>
        <v/>
      </c>
      <c r="BC13" s="28" t="str" cm="1">
        <f t="array" ref="BC13">IF(COUNTA($I$13:BB$13)&lt;COUNTIF(Data!$C:$C,"Currency derivatives"),INDEX(Data!$D:$D,MATCH(BB$13,Data!$D:$D,0)+1),"")</f>
        <v/>
      </c>
      <c r="BD13" s="28" t="str" cm="1">
        <f t="array" ref="BD13">IF(COUNTA($I$13:BC$13)&lt;COUNTIF(Data!$C:$C,"Currency derivatives"),INDEX(Data!$D:$D,MATCH(BC$13,Data!$D:$D,0)+1),"")</f>
        <v/>
      </c>
      <c r="BE13" s="28" t="str" cm="1">
        <f t="array" ref="BE13">IF(COUNTA($I$13:BD$13)&lt;COUNTIF(Data!$C:$C,"Currency derivatives"),INDEX(Data!$D:$D,MATCH(BD$13,Data!$D:$D,0)+1),"")</f>
        <v/>
      </c>
      <c r="BF13" s="28" t="str" cm="1">
        <f t="array" ref="BF13">IF(COUNTA($I$13:BE$13)&lt;COUNTIF(Data!$C:$C,"Currency derivatives"),INDEX(Data!$D:$D,MATCH(BE$13,Data!$D:$D,0)+1),"")</f>
        <v/>
      </c>
      <c r="BG13" s="28" t="str" cm="1">
        <f t="array" ref="BG13">IF(COUNTA($I$13:BF$13)&lt;COUNTIF(Data!$C:$C,"Currency derivatives"),INDEX(Data!$D:$D,MATCH(BF$13,Data!$D:$D,0)+1),"")</f>
        <v/>
      </c>
      <c r="BH13" s="29" t="str" cm="1">
        <f t="array" ref="BH13">IF(COUNTA($I$13:BG$13)&lt;COUNTIF(Data!$C:$C,"Currency derivatives"),INDEX(Data!$D:$D,MATCH(BG$13,Data!$D:$D,0)+1),"")</f>
        <v/>
      </c>
    </row>
    <row r="14" spans="1:119" ht="16.5" thickBot="1" x14ac:dyDescent="0.35">
      <c r="A14" s="103" t="s">
        <v>59</v>
      </c>
      <c r="B14" s="117">
        <f>IF(SUMIF(Data!$C:$C,$A14,Data!$AH:$AH)&lt;0,SUMIF(Data!$C:$C,$A14,Data!$AH:$AH),0)</f>
        <v>0</v>
      </c>
      <c r="C14" s="72" t="e">
        <f>$B14/$B$4</f>
        <v>#DIV/0!</v>
      </c>
      <c r="D14" s="64"/>
      <c r="E14" s="32">
        <f>SUM(E12:E13)</f>
        <v>0</v>
      </c>
      <c r="F14" s="20" t="str">
        <f>IF($E14&gt;=0,"Adequate","INADEQUATE")&amp;" short ALSI derivative cover [BN90 16(1)(a) &amp; (b)]"</f>
        <v>Adequate short ALSI derivative cover [BN90 16(1)(a) &amp; (b)]</v>
      </c>
      <c r="H14" s="158">
        <f>SUM(I14:BH14)</f>
        <v>0</v>
      </c>
      <c r="I14" s="15" t="str">
        <f>IF(I$13="","",INDEX(Data!$AH:$AH,MATCH(I$13,Data!$D:$D,0))/$B$4)</f>
        <v/>
      </c>
      <c r="J14" s="16" t="str">
        <f>IF(J$13="","",INDEX(Data!$AH:$AH,MATCH(J$13,Data!$D:$D,0))/$B$4)</f>
        <v/>
      </c>
      <c r="K14" s="16" t="str">
        <f>IF(K$13="","",INDEX(Data!$AH:$AH,MATCH(K$13,Data!$D:$D,0))/$B$4)</f>
        <v/>
      </c>
      <c r="L14" s="16" t="str">
        <f>IF(L$13="","",INDEX(Data!$AH:$AH,MATCH(L$13,Data!$D:$D,0))/$B$4)</f>
        <v/>
      </c>
      <c r="M14" s="16" t="str">
        <f>IF(M$13="","",INDEX(Data!$AH:$AH,MATCH(M$13,Data!$D:$D,0))/$B$4)</f>
        <v/>
      </c>
      <c r="N14" s="16" t="str">
        <f>IF(N$13="","",INDEX(Data!$AH:$AH,MATCH(N$13,Data!$D:$D,0))/$B$4)</f>
        <v/>
      </c>
      <c r="O14" s="16" t="str">
        <f>IF(O$13="","",INDEX(Data!$AH:$AH,MATCH(O$13,Data!$D:$D,0))/$B$4)</f>
        <v/>
      </c>
      <c r="P14" s="16" t="str">
        <f>IF(P$13="","",INDEX(Data!$AH:$AH,MATCH(P$13,Data!$D:$D,0))/$B$4)</f>
        <v/>
      </c>
      <c r="Q14" s="16" t="str">
        <f>IF(Q$13="","",INDEX(Data!$AH:$AH,MATCH(Q$13,Data!$D:$D,0))/$B$4)</f>
        <v/>
      </c>
      <c r="R14" s="16" t="str">
        <f>IF(R$13="","",INDEX(Data!$AH:$AH,MATCH(R$13,Data!$D:$D,0))/$B$4)</f>
        <v/>
      </c>
      <c r="S14" s="16" t="str">
        <f>IF(S$13="","",INDEX(Data!$AH:$AH,MATCH(S$13,Data!$D:$D,0))/$B$4)</f>
        <v/>
      </c>
      <c r="T14" s="16" t="str">
        <f>IF(T$13="","",INDEX(Data!$AH:$AH,MATCH(T$13,Data!$D:$D,0))/$B$4)</f>
        <v/>
      </c>
      <c r="U14" s="16" t="str">
        <f>IF(U$13="","",INDEX(Data!$AH:$AH,MATCH(U$13,Data!$D:$D,0))/$B$4)</f>
        <v/>
      </c>
      <c r="V14" s="16" t="str">
        <f>IF(V$13="","",INDEX(Data!$AH:$AH,MATCH(V$13,Data!$D:$D,0))/$B$4)</f>
        <v/>
      </c>
      <c r="W14" s="16" t="str">
        <f>IF(W$13="","",INDEX(Data!$AH:$AH,MATCH(W$13,Data!$D:$D,0))/$B$4)</f>
        <v/>
      </c>
      <c r="X14" s="16" t="str">
        <f>IF(X$13="","",INDEX(Data!$AH:$AH,MATCH(X$13,Data!$D:$D,0))/$B$4)</f>
        <v/>
      </c>
      <c r="Y14" s="16" t="str">
        <f>IF(Y$13="","",INDEX(Data!$AH:$AH,MATCH(Y$13,Data!$D:$D,0))/$B$4)</f>
        <v/>
      </c>
      <c r="Z14" s="16" t="str">
        <f>IF(Z$13="","",INDEX(Data!$AH:$AH,MATCH(Z$13,Data!$D:$D,0))/$B$4)</f>
        <v/>
      </c>
      <c r="AA14" s="16" t="str">
        <f>IF(AA$13="","",INDEX(Data!$AH:$AH,MATCH(AA$13,Data!$D:$D,0))/$B$4)</f>
        <v/>
      </c>
      <c r="AB14" s="16" t="str">
        <f>IF(AB$13="","",INDEX(Data!$AH:$AH,MATCH(AB$13,Data!$D:$D,0))/$B$4)</f>
        <v/>
      </c>
      <c r="AC14" s="16" t="str">
        <f>IF(AC$13="","",INDEX(Data!$AH:$AH,MATCH(AC$13,Data!$D:$D,0))/$B$4)</f>
        <v/>
      </c>
      <c r="AD14" s="16" t="str">
        <f>IF(AD$13="","",INDEX(Data!$AH:$AH,MATCH(AD$13,Data!$D:$D,0))/$B$4)</f>
        <v/>
      </c>
      <c r="AE14" s="16" t="str">
        <f>IF(AE$13="","",INDEX(Data!$AH:$AH,MATCH(AE$13,Data!$D:$D,0))/$B$4)</f>
        <v/>
      </c>
      <c r="AF14" s="16" t="str">
        <f>IF(AF$13="","",INDEX(Data!$AH:$AH,MATCH(AF$13,Data!$D:$D,0))/$B$4)</f>
        <v/>
      </c>
      <c r="AG14" s="16" t="str">
        <f>IF(AG$13="","",INDEX(Data!$AH:$AH,MATCH(AG$13,Data!$D:$D,0))/$B$4)</f>
        <v/>
      </c>
      <c r="AH14" s="16" t="str">
        <f>IF(AH$13="","",INDEX(Data!$AH:$AH,MATCH(AH$13,Data!$D:$D,0))/$B$4)</f>
        <v/>
      </c>
      <c r="AI14" s="16" t="str">
        <f>IF(AI$13="","",INDEX(Data!$AH:$AH,MATCH(AI$13,Data!$D:$D,0))/$B$4)</f>
        <v/>
      </c>
      <c r="AJ14" s="16" t="str">
        <f>IF(AJ$13="","",INDEX(Data!$AH:$AH,MATCH(AJ$13,Data!$D:$D,0))/$B$4)</f>
        <v/>
      </c>
      <c r="AK14" s="16" t="str">
        <f>IF(AK$13="","",INDEX(Data!$AH:$AH,MATCH(AK$13,Data!$D:$D,0))/$B$4)</f>
        <v/>
      </c>
      <c r="AL14" s="16" t="str">
        <f>IF(AL$13="","",INDEX(Data!$AH:$AH,MATCH(AL$13,Data!$D:$D,0))/$B$4)</f>
        <v/>
      </c>
      <c r="AM14" s="16" t="str">
        <f>IF(AM$13="","",INDEX(Data!$AH:$AH,MATCH(AM$13,Data!$D:$D,0))/$B$4)</f>
        <v/>
      </c>
      <c r="AN14" s="16" t="str">
        <f>IF(AN$13="","",INDEX(Data!$AH:$AH,MATCH(AN$13,Data!$D:$D,0))/$B$4)</f>
        <v/>
      </c>
      <c r="AO14" s="16" t="str">
        <f>IF(AO$13="","",INDEX(Data!$AH:$AH,MATCH(AO$13,Data!$D:$D,0))/$B$4)</f>
        <v/>
      </c>
      <c r="AP14" s="16" t="str">
        <f>IF(AP$13="","",INDEX(Data!$AH:$AH,MATCH(AP$13,Data!$D:$D,0))/$B$4)</f>
        <v/>
      </c>
      <c r="AQ14" s="16" t="str">
        <f>IF(AQ$13="","",INDEX(Data!$AH:$AH,MATCH(AQ$13,Data!$D:$D,0))/$B$4)</f>
        <v/>
      </c>
      <c r="AR14" s="16" t="str">
        <f>IF(AR$13="","",INDEX(Data!$AH:$AH,MATCH(AR$13,Data!$D:$D,0))/$B$4)</f>
        <v/>
      </c>
      <c r="AS14" s="16" t="str">
        <f>IF(AS$13="","",INDEX(Data!$AH:$AH,MATCH(AS$13,Data!$D:$D,0))/$B$4)</f>
        <v/>
      </c>
      <c r="AT14" s="16" t="str">
        <f>IF(AT$13="","",INDEX(Data!$AH:$AH,MATCH(AT$13,Data!$D:$D,0))/$B$4)</f>
        <v/>
      </c>
      <c r="AU14" s="16" t="str">
        <f>IF(AU$13="","",INDEX(Data!$AH:$AH,MATCH(AU$13,Data!$D:$D,0))/$B$4)</f>
        <v/>
      </c>
      <c r="AV14" s="16" t="str">
        <f>IF(AV$13="","",INDEX(Data!$AH:$AH,MATCH(AV$13,Data!$D:$D,0))/$B$4)</f>
        <v/>
      </c>
      <c r="AW14" s="16" t="str">
        <f>IF(AW$13="","",INDEX(Data!$AH:$AH,MATCH(AW$13,Data!$D:$D,0))/$B$4)</f>
        <v/>
      </c>
      <c r="AX14" s="16" t="str">
        <f>IF(AX$13="","",INDEX(Data!$AH:$AH,MATCH(AX$13,Data!$D:$D,0))/$B$4)</f>
        <v/>
      </c>
      <c r="AY14" s="16" t="str">
        <f>IF(AY$13="","",INDEX(Data!$AH:$AH,MATCH(AY$13,Data!$D:$D,0))/$B$4)</f>
        <v/>
      </c>
      <c r="AZ14" s="16" t="str">
        <f>IF(AZ$13="","",INDEX(Data!$AH:$AH,MATCH(AZ$13,Data!$D:$D,0))/$B$4)</f>
        <v/>
      </c>
      <c r="BA14" s="16" t="str">
        <f>IF(BA$13="","",INDEX(Data!$AH:$AH,MATCH(BA$13,Data!$D:$D,0))/$B$4)</f>
        <v/>
      </c>
      <c r="BB14" s="16" t="str">
        <f>IF(BB$13="","",INDEX(Data!$AH:$AH,MATCH(BB$13,Data!$D:$D,0))/$B$4)</f>
        <v/>
      </c>
      <c r="BC14" s="16" t="str">
        <f>IF(BC$13="","",INDEX(Data!$AH:$AH,MATCH(BC$13,Data!$D:$D,0))/$B$4)</f>
        <v/>
      </c>
      <c r="BD14" s="16" t="str">
        <f>IF(BD$13="","",INDEX(Data!$AH:$AH,MATCH(BD$13,Data!$D:$D,0))/$B$4)</f>
        <v/>
      </c>
      <c r="BE14" s="16" t="str">
        <f>IF(BE$13="","",INDEX(Data!$AH:$AH,MATCH(BE$13,Data!$D:$D,0))/$B$4)</f>
        <v/>
      </c>
      <c r="BF14" s="16" t="str">
        <f>IF(BF$13="","",INDEX(Data!$AH:$AH,MATCH(BF$13,Data!$D:$D,0))/$B$4)</f>
        <v/>
      </c>
      <c r="BG14" s="16" t="str">
        <f>IF(BG$13="","",INDEX(Data!$AH:$AH,MATCH(BG$13,Data!$D:$D,0))/$B$4)</f>
        <v/>
      </c>
      <c r="BH14" s="17" t="str">
        <f>IF(BH$13="","",INDEX(Data!$AH:$AH,MATCH(BH$13,Data!$D:$D,0))/$B$4)</f>
        <v/>
      </c>
    </row>
    <row r="15" spans="1:119" ht="16.5" thickTop="1" x14ac:dyDescent="0.3">
      <c r="A15" s="103"/>
      <c r="B15" s="64"/>
      <c r="C15" s="68"/>
      <c r="D15" s="64"/>
      <c r="H15" s="158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4"/>
    </row>
    <row r="16" spans="1:119" x14ac:dyDescent="0.3">
      <c r="A16" s="118" t="s">
        <v>10913</v>
      </c>
      <c r="B16" s="64" t="e">
        <f>SUM(B17:B19)</f>
        <v>#VALUE!</v>
      </c>
      <c r="C16" s="68" t="e">
        <f>SUM(C17:C19)</f>
        <v>#DIV/0!</v>
      </c>
      <c r="D16" s="64"/>
      <c r="E16" s="33" t="e">
        <f>'Glbl Expsr'!$D$3</f>
        <v>#DIV/0!</v>
      </c>
      <c r="F16" s="26" t="s">
        <v>10909</v>
      </c>
      <c r="H16" s="159" t="str">
        <f>"Currency forwards ("&amp;COUNTIF(Data!$C:$C,"Forwards")&amp;")"</f>
        <v>Currency forwards (0)</v>
      </c>
      <c r="I16" s="27" t="str">
        <f>IF(ISNA(IF(ISNA(MATCH("Forwards",Data!$C:$C,0)),"",INDEX(Data!$D:$D,MATCH("Forwards",Data!$C:$C,0)))),"",IF(ISNA(MATCH("Forwards",Data!$C:$C,0)),"",INDEX(Data!$D:$D,MATCH("Forwards",Data!$C:$C,0))))</f>
        <v/>
      </c>
      <c r="J16" s="28" t="str" cm="1">
        <f t="array" ref="J16">IF(COUNTA($I$16:I$16)&lt;COUNTIF(Data!$C:$C,"Forwards"),INDEX(Data!$D:$D,MATCH(I$16,Data!$D:$D,0)+1),"")</f>
        <v/>
      </c>
      <c r="K16" s="28" t="str" cm="1">
        <f t="array" ref="K16">IF(COUNTA($I$16:J$16)&lt;COUNTIF(Data!$C:$C,"Forwards"),INDEX(Data!$D:$D,MATCH(J$16,Data!$D:$D,0)+1),"")</f>
        <v/>
      </c>
      <c r="L16" s="28" t="str" cm="1">
        <f t="array" ref="L16">IF(COUNTA($I$16:K$16)&lt;COUNTIF(Data!$C:$C,"Forwards"),INDEX(Data!$D:$D,MATCH(K$16,Data!$D:$D,0)+1),"")</f>
        <v/>
      </c>
      <c r="M16" s="28" t="str" cm="1">
        <f t="array" ref="M16">IF(COUNTA($I$16:L$16)&lt;COUNTIF(Data!$C:$C,"Forwards"),INDEX(Data!$D:$D,MATCH(L$16,Data!$D:$D,0)+1),"")</f>
        <v/>
      </c>
      <c r="N16" s="28" t="str" cm="1">
        <f t="array" ref="N16">IF(COUNTA($I$16:M$16)&lt;COUNTIF(Data!$C:$C,"Forwards"),INDEX(Data!$D:$D,MATCH(M$16,Data!$D:$D,0)+1),"")</f>
        <v/>
      </c>
      <c r="O16" s="28" t="str" cm="1">
        <f t="array" ref="O16">IF(COUNTA($I$16:N$16)&lt;COUNTIF(Data!$C:$C,"Forwards"),INDEX(Data!$D:$D,MATCH(N$16,Data!$D:$D,0)+1),"")</f>
        <v/>
      </c>
      <c r="P16" s="28" t="str" cm="1">
        <f t="array" ref="P16">IF(COUNTA($I$16:O$16)&lt;COUNTIF(Data!$C:$C,"Forwards"),INDEX(Data!$D:$D,MATCH(O$16,Data!$D:$D,0)+1),"")</f>
        <v/>
      </c>
      <c r="Q16" s="28" t="str" cm="1">
        <f t="array" ref="Q16">IF(COUNTA($I$16:P$16)&lt;COUNTIF(Data!$C:$C,"Forwards"),INDEX(Data!$D:$D,MATCH(P$16,Data!$D:$D,0)+1),"")</f>
        <v/>
      </c>
      <c r="R16" s="28" t="str" cm="1">
        <f t="array" ref="R16">IF(COUNTA($I$16:Q$16)&lt;COUNTIF(Data!$C:$C,"Forwards"),INDEX(Data!$D:$D,MATCH(Q$16,Data!$D:$D,0)+1),"")</f>
        <v/>
      </c>
      <c r="S16" s="28" t="str" cm="1">
        <f t="array" ref="S16">IF(COUNTA($I$16:R$16)&lt;COUNTIF(Data!$C:$C,"Forwards"),INDEX(Data!$D:$D,MATCH(R$16,Data!$D:$D,0)+1),"")</f>
        <v/>
      </c>
      <c r="T16" s="28" t="str" cm="1">
        <f t="array" ref="T16">IF(COUNTA($I$16:S$16)&lt;COUNTIF(Data!$C:$C,"Forwards"),INDEX(Data!$D:$D,MATCH(S$16,Data!$D:$D,0)+1),"")</f>
        <v/>
      </c>
      <c r="U16" s="28" t="str" cm="1">
        <f t="array" ref="U16">IF(COUNTA($I$16:T$16)&lt;COUNTIF(Data!$C:$C,"Forwards"),INDEX(Data!$D:$D,MATCH(T$16,Data!$D:$D,0)+1),"")</f>
        <v/>
      </c>
      <c r="V16" s="28" t="str" cm="1">
        <f t="array" ref="V16">IF(COUNTA($I$16:U$16)&lt;COUNTIF(Data!$C:$C,"Forwards"),INDEX(Data!$D:$D,MATCH(U$16,Data!$D:$D,0)+1),"")</f>
        <v/>
      </c>
      <c r="W16" s="28" t="str" cm="1">
        <f t="array" ref="W16">IF(COUNTA($I$16:V$16)&lt;COUNTIF(Data!$C:$C,"Forwards"),INDEX(Data!$D:$D,MATCH(V$16,Data!$D:$D,0)+1),"")</f>
        <v/>
      </c>
      <c r="X16" s="28" t="str" cm="1">
        <f t="array" ref="X16">IF(COUNTA($I$16:W$16)&lt;COUNTIF(Data!$C:$C,"Forwards"),INDEX(Data!$D:$D,MATCH(W$16,Data!$D:$D,0)+1),"")</f>
        <v/>
      </c>
      <c r="Y16" s="28" t="str" cm="1">
        <f t="array" ref="Y16">IF(COUNTA($I$16:X$16)&lt;COUNTIF(Data!$C:$C,"Forwards"),INDEX(Data!$D:$D,MATCH(X$16,Data!$D:$D,0)+1),"")</f>
        <v/>
      </c>
      <c r="Z16" s="28" t="str" cm="1">
        <f t="array" ref="Z16">IF(COUNTA($I$16:Y$16)&lt;COUNTIF(Data!$C:$C,"Forwards"),INDEX(Data!$D:$D,MATCH(Y$16,Data!$D:$D,0)+1),"")</f>
        <v/>
      </c>
      <c r="AA16" s="28" t="str" cm="1">
        <f t="array" ref="AA16">IF(COUNTA($I$16:Z$16)&lt;COUNTIF(Data!$C:$C,"Forwards"),INDEX(Data!$D:$D,MATCH(Z$16,Data!$D:$D,0)+1),"")</f>
        <v/>
      </c>
      <c r="AB16" s="28" t="str" cm="1">
        <f t="array" ref="AB16">IF(COUNTA($I$16:AA$16)&lt;COUNTIF(Data!$C:$C,"Forwards"),INDEX(Data!$D:$D,MATCH(AA$16,Data!$D:$D,0)+1),"")</f>
        <v/>
      </c>
      <c r="AC16" s="28" t="str" cm="1">
        <f t="array" ref="AC16">IF(COUNTA($I$16:AB$16)&lt;COUNTIF(Data!$C:$C,"Forwards"),INDEX(Data!$D:$D,MATCH(AB$16,Data!$D:$D,0)+1),"")</f>
        <v/>
      </c>
      <c r="AD16" s="28" t="str" cm="1">
        <f t="array" ref="AD16">IF(COUNTA($I$16:AC$16)&lt;COUNTIF(Data!$C:$C,"Forwards"),INDEX(Data!$D:$D,MATCH(AC$16,Data!$D:$D,0)+1),"")</f>
        <v/>
      </c>
      <c r="AE16" s="28" t="str" cm="1">
        <f t="array" ref="AE16">IF(COUNTA($I$16:AD$16)&lt;COUNTIF(Data!$C:$C,"Forwards"),INDEX(Data!$D:$D,MATCH(AD$16,Data!$D:$D,0)+1),"")</f>
        <v/>
      </c>
      <c r="AF16" s="28" t="str" cm="1">
        <f t="array" ref="AF16">IF(COUNTA($I$16:AE$16)&lt;COUNTIF(Data!$C:$C,"Forwards"),INDEX(Data!$D:$D,MATCH(AE$16,Data!$D:$D,0)+1),"")</f>
        <v/>
      </c>
      <c r="AG16" s="28" t="str" cm="1">
        <f t="array" ref="AG16">IF(COUNTA($I$16:AF$16)&lt;COUNTIF(Data!$C:$C,"Forwards"),INDEX(Data!$D:$D,MATCH(AF$16,Data!$D:$D,0)+1),"")</f>
        <v/>
      </c>
      <c r="AH16" s="28" t="str" cm="1">
        <f t="array" ref="AH16">IF(COUNTA($I$16:AG$16)&lt;COUNTIF(Data!$C:$C,"Forwards"),INDEX(Data!$D:$D,MATCH(AG$16,Data!$D:$D,0)+1),"")</f>
        <v/>
      </c>
      <c r="AI16" s="28" t="str" cm="1">
        <f t="array" ref="AI16">IF(COUNTA($I$16:AH$16)&lt;COUNTIF(Data!$C:$C,"Forwards"),INDEX(Data!$D:$D,MATCH(AH$16,Data!$D:$D,0)+1),"")</f>
        <v/>
      </c>
      <c r="AJ16" s="28" t="str" cm="1">
        <f t="array" ref="AJ16">IF(COUNTA($I$16:AI$16)&lt;COUNTIF(Data!$C:$C,"Forwards"),INDEX(Data!$D:$D,MATCH(AI$16,Data!$D:$D,0)+1),"")</f>
        <v/>
      </c>
      <c r="AK16" s="28" t="str" cm="1">
        <f t="array" ref="AK16">IF(COUNTA($I$16:AJ$16)&lt;COUNTIF(Data!$C:$C,"Forwards"),INDEX(Data!$D:$D,MATCH(AJ$16,Data!$D:$D,0)+1),"")</f>
        <v/>
      </c>
      <c r="AL16" s="28" t="str" cm="1">
        <f t="array" ref="AL16">IF(COUNTA($I$16:AK$16)&lt;COUNTIF(Data!$C:$C,"Forwards"),INDEX(Data!$D:$D,MATCH(AK$16,Data!$D:$D,0)+1),"")</f>
        <v/>
      </c>
      <c r="AM16" s="28" t="str" cm="1">
        <f t="array" ref="AM16">IF(COUNTA($I$16:AL$16)&lt;COUNTIF(Data!$C:$C,"Forwards"),INDEX(Data!$D:$D,MATCH(AL$16,Data!$D:$D,0)+1),"")</f>
        <v/>
      </c>
      <c r="AN16" s="28" t="str" cm="1">
        <f t="array" ref="AN16">IF(COUNTA($I$16:AM$16)&lt;COUNTIF(Data!$C:$C,"Forwards"),INDEX(Data!$D:$D,MATCH(AM$16,Data!$D:$D,0)+1),"")</f>
        <v/>
      </c>
      <c r="AO16" s="28" t="str" cm="1">
        <f t="array" ref="AO16">IF(COUNTA($I$16:AN$16)&lt;COUNTIF(Data!$C:$C,"Forwards"),INDEX(Data!$D:$D,MATCH(AN$16,Data!$D:$D,0)+1),"")</f>
        <v/>
      </c>
      <c r="AP16" s="28" t="str" cm="1">
        <f t="array" ref="AP16">IF(COUNTA($I$16:AO$16)&lt;COUNTIF(Data!$C:$C,"Forwards"),INDEX(Data!$D:$D,MATCH(AO$16,Data!$D:$D,0)+1),"")</f>
        <v/>
      </c>
      <c r="AQ16" s="28" t="str" cm="1">
        <f t="array" ref="AQ16">IF(COUNTA($I$16:AP$16)&lt;COUNTIF(Data!$C:$C,"Forwards"),INDEX(Data!$D:$D,MATCH(AP$16,Data!$D:$D,0)+1),"")</f>
        <v/>
      </c>
      <c r="AR16" s="28" t="str" cm="1">
        <f t="array" ref="AR16">IF(COUNTA($I$16:AQ$16)&lt;COUNTIF(Data!$C:$C,"Forwards"),INDEX(Data!$D:$D,MATCH(AQ$16,Data!$D:$D,0)+1),"")</f>
        <v/>
      </c>
      <c r="AS16" s="28" t="str" cm="1">
        <f t="array" ref="AS16">IF(COUNTA($I$16:AR$16)&lt;COUNTIF(Data!$C:$C,"Forwards"),INDEX(Data!$D:$D,MATCH(AR$16,Data!$D:$D,0)+1),"")</f>
        <v/>
      </c>
      <c r="AT16" s="28" t="str" cm="1">
        <f t="array" ref="AT16">IF(COUNTA($I$16:AS$16)&lt;COUNTIF(Data!$C:$C,"Forwards"),INDEX(Data!$D:$D,MATCH(AS$16,Data!$D:$D,0)+1),"")</f>
        <v/>
      </c>
      <c r="AU16" s="28" t="str" cm="1">
        <f t="array" ref="AU16">IF(COUNTA($I$16:AT$16)&lt;COUNTIF(Data!$C:$C,"Forwards"),INDEX(Data!$D:$D,MATCH(AT$16,Data!$D:$D,0)+1),"")</f>
        <v/>
      </c>
      <c r="AV16" s="28" t="str" cm="1">
        <f t="array" ref="AV16">IF(COUNTA($I$16:AU$16)&lt;COUNTIF(Data!$C:$C,"Forwards"),INDEX(Data!$D:$D,MATCH(AU$16,Data!$D:$D,0)+1),"")</f>
        <v/>
      </c>
      <c r="AW16" s="28" t="str" cm="1">
        <f t="array" ref="AW16">IF(COUNTA($I$16:AV$16)&lt;COUNTIF(Data!$C:$C,"Forwards"),INDEX(Data!$D:$D,MATCH(AV$16,Data!$D:$D,0)+1),"")</f>
        <v/>
      </c>
      <c r="AX16" s="28" t="str" cm="1">
        <f t="array" ref="AX16">IF(COUNTA($I$16:AW$16)&lt;COUNTIF(Data!$C:$C,"Forwards"),INDEX(Data!$D:$D,MATCH(AW$16,Data!$D:$D,0)+1),"")</f>
        <v/>
      </c>
      <c r="AY16" s="28" t="str" cm="1">
        <f t="array" ref="AY16">IF(COUNTA($I$16:AX$16)&lt;COUNTIF(Data!$C:$C,"Forwards"),INDEX(Data!$D:$D,MATCH(AX$16,Data!$D:$D,0)+1),"")</f>
        <v/>
      </c>
      <c r="AZ16" s="28" t="str" cm="1">
        <f t="array" ref="AZ16">IF(COUNTA($I$16:AY$16)&lt;COUNTIF(Data!$C:$C,"Forwards"),INDEX(Data!$D:$D,MATCH(AY$16,Data!$D:$D,0)+1),"")</f>
        <v/>
      </c>
      <c r="BA16" s="28" t="str" cm="1">
        <f t="array" ref="BA16">IF(COUNTA($I$16:AZ$16)&lt;COUNTIF(Data!$C:$C,"Forwards"),INDEX(Data!$D:$D,MATCH(AZ$16,Data!$D:$D,0)+1),"")</f>
        <v/>
      </c>
      <c r="BB16" s="28" t="str" cm="1">
        <f t="array" ref="BB16">IF(COUNTA($I$16:BA$16)&lt;COUNTIF(Data!$C:$C,"Forwards"),INDEX(Data!$D:$D,MATCH(BA$16,Data!$D:$D,0)+1),"")</f>
        <v/>
      </c>
      <c r="BC16" s="28" t="str" cm="1">
        <f t="array" ref="BC16">IF(COUNTA($I$16:BB$16)&lt;COUNTIF(Data!$C:$C,"Forwards"),INDEX(Data!$D:$D,MATCH(BB$16,Data!$D:$D,0)+1),"")</f>
        <v/>
      </c>
      <c r="BD16" s="28" t="str" cm="1">
        <f t="array" ref="BD16">IF(COUNTA($I$16:BC$16)&lt;COUNTIF(Data!$C:$C,"Forwards"),INDEX(Data!$D:$D,MATCH(BC$16,Data!$D:$D,0)+1),"")</f>
        <v/>
      </c>
      <c r="BE16" s="28" t="str" cm="1">
        <f t="array" ref="BE16">IF(COUNTA($I$16:BD$16)&lt;COUNTIF(Data!$C:$C,"Forwards"),INDEX(Data!$D:$D,MATCH(BD$16,Data!$D:$D,0)+1),"")</f>
        <v/>
      </c>
      <c r="BF16" s="28" t="str" cm="1">
        <f t="array" ref="BF16">IF(COUNTA($I$16:BE$16)&lt;COUNTIF(Data!$C:$C,"Forwards"),INDEX(Data!$D:$D,MATCH(BE$16,Data!$D:$D,0)+1),"")</f>
        <v/>
      </c>
      <c r="BG16" s="28" t="str" cm="1">
        <f t="array" ref="BG16">IF(COUNTA($I$16:BF$16)&lt;COUNTIF(Data!$C:$C,"Forwards"),INDEX(Data!$D:$D,MATCH(BF$16,Data!$D:$D,0)+1),"")</f>
        <v/>
      </c>
      <c r="BH16" s="29" t="str" cm="1">
        <f t="array" ref="BH16">IF(COUNTA($I$16:BG$16)&lt;COUNTIF(Data!$C:$C,"Forwards"),INDEX(Data!$D:$D,MATCH(BG$16,Data!$D:$D,0)+1),"")</f>
        <v/>
      </c>
      <c r="BI16" s="28" t="str" cm="1">
        <f t="array" ref="BI16">IF(COUNTA($I$1:BH$1)&lt;COUNTIF(Data!$C:$C,"Swaps"),INDEX(Data!$D:$D,MATCH(BH$1,Data!$D:$D,0)+1),"")</f>
        <v/>
      </c>
      <c r="BJ16" s="28" t="str" cm="1">
        <f t="array" ref="BJ16">IF(COUNTA($I$1:BI$1)&lt;COUNTIF(Data!$C:$C,"Swaps"),INDEX(Data!$D:$D,MATCH(BI$1,Data!$D:$D,0)+1),"")</f>
        <v/>
      </c>
      <c r="BK16" s="28" t="str" cm="1">
        <f t="array" ref="BK16">IF(COUNTA($I$1:BJ$1)&lt;COUNTIF(Data!$C:$C,"Swaps"),INDEX(Data!$D:$D,MATCH(BJ$1,Data!$D:$D,0)+1),"")</f>
        <v/>
      </c>
      <c r="BL16" s="28" t="str" cm="1">
        <f t="array" ref="BL16">IF(COUNTA($I$1:BK$1)&lt;COUNTIF(Data!$C:$C,"Swaps"),INDEX(Data!$D:$D,MATCH(BK$1,Data!$D:$D,0)+1),"")</f>
        <v/>
      </c>
      <c r="BM16" s="28" t="str" cm="1">
        <f t="array" ref="BM16">IF(COUNTA($I$1:BL$1)&lt;COUNTIF(Data!$C:$C,"Swaps"),INDEX(Data!$D:$D,MATCH(BL$1,Data!$D:$D,0)+1),"")</f>
        <v/>
      </c>
      <c r="BN16" s="28" t="str" cm="1">
        <f t="array" ref="BN16">IF(COUNTA($I$1:BM$1)&lt;COUNTIF(Data!$C:$C,"Swaps"),INDEX(Data!$D:$D,MATCH(BM$1,Data!$D:$D,0)+1),"")</f>
        <v/>
      </c>
      <c r="BO16" s="28" t="str" cm="1">
        <f t="array" ref="BO16">IF(COUNTA($I$1:BN$1)&lt;COUNTIF(Data!$C:$C,"Swaps"),INDEX(Data!$D:$D,MATCH(BN$1,Data!$D:$D,0)+1),"")</f>
        <v/>
      </c>
      <c r="BP16" s="28" t="str" cm="1">
        <f t="array" ref="BP16">IF(COUNTA($I$1:BO$1)&lt;COUNTIF(Data!$C:$C,"Swaps"),INDEX(Data!$D:$D,MATCH(BO$1,Data!$D:$D,0)+1),"")</f>
        <v/>
      </c>
      <c r="BQ16" s="28" t="str" cm="1">
        <f t="array" ref="BQ16">IF(COUNTA($I$1:BP$1)&lt;COUNTIF(Data!$C:$C,"Swaps"),INDEX(Data!$D:$D,MATCH(BP$1,Data!$D:$D,0)+1),"")</f>
        <v/>
      </c>
      <c r="BR16" s="28" t="str" cm="1">
        <f t="array" ref="BR16">IF(COUNTA($I$1:BQ$1)&lt;COUNTIF(Data!$C:$C,"Swaps"),INDEX(Data!$D:$D,MATCH(BQ$1,Data!$D:$D,0)+1),"")</f>
        <v/>
      </c>
      <c r="BS16" s="28" t="str" cm="1">
        <f t="array" ref="BS16">IF(COUNTA($I$1:BR$1)&lt;COUNTIF(Data!$C:$C,"Swaps"),INDEX(Data!$D:$D,MATCH(BR$1,Data!$D:$D,0)+1),"")</f>
        <v/>
      </c>
      <c r="BT16" s="28" t="str" cm="1">
        <f t="array" ref="BT16">IF(COUNTA($I$1:BS$1)&lt;COUNTIF(Data!$C:$C,"Swaps"),INDEX(Data!$D:$D,MATCH(BS$1,Data!$D:$D,0)+1),"")</f>
        <v/>
      </c>
      <c r="BU16" s="28" t="str" cm="1">
        <f t="array" ref="BU16">IF(COUNTA($I$1:BT$1)&lt;COUNTIF(Data!$C:$C,"Swaps"),INDEX(Data!$D:$D,MATCH(BT$1,Data!$D:$D,0)+1),"")</f>
        <v/>
      </c>
      <c r="BV16" s="28" t="str" cm="1">
        <f t="array" ref="BV16">IF(COUNTA($I$1:BU$1)&lt;COUNTIF(Data!$C:$C,"Swaps"),INDEX(Data!$D:$D,MATCH(BU$1,Data!$D:$D,0)+1),"")</f>
        <v/>
      </c>
      <c r="BW16" s="28" t="str" cm="1">
        <f t="array" ref="BW16">IF(COUNTA($I$1:BV$1)&lt;COUNTIF(Data!$C:$C,"Swaps"),INDEX(Data!$D:$D,MATCH(BV$1,Data!$D:$D,0)+1),"")</f>
        <v/>
      </c>
      <c r="BX16" s="28" t="str" cm="1">
        <f t="array" ref="BX16">IF(COUNTA($I$1:BW$1)&lt;COUNTIF(Data!$C:$C,"Swaps"),INDEX(Data!$D:$D,MATCH(BW$1,Data!$D:$D,0)+1),"")</f>
        <v/>
      </c>
      <c r="BY16" s="28" t="str" cm="1">
        <f t="array" ref="BY16">IF(COUNTA($I$1:BX$1)&lt;COUNTIF(Data!$C:$C,"Swaps"),INDEX(Data!$D:$D,MATCH(BX$1,Data!$D:$D,0)+1),"")</f>
        <v/>
      </c>
      <c r="BZ16" s="28" t="str" cm="1">
        <f t="array" ref="BZ16">IF(COUNTA($I$1:BY$1)&lt;COUNTIF(Data!$C:$C,"Swaps"),INDEX(Data!$D:$D,MATCH(BY$1,Data!$D:$D,0)+1),"")</f>
        <v/>
      </c>
      <c r="CA16" s="28" t="str" cm="1">
        <f t="array" ref="CA16">IF(COUNTA($I$1:BZ$1)&lt;COUNTIF(Data!$C:$C,"Swaps"),INDEX(Data!$D:$D,MATCH(BZ$1,Data!$D:$D,0)+1),"")</f>
        <v/>
      </c>
      <c r="CB16" s="28" t="str" cm="1">
        <f t="array" ref="CB16">IF(COUNTA($I$1:CA$1)&lt;COUNTIF(Data!$C:$C,"Swaps"),INDEX(Data!$D:$D,MATCH(CA$1,Data!$D:$D,0)+1),"")</f>
        <v/>
      </c>
      <c r="CC16" s="28" t="str" cm="1">
        <f t="array" ref="CC16">IF(COUNTA($I$1:CB$1)&lt;COUNTIF(Data!$C:$C,"Swaps"),INDEX(Data!$D:$D,MATCH(CB$1,Data!$D:$D,0)+1),"")</f>
        <v/>
      </c>
      <c r="CD16" s="28" t="str" cm="1">
        <f t="array" ref="CD16">IF(COUNTA($I$1:CC$1)&lt;COUNTIF(Data!$C:$C,"Swaps"),INDEX(Data!$D:$D,MATCH(CC$1,Data!$D:$D,0)+1),"")</f>
        <v/>
      </c>
      <c r="CE16" s="28" t="str" cm="1">
        <f t="array" ref="CE16">IF(COUNTA($I$1:CD$1)&lt;COUNTIF(Data!$C:$C,"Swaps"),INDEX(Data!$D:$D,MATCH(CD$1,Data!$D:$D,0)+1),"")</f>
        <v/>
      </c>
      <c r="CF16" s="28" t="str" cm="1">
        <f t="array" ref="CF16">IF(COUNTA($I$1:CE$1)&lt;COUNTIF(Data!$C:$C,"Swaps"),INDEX(Data!$D:$D,MATCH(CE$1,Data!$D:$D,0)+1),"")</f>
        <v/>
      </c>
      <c r="CG16" s="28" t="str" cm="1">
        <f t="array" ref="CG16">IF(COUNTA($I$1:CF$1)&lt;COUNTIF(Data!$C:$C,"Swaps"),INDEX(Data!$D:$D,MATCH(CF$1,Data!$D:$D,0)+1),"")</f>
        <v/>
      </c>
      <c r="CH16" s="28" t="str" cm="1">
        <f t="array" ref="CH16">IF(COUNTA($I$1:CG$1)&lt;COUNTIF(Data!$C:$C,"Swaps"),INDEX(Data!$D:$D,MATCH(CG$1,Data!$D:$D,0)+1),"")</f>
        <v/>
      </c>
      <c r="CI16" s="28" t="str" cm="1">
        <f t="array" ref="CI16">IF(COUNTA($I$1:CH$1)&lt;COUNTIF(Data!$C:$C,"Swaps"),INDEX(Data!$D:$D,MATCH(CH$1,Data!$D:$D,0)+1),"")</f>
        <v/>
      </c>
      <c r="CJ16" s="28" t="str" cm="1">
        <f t="array" ref="CJ16">IF(COUNTA($I$1:CI$1)&lt;COUNTIF(Data!$C:$C,"Swaps"),INDEX(Data!$D:$D,MATCH(CI$1,Data!$D:$D,0)+1),"")</f>
        <v/>
      </c>
      <c r="CK16" s="28" t="str" cm="1">
        <f t="array" ref="CK16">IF(COUNTA($I$1:CJ$1)&lt;COUNTIF(Data!$C:$C,"Swaps"),INDEX(Data!$D:$D,MATCH(CJ$1,Data!$D:$D,0)+1),"")</f>
        <v/>
      </c>
      <c r="CL16" s="28" t="str" cm="1">
        <f t="array" ref="CL16">IF(COUNTA($I$1:CK$1)&lt;COUNTIF(Data!$C:$C,"Swaps"),INDEX(Data!$D:$D,MATCH(CK$1,Data!$D:$D,0)+1),"")</f>
        <v/>
      </c>
      <c r="CM16" s="28" t="str" cm="1">
        <f t="array" ref="CM16">IF(COUNTA($I$1:CL$1)&lt;COUNTIF(Data!$C:$C,"Swaps"),INDEX(Data!$D:$D,MATCH(CL$1,Data!$D:$D,0)+1),"")</f>
        <v/>
      </c>
      <c r="CN16" s="28" t="str" cm="1">
        <f t="array" ref="CN16">IF(COUNTA($I$1:CM$1)&lt;COUNTIF(Data!$C:$C,"Swaps"),INDEX(Data!$D:$D,MATCH(CM$1,Data!$D:$D,0)+1),"")</f>
        <v/>
      </c>
      <c r="CO16" s="28" t="str" cm="1">
        <f t="array" ref="CO16">IF(COUNTA($I$1:CN$1)&lt;COUNTIF(Data!$C:$C,"Swaps"),INDEX(Data!$D:$D,MATCH(CN$1,Data!$D:$D,0)+1),"")</f>
        <v/>
      </c>
      <c r="CP16" s="28" t="str" cm="1">
        <f t="array" ref="CP16">IF(COUNTA($I$1:CO$1)&lt;COUNTIF(Data!$C:$C,"Swaps"),INDEX(Data!$D:$D,MATCH(CO$1,Data!$D:$D,0)+1),"")</f>
        <v/>
      </c>
      <c r="CQ16" s="28" t="str" cm="1">
        <f t="array" ref="CQ16">IF(COUNTA($I$1:CP$1)&lt;COUNTIF(Data!$C:$C,"Swaps"),INDEX(Data!$D:$D,MATCH(CP$1,Data!$D:$D,0)+1),"")</f>
        <v/>
      </c>
      <c r="CR16" s="28" t="str" cm="1">
        <f t="array" ref="CR16">IF(COUNTA($I$1:CQ$1)&lt;COUNTIF(Data!$C:$C,"Swaps"),INDEX(Data!$D:$D,MATCH(CQ$1,Data!$D:$D,0)+1),"")</f>
        <v/>
      </c>
      <c r="CS16" s="28" t="str" cm="1">
        <f t="array" ref="CS16">IF(COUNTA($I$1:CR$1)&lt;COUNTIF(Data!$C:$C,"Swaps"),INDEX(Data!$D:$D,MATCH(CR$1,Data!$D:$D,0)+1),"")</f>
        <v/>
      </c>
      <c r="CT16" s="28" t="str" cm="1">
        <f t="array" ref="CT16">IF(COUNTA($I$1:CS$1)&lt;COUNTIF(Data!$C:$C,"Swaps"),INDEX(Data!$D:$D,MATCH(CS$1,Data!$D:$D,0)+1),"")</f>
        <v/>
      </c>
      <c r="CU16" s="28" t="str" cm="1">
        <f t="array" ref="CU16">IF(COUNTA($I$1:CT$1)&lt;COUNTIF(Data!$C:$C,"Swaps"),INDEX(Data!$D:$D,MATCH(CT$1,Data!$D:$D,0)+1),"")</f>
        <v/>
      </c>
      <c r="CV16" s="28" t="str" cm="1">
        <f t="array" ref="CV16">IF(COUNTA($I$1:CU$1)&lt;COUNTIF(Data!$C:$C,"Swaps"),INDEX(Data!$D:$D,MATCH(CU$1,Data!$D:$D,0)+1),"")</f>
        <v/>
      </c>
      <c r="CW16" s="28" t="str" cm="1">
        <f t="array" ref="CW16">IF(COUNTA($I$1:CV$1)&lt;COUNTIF(Data!$C:$C,"Swaps"),INDEX(Data!$D:$D,MATCH(CV$1,Data!$D:$D,0)+1),"")</f>
        <v/>
      </c>
      <c r="CX16" s="28" t="str" cm="1">
        <f t="array" ref="CX16">IF(COUNTA($I$1:CW$1)&lt;COUNTIF(Data!$C:$C,"Swaps"),INDEX(Data!$D:$D,MATCH(CW$1,Data!$D:$D,0)+1),"")</f>
        <v/>
      </c>
      <c r="CY16" s="28" t="str" cm="1">
        <f t="array" ref="CY16">IF(COUNTA($I$1:CX$1)&lt;COUNTIF(Data!$C:$C,"Swaps"),INDEX(Data!$D:$D,MATCH(CX$1,Data!$D:$D,0)+1),"")</f>
        <v/>
      </c>
      <c r="CZ16" s="28" t="str" cm="1">
        <f t="array" ref="CZ16">IF(COUNTA($I$1:CY$1)&lt;COUNTIF(Data!$C:$C,"Swaps"),INDEX(Data!$D:$D,MATCH(CY$1,Data!$D:$D,0)+1),"")</f>
        <v/>
      </c>
      <c r="DA16" s="28" t="str" cm="1">
        <f t="array" ref="DA16">IF(COUNTA($I$1:CZ$1)&lt;COUNTIF(Data!$C:$C,"Swaps"),INDEX(Data!$D:$D,MATCH(CZ$1,Data!$D:$D,0)+1),"")</f>
        <v/>
      </c>
      <c r="DB16" s="28" t="str" cm="1">
        <f t="array" ref="DB16">IF(COUNTA($I$1:DA$1)&lt;COUNTIF(Data!$C:$C,"Swaps"),INDEX(Data!$D:$D,MATCH(DA$1,Data!$D:$D,0)+1),"")</f>
        <v/>
      </c>
      <c r="DC16" s="28" t="str" cm="1">
        <f t="array" ref="DC16">IF(COUNTA($I$1:DB$1)&lt;COUNTIF(Data!$C:$C,"Swaps"),INDEX(Data!$D:$D,MATCH(DB$1,Data!$D:$D,0)+1),"")</f>
        <v/>
      </c>
      <c r="DD16" s="28" t="str" cm="1">
        <f t="array" ref="DD16">IF(COUNTA($I$1:DC$1)&lt;COUNTIF(Data!$C:$C,"Swaps"),INDEX(Data!$D:$D,MATCH(DC$1,Data!$D:$D,0)+1),"")</f>
        <v/>
      </c>
      <c r="DE16" s="28" t="str" cm="1">
        <f t="array" ref="DE16">IF(COUNTA($I$1:DD$1)&lt;COUNTIF(Data!$C:$C,"Swaps"),INDEX(Data!$D:$D,MATCH(DD$1,Data!$D:$D,0)+1),"")</f>
        <v/>
      </c>
      <c r="DF16" s="28" t="str" cm="1">
        <f t="array" ref="DF16">IF(COUNTA($I$1:DE$1)&lt;COUNTIF(Data!$C:$C,"Swaps"),INDEX(Data!$D:$D,MATCH(DE$1,Data!$D:$D,0)+1),"")</f>
        <v/>
      </c>
      <c r="DG16" s="28" t="str" cm="1">
        <f t="array" ref="DG16">IF(COUNTA($I$1:DF$1)&lt;COUNTIF(Data!$C:$C,"Swaps"),INDEX(Data!$D:$D,MATCH(DF$1,Data!$D:$D,0)+1),"")</f>
        <v/>
      </c>
      <c r="DH16" s="28" t="str" cm="1">
        <f t="array" ref="DH16">IF(COUNTA($I$1:DG$1)&lt;COUNTIF(Data!$C:$C,"Swaps"),INDEX(Data!$D:$D,MATCH(DG$1,Data!$D:$D,0)+1),"")</f>
        <v/>
      </c>
      <c r="DI16" s="28" t="str" cm="1">
        <f t="array" ref="DI16">IF(COUNTA($I$1:DH$1)&lt;COUNTIF(Data!$C:$C,"Swaps"),INDEX(Data!$D:$D,MATCH(DH$1,Data!$D:$D,0)+1),"")</f>
        <v/>
      </c>
      <c r="DJ16" s="28" t="str" cm="1">
        <f t="array" ref="DJ16">IF(COUNTA($I$1:DI$1)&lt;COUNTIF(Data!$C:$C,"Swaps"),INDEX(Data!$D:$D,MATCH(DI$1,Data!$D:$D,0)+1),"")</f>
        <v/>
      </c>
      <c r="DK16" s="28" t="str" cm="1">
        <f t="array" ref="DK16">IF(COUNTA($I$1:DJ$1)&lt;COUNTIF(Data!$C:$C,"Swaps"),INDEX(Data!$D:$D,MATCH(DJ$1,Data!$D:$D,0)+1),"")</f>
        <v/>
      </c>
      <c r="DL16" s="28" t="str" cm="1">
        <f t="array" ref="DL16">IF(COUNTA($I$1:DK$1)&lt;COUNTIF(Data!$C:$C,"Swaps"),INDEX(Data!$D:$D,MATCH(DK$1,Data!$D:$D,0)+1),"")</f>
        <v/>
      </c>
      <c r="DM16" s="28" t="str" cm="1">
        <f t="array" ref="DM16">IF(COUNTA($I$1:DL$1)&lt;COUNTIF(Data!$C:$C,"Swaps"),INDEX(Data!$D:$D,MATCH(DL$1,Data!$D:$D,0)+1),"")</f>
        <v/>
      </c>
      <c r="DN16" s="28" t="str" cm="1">
        <f t="array" ref="DN16">IF(COUNTA($I$1:DM$1)&lt;COUNTIF(Data!$C:$C,"Swaps"),INDEX(Data!$D:$D,MATCH(DM$1,Data!$D:$D,0)+1),"")</f>
        <v/>
      </c>
      <c r="DO16" s="28" t="str" cm="1">
        <f t="array" ref="DO16">IF(COUNTA($I$1:DN$1)&lt;COUNTIF(Data!$C:$C,"Swaps"),INDEX(Data!$D:$D,MATCH(DN$1,Data!$D:$D,0)+1),"")</f>
        <v/>
      </c>
    </row>
    <row r="17" spans="1:75" x14ac:dyDescent="0.3">
      <c r="A17" s="103" t="s">
        <v>66</v>
      </c>
      <c r="B17" s="113">
        <f>MIN(0,SUMIF(Data!$C:$C,$A17,Data!$AH:$AH))</f>
        <v>0</v>
      </c>
      <c r="C17" s="69" t="e">
        <f>$B17/$B$4</f>
        <v>#DIV/0!</v>
      </c>
      <c r="D17" s="64"/>
      <c r="H17" s="158">
        <f>SUM(I17:BH17)</f>
        <v>0</v>
      </c>
      <c r="I17" s="15" t="str">
        <f>IF(I$16="","",INDEX(Data!$AH:$AH,MATCH(I$16,Data!$D:$D,0))/$B$4)</f>
        <v/>
      </c>
      <c r="J17" s="16" t="str">
        <f>IF(J$16="","",INDEX(Data!$AH:$AH,MATCH(J$16,Data!$D:$D,0))/$B$4)</f>
        <v/>
      </c>
      <c r="K17" s="16" t="str">
        <f>IF(K$16="","",INDEX(Data!$AH:$AH,MATCH(K$16,Data!$D:$D,0))/$B$4)</f>
        <v/>
      </c>
      <c r="L17" s="16" t="str">
        <f>IF(L$16="","",INDEX(Data!$AH:$AH,MATCH(L$16,Data!$D:$D,0))/$B$4)</f>
        <v/>
      </c>
      <c r="M17" s="16" t="str">
        <f>IF(M$16="","",INDEX(Data!$AH:$AH,MATCH(M$16,Data!$D:$D,0))/$B$4)</f>
        <v/>
      </c>
      <c r="N17" s="16" t="str">
        <f>IF(N$16="","",INDEX(Data!$AH:$AH,MATCH(N$16,Data!$D:$D,0))/$B$4)</f>
        <v/>
      </c>
      <c r="O17" s="16" t="str">
        <f>IF(O$16="","",INDEX(Data!$AH:$AH,MATCH(O$16,Data!$D:$D,0))/$B$4)</f>
        <v/>
      </c>
      <c r="P17" s="16" t="str">
        <f>IF(P$16="","",INDEX(Data!$AH:$AH,MATCH(P$16,Data!$D:$D,0))/$B$4)</f>
        <v/>
      </c>
      <c r="Q17" s="16" t="str">
        <f>IF(Q$16="","",INDEX(Data!$AH:$AH,MATCH(Q$16,Data!$D:$D,0))/$B$4)</f>
        <v/>
      </c>
      <c r="R17" s="16" t="str">
        <f>IF(R$16="","",INDEX(Data!$AH:$AH,MATCH(R$16,Data!$D:$D,0))/$B$4)</f>
        <v/>
      </c>
      <c r="S17" s="16" t="str">
        <f>IF(S$16="","",INDEX(Data!$AH:$AH,MATCH(S$16,Data!$D:$D,0))/$B$4)</f>
        <v/>
      </c>
      <c r="T17" s="16" t="str">
        <f>IF(T$16="","",INDEX(Data!$AH:$AH,MATCH(T$16,Data!$D:$D,0))/$B$4)</f>
        <v/>
      </c>
      <c r="U17" s="16" t="str">
        <f>IF(U$16="","",INDEX(Data!$AH:$AH,MATCH(U$16,Data!$D:$D,0))/$B$4)</f>
        <v/>
      </c>
      <c r="V17" s="16" t="str">
        <f>IF(V$16="","",INDEX(Data!$AH:$AH,MATCH(V$16,Data!$D:$D,0))/$B$4)</f>
        <v/>
      </c>
      <c r="W17" s="16" t="str">
        <f>IF(W$16="","",INDEX(Data!$AH:$AH,MATCH(W$16,Data!$D:$D,0))/$B$4)</f>
        <v/>
      </c>
      <c r="X17" s="16" t="str">
        <f>IF(X$16="","",INDEX(Data!$AH:$AH,MATCH(X$16,Data!$D:$D,0))/$B$4)</f>
        <v/>
      </c>
      <c r="Y17" s="16" t="str">
        <f>IF(Y$16="","",INDEX(Data!$AH:$AH,MATCH(Y$16,Data!$D:$D,0))/$B$4)</f>
        <v/>
      </c>
      <c r="Z17" s="16" t="str">
        <f>IF(Z$16="","",INDEX(Data!$AH:$AH,MATCH(Z$16,Data!$D:$D,0))/$B$4)</f>
        <v/>
      </c>
      <c r="AA17" s="16" t="str">
        <f>IF(AA$16="","",INDEX(Data!$AH:$AH,MATCH(AA$16,Data!$D:$D,0))/$B$4)</f>
        <v/>
      </c>
      <c r="AB17" s="16" t="str">
        <f>IF(AB$16="","",INDEX(Data!$AH:$AH,MATCH(AB$16,Data!$D:$D,0))/$B$4)</f>
        <v/>
      </c>
      <c r="AC17" s="16" t="str">
        <f>IF(AC$16="","",INDEX(Data!$AH:$AH,MATCH(AC$16,Data!$D:$D,0))/$B$4)</f>
        <v/>
      </c>
      <c r="AD17" s="16" t="str">
        <f>IF(AD$16="","",INDEX(Data!$AH:$AH,MATCH(AD$16,Data!$D:$D,0))/$B$4)</f>
        <v/>
      </c>
      <c r="AE17" s="16" t="str">
        <f>IF(AE$16="","",INDEX(Data!$AH:$AH,MATCH(AE$16,Data!$D:$D,0))/$B$4)</f>
        <v/>
      </c>
      <c r="AF17" s="16" t="str">
        <f>IF(AF$16="","",INDEX(Data!$AH:$AH,MATCH(AF$16,Data!$D:$D,0))/$B$4)</f>
        <v/>
      </c>
      <c r="AG17" s="16" t="str">
        <f>IF(AG$16="","",INDEX(Data!$AH:$AH,MATCH(AG$16,Data!$D:$D,0))/$B$4)</f>
        <v/>
      </c>
      <c r="AH17" s="16" t="str">
        <f>IF(AH$16="","",INDEX(Data!$AH:$AH,MATCH(AH$16,Data!$D:$D,0))/$B$4)</f>
        <v/>
      </c>
      <c r="AI17" s="16" t="str">
        <f>IF(AI$16="","",INDEX(Data!$AH:$AH,MATCH(AI$16,Data!$D:$D,0))/$B$4)</f>
        <v/>
      </c>
      <c r="AJ17" s="16" t="str">
        <f>IF(AJ$16="","",INDEX(Data!$AH:$AH,MATCH(AJ$16,Data!$D:$D,0))/$B$4)</f>
        <v/>
      </c>
      <c r="AK17" s="16" t="str">
        <f>IF(AK$16="","",INDEX(Data!$AH:$AH,MATCH(AK$16,Data!$D:$D,0))/$B$4)</f>
        <v/>
      </c>
      <c r="AL17" s="16" t="str">
        <f>IF(AL$16="","",INDEX(Data!$AH:$AH,MATCH(AL$16,Data!$D:$D,0))/$B$4)</f>
        <v/>
      </c>
      <c r="AM17" s="16" t="str">
        <f>IF(AM$16="","",INDEX(Data!$AH:$AH,MATCH(AM$16,Data!$D:$D,0))/$B$4)</f>
        <v/>
      </c>
      <c r="AN17" s="16" t="str">
        <f>IF(AN$16="","",INDEX(Data!$AH:$AH,MATCH(AN$16,Data!$D:$D,0))/$B$4)</f>
        <v/>
      </c>
      <c r="AO17" s="16" t="str">
        <f>IF(AO$16="","",INDEX(Data!$AH:$AH,MATCH(AO$16,Data!$D:$D,0))/$B$4)</f>
        <v/>
      </c>
      <c r="AP17" s="16" t="str">
        <f>IF(AP$16="","",INDEX(Data!$AH:$AH,MATCH(AP$16,Data!$D:$D,0))/$B$4)</f>
        <v/>
      </c>
      <c r="AQ17" s="16" t="str">
        <f>IF(AQ$16="","",INDEX(Data!$AH:$AH,MATCH(AQ$16,Data!$D:$D,0))/$B$4)</f>
        <v/>
      </c>
      <c r="AR17" s="16" t="str">
        <f>IF(AR$16="","",INDEX(Data!$AH:$AH,MATCH(AR$16,Data!$D:$D,0))/$B$4)</f>
        <v/>
      </c>
      <c r="AS17" s="16" t="str">
        <f>IF(AS$16="","",INDEX(Data!$AH:$AH,MATCH(AS$16,Data!$D:$D,0))/$B$4)</f>
        <v/>
      </c>
      <c r="AT17" s="16" t="str">
        <f>IF(AT$16="","",INDEX(Data!$AH:$AH,MATCH(AT$16,Data!$D:$D,0))/$B$4)</f>
        <v/>
      </c>
      <c r="AU17" s="16" t="str">
        <f>IF(AU$16="","",INDEX(Data!$AH:$AH,MATCH(AU$16,Data!$D:$D,0))/$B$4)</f>
        <v/>
      </c>
      <c r="AV17" s="16" t="str">
        <f>IF(AV$16="","",INDEX(Data!$AH:$AH,MATCH(AV$16,Data!$D:$D,0))/$B$4)</f>
        <v/>
      </c>
      <c r="AW17" s="16" t="str">
        <f>IF(AW$16="","",INDEX(Data!$AH:$AH,MATCH(AW$16,Data!$D:$D,0))/$B$4)</f>
        <v/>
      </c>
      <c r="AX17" s="16" t="str">
        <f>IF(AX$16="","",INDEX(Data!$AH:$AH,MATCH(AX$16,Data!$D:$D,0))/$B$4)</f>
        <v/>
      </c>
      <c r="AY17" s="16" t="str">
        <f>IF(AY$16="","",INDEX(Data!$AH:$AH,MATCH(AY$16,Data!$D:$D,0))/$B$4)</f>
        <v/>
      </c>
      <c r="AZ17" s="16" t="str">
        <f>IF(AZ$16="","",INDEX(Data!$AH:$AH,MATCH(AZ$16,Data!$D:$D,0))/$B$4)</f>
        <v/>
      </c>
      <c r="BA17" s="16" t="str">
        <f>IF(BA$16="","",INDEX(Data!$AH:$AH,MATCH(BA$16,Data!$D:$D,0))/$B$4)</f>
        <v/>
      </c>
      <c r="BB17" s="16" t="str">
        <f>IF(BB$16="","",INDEX(Data!$AH:$AH,MATCH(BB$16,Data!$D:$D,0))/$B$4)</f>
        <v/>
      </c>
      <c r="BC17" s="16" t="str">
        <f>IF(BC$16="","",INDEX(Data!$AH:$AH,MATCH(BC$16,Data!$D:$D,0))/$B$4)</f>
        <v/>
      </c>
      <c r="BD17" s="16" t="str">
        <f>IF(BD$16="","",INDEX(Data!$AH:$AH,MATCH(BD$16,Data!$D:$D,0))/$B$4)</f>
        <v/>
      </c>
      <c r="BE17" s="16" t="str">
        <f>IF(BE$16="","",INDEX(Data!$AH:$AH,MATCH(BE$16,Data!$D:$D,0))/$B$4)</f>
        <v/>
      </c>
      <c r="BF17" s="16" t="str">
        <f>IF(BF$16="","",INDEX(Data!$AH:$AH,MATCH(BF$16,Data!$D:$D,0))/$B$4)</f>
        <v/>
      </c>
      <c r="BG17" s="16" t="str">
        <f>IF(BG$16="","",INDEX(Data!$AH:$AH,MATCH(BG$16,Data!$D:$D,0))/$B$4)</f>
        <v/>
      </c>
      <c r="BH17" s="17" t="str">
        <f>IF(BH$16="","",INDEX(Data!$AH:$AH,MATCH(BH$16,Data!$D:$D,0))/$B$4)</f>
        <v/>
      </c>
    </row>
    <row r="18" spans="1:75" x14ac:dyDescent="0.3">
      <c r="A18" s="103" t="s">
        <v>68</v>
      </c>
      <c r="B18" s="156" t="e" cm="1">
        <f t="array" ref="B18">MIN(0,SUMPRODUCT((Data!$B$2:$B$1000="SWAPS")*((Data!$G$2:$G$1000)*(Data!$M$2:$M$1000))))/100</f>
        <v>#VALUE!</v>
      </c>
      <c r="C18" s="70" t="e">
        <f>$B18/$B$4</f>
        <v>#VALUE!</v>
      </c>
      <c r="H18" s="158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4"/>
    </row>
    <row r="19" spans="1:75" x14ac:dyDescent="0.3">
      <c r="A19" s="103" t="s">
        <v>11065</v>
      </c>
      <c r="B19" s="119" t="e" cm="1">
        <f t="array" ref="B19">MIN(0,SUMPRODUCT((Data!$B$2:$B$1000="FORWARD RATE AGREEMENT")*((Data!$G$2:$G$1000)*(Data!$M$2:$M$1000))))/100</f>
        <v>#VALUE!</v>
      </c>
      <c r="C19" s="71" t="e">
        <f>$B19/$B$4</f>
        <v>#VALUE!</v>
      </c>
      <c r="D19" s="64"/>
      <c r="F19" s="14" t="s">
        <v>62</v>
      </c>
      <c r="H19" s="159" t="str">
        <f>"Swaps ("&amp;COUNTIF(Data!$C:$C,"SWAPS")&amp;")"</f>
        <v>Swaps (0)</v>
      </c>
      <c r="I19" s="27" t="str">
        <f>IF(ISNA(IF(ISNA(MATCH("Swaps",Data!$C:$C,0)),"",INDEX(Data!$D:$D,MATCH("Swaps",Data!$C:$C,0)))),"",IF(ISNA(MATCH("Swaps",Data!$C:$C,0)),"",INDEX(Data!$D:$D,MATCH("Swaps",Data!$C:$C,0))))</f>
        <v/>
      </c>
      <c r="J19" s="28" t="str" cm="1">
        <f t="array" ref="J19">IF(COUNTA($I$19:I$19)&lt;COUNTIF(Data!$C:$C,"Swaps"),INDEX(Data!$D:$D,MATCH(I$19,Data!$D:$D,0)+1),"")</f>
        <v/>
      </c>
      <c r="K19" s="28" t="str" cm="1">
        <f t="array" ref="K19">IF(COUNTA($I$19:J$19)&lt;COUNTIF(Data!$C:$C,"Swaps"),INDEX(Data!$D:$D,MATCH(J$19,Data!$D:$D,0)+1),"")</f>
        <v/>
      </c>
      <c r="L19" s="28" t="str" cm="1">
        <f t="array" ref="L19">IF(COUNTA($I$19:K$19)&lt;COUNTIF(Data!$C:$C,"Swaps"),INDEX(Data!$D:$D,MATCH(K$19,Data!$D:$D,0)+1),"")</f>
        <v/>
      </c>
      <c r="M19" s="28" t="str" cm="1">
        <f t="array" ref="M19">IF(COUNTA($I$19:L$19)&lt;COUNTIF(Data!$C:$C,"Swaps"),INDEX(Data!$D:$D,MATCH(L$19,Data!$D:$D,0)+1),"")</f>
        <v/>
      </c>
      <c r="N19" s="28" t="str" cm="1">
        <f t="array" ref="N19">IF(COUNTA($I$19:M$19)&lt;COUNTIF(Data!$C:$C,"Swaps"),INDEX(Data!$D:$D,MATCH(M$19,Data!$D:$D,0)+1),"")</f>
        <v/>
      </c>
      <c r="O19" s="28" t="str" cm="1">
        <f t="array" ref="O19">IF(COUNTA($I$19:N$19)&lt;COUNTIF(Data!$C:$C,"Swaps"),INDEX(Data!$D:$D,MATCH(N$19,Data!$D:$D,0)+1),"")</f>
        <v/>
      </c>
      <c r="P19" s="28" t="str" cm="1">
        <f t="array" ref="P19">IF(COUNTA($I$19:O$19)&lt;COUNTIF(Data!$C:$C,"Swaps"),INDEX(Data!$D:$D,MATCH(O$19,Data!$D:$D,0)+1),"")</f>
        <v/>
      </c>
      <c r="Q19" s="28" t="str" cm="1">
        <f t="array" ref="Q19">IF(COUNTA($I$19:P$19)&lt;COUNTIF(Data!$C:$C,"Swaps"),INDEX(Data!$D:$D,MATCH(P$19,Data!$D:$D,0)+1),"")</f>
        <v/>
      </c>
      <c r="R19" s="28" t="str" cm="1">
        <f t="array" ref="R19">IF(COUNTA($I$19:Q$19)&lt;COUNTIF(Data!$C:$C,"Swaps"),INDEX(Data!$D:$D,MATCH(Q$19,Data!$D:$D,0)+1),"")</f>
        <v/>
      </c>
      <c r="S19" s="28" t="str" cm="1">
        <f t="array" ref="S19">IF(COUNTA($I$19:R$19)&lt;COUNTIF(Data!$C:$C,"Swaps"),INDEX(Data!$D:$D,MATCH(R$19,Data!$D:$D,0)+1),"")</f>
        <v/>
      </c>
      <c r="T19" s="28" t="str" cm="1">
        <f t="array" ref="T19">IF(COUNTA($I$19:S$19)&lt;COUNTIF(Data!$C:$C,"Swaps"),INDEX(Data!$D:$D,MATCH(S$19,Data!$D:$D,0)+1),"")</f>
        <v/>
      </c>
      <c r="U19" s="28" t="str" cm="1">
        <f t="array" ref="U19">IF(COUNTA($I$19:T$19)&lt;COUNTIF(Data!$C:$C,"Swaps"),INDEX(Data!$D:$D,MATCH(T$19,Data!$D:$D,0)+1),"")</f>
        <v/>
      </c>
      <c r="V19" s="28" t="str" cm="1">
        <f t="array" ref="V19">IF(COUNTA($I$19:U$19)&lt;COUNTIF(Data!$C:$C,"Swaps"),INDEX(Data!$D:$D,MATCH(U$19,Data!$D:$D,0)+1),"")</f>
        <v/>
      </c>
      <c r="W19" s="28" t="str" cm="1">
        <f t="array" ref="W19">IF(COUNTA($I$19:V$19)&lt;COUNTIF(Data!$C:$C,"Swaps"),INDEX(Data!$D:$D,MATCH(V$19,Data!$D:$D,0)+1),"")</f>
        <v/>
      </c>
      <c r="X19" s="28" t="str" cm="1">
        <f t="array" ref="X19">IF(COUNTA($I$19:W$19)&lt;COUNTIF(Data!$C:$C,"Swaps"),INDEX(Data!$D:$D,MATCH(W$19,Data!$D:$D,0)+1),"")</f>
        <v/>
      </c>
      <c r="Y19" s="28" t="str" cm="1">
        <f t="array" ref="Y19">IF(COUNTA($I$19:X$19)&lt;COUNTIF(Data!$C:$C,"Swaps"),INDEX(Data!$D:$D,MATCH(X$19,Data!$D:$D,0)+1),"")</f>
        <v/>
      </c>
      <c r="Z19" s="28" t="str" cm="1">
        <f t="array" ref="Z19">IF(COUNTA($I$19:Y$19)&lt;COUNTIF(Data!$C:$C,"Swaps"),INDEX(Data!$D:$D,MATCH(Y$19,Data!$D:$D,0)+1),"")</f>
        <v/>
      </c>
      <c r="AA19" s="28" t="str" cm="1">
        <f t="array" ref="AA19">IF(COUNTA($I$19:Z$19)&lt;COUNTIF(Data!$C:$C,"Swaps"),INDEX(Data!$D:$D,MATCH(Z$19,Data!$D:$D,0)+1),"")</f>
        <v/>
      </c>
      <c r="AB19" s="28" t="str" cm="1">
        <f t="array" ref="AB19">IF(COUNTA($I$19:AA$19)&lt;COUNTIF(Data!$C:$C,"Swaps"),INDEX(Data!$D:$D,MATCH(AA$19,Data!$D:$D,0)+1),"")</f>
        <v/>
      </c>
      <c r="AC19" s="28" t="str" cm="1">
        <f t="array" ref="AC19">IF(COUNTA($I$19:AB$19)&lt;COUNTIF(Data!$C:$C,"Swaps"),INDEX(Data!$D:$D,MATCH(AB$19,Data!$D:$D,0)+1),"")</f>
        <v/>
      </c>
      <c r="AD19" s="28" t="str" cm="1">
        <f t="array" ref="AD19">IF(COUNTA($I$19:AC$19)&lt;COUNTIF(Data!$C:$C,"Swaps"),INDEX(Data!$D:$D,MATCH(AC$19,Data!$D:$D,0)+1),"")</f>
        <v/>
      </c>
      <c r="AE19" s="28" t="str" cm="1">
        <f t="array" ref="AE19">IF(COUNTA($I$19:AD$19)&lt;COUNTIF(Data!$C:$C,"Swaps"),INDEX(Data!$D:$D,MATCH(AD$19,Data!$D:$D,0)+1),"")</f>
        <v/>
      </c>
      <c r="AF19" s="28" t="str" cm="1">
        <f t="array" ref="AF19">IF(COUNTA($I$19:AE$19)&lt;COUNTIF(Data!$C:$C,"Swaps"),INDEX(Data!$D:$D,MATCH(AE$19,Data!$D:$D,0)+1),"")</f>
        <v/>
      </c>
      <c r="AG19" s="28" t="str" cm="1">
        <f t="array" ref="AG19">IF(COUNTA($I$19:AF$19)&lt;COUNTIF(Data!$C:$C,"Swaps"),INDEX(Data!$D:$D,MATCH(AF$19,Data!$D:$D,0)+1),"")</f>
        <v/>
      </c>
      <c r="AH19" s="28" t="str" cm="1">
        <f t="array" ref="AH19">IF(COUNTA($I$19:AG$19)&lt;COUNTIF(Data!$C:$C,"Swaps"),INDEX(Data!$D:$D,MATCH(AG$19,Data!$D:$D,0)+1),"")</f>
        <v/>
      </c>
      <c r="AI19" s="28" t="str" cm="1">
        <f t="array" ref="AI19">IF(COUNTA($I$19:AH$19)&lt;COUNTIF(Data!$C:$C,"Swaps"),INDEX(Data!$D:$D,MATCH(AH$19,Data!$D:$D,0)+1),"")</f>
        <v/>
      </c>
      <c r="AJ19" s="28" t="str" cm="1">
        <f t="array" ref="AJ19">IF(COUNTA($I$19:AI$19)&lt;COUNTIF(Data!$C:$C,"Swaps"),INDEX(Data!$D:$D,MATCH(AI$19,Data!$D:$D,0)+1),"")</f>
        <v/>
      </c>
      <c r="AK19" s="28" t="str" cm="1">
        <f t="array" ref="AK19">IF(COUNTA($I$19:AJ$19)&lt;COUNTIF(Data!$C:$C,"Swaps"),INDEX(Data!$D:$D,MATCH(AJ$19,Data!$D:$D,0)+1),"")</f>
        <v/>
      </c>
      <c r="AL19" s="28" t="str" cm="1">
        <f t="array" ref="AL19">IF(COUNTA($I$19:AK$19)&lt;COUNTIF(Data!$C:$C,"Swaps"),INDEX(Data!$D:$D,MATCH(AK$19,Data!$D:$D,0)+1),"")</f>
        <v/>
      </c>
      <c r="AM19" s="28" t="str" cm="1">
        <f t="array" ref="AM19">IF(COUNTA($I$19:AL$19)&lt;COUNTIF(Data!$C:$C,"Swaps"),INDEX(Data!$D:$D,MATCH(AL$19,Data!$D:$D,0)+1),"")</f>
        <v/>
      </c>
      <c r="AN19" s="28" t="str" cm="1">
        <f t="array" ref="AN19">IF(COUNTA($I$19:AM$19)&lt;COUNTIF(Data!$C:$C,"Swaps"),INDEX(Data!$D:$D,MATCH(AM$19,Data!$D:$D,0)+1),"")</f>
        <v/>
      </c>
      <c r="AO19" s="28" t="str" cm="1">
        <f t="array" ref="AO19">IF(COUNTA($I$19:AN$19)&lt;COUNTIF(Data!$C:$C,"Swaps"),INDEX(Data!$D:$D,MATCH(AN$19,Data!$D:$D,0)+1),"")</f>
        <v/>
      </c>
      <c r="AP19" s="28" t="str" cm="1">
        <f t="array" ref="AP19">IF(COUNTA($I$19:AO$19)&lt;COUNTIF(Data!$C:$C,"Swaps"),INDEX(Data!$D:$D,MATCH(AO$19,Data!$D:$D,0)+1),"")</f>
        <v/>
      </c>
      <c r="AQ19" s="28" t="str" cm="1">
        <f t="array" ref="AQ19">IF(COUNTA($I$19:AP$19)&lt;COUNTIF(Data!$C:$C,"Swaps"),INDEX(Data!$D:$D,MATCH(AP$19,Data!$D:$D,0)+1),"")</f>
        <v/>
      </c>
      <c r="AR19" s="28" t="str" cm="1">
        <f t="array" ref="AR19">IF(COUNTA($I$19:AQ$19)&lt;COUNTIF(Data!$C:$C,"Swaps"),INDEX(Data!$D:$D,MATCH(AQ$19,Data!$D:$D,0)+1),"")</f>
        <v/>
      </c>
      <c r="AS19" s="28" t="str" cm="1">
        <f t="array" ref="AS19">IF(COUNTA($I$19:AR$19)&lt;COUNTIF(Data!$C:$C,"Swaps"),INDEX(Data!$D:$D,MATCH(AR$19,Data!$D:$D,0)+1),"")</f>
        <v/>
      </c>
      <c r="AT19" s="28" t="str" cm="1">
        <f t="array" ref="AT19">IF(COUNTA($I$19:AS$19)&lt;COUNTIF(Data!$C:$C,"Swaps"),INDEX(Data!$D:$D,MATCH(AS$19,Data!$D:$D,0)+1),"")</f>
        <v/>
      </c>
      <c r="AU19" s="28" t="str" cm="1">
        <f t="array" ref="AU19">IF(COUNTA($I$19:AT$19)&lt;COUNTIF(Data!$C:$C,"Swaps"),INDEX(Data!$D:$D,MATCH(AT$19,Data!$D:$D,0)+1),"")</f>
        <v/>
      </c>
      <c r="AV19" s="28" t="str" cm="1">
        <f t="array" ref="AV19">IF(COUNTA($I$19:AU$19)&lt;COUNTIF(Data!$C:$C,"Swaps"),INDEX(Data!$D:$D,MATCH(AU$19,Data!$D:$D,0)+1),"")</f>
        <v/>
      </c>
      <c r="AW19" s="28" t="str" cm="1">
        <f t="array" ref="AW19">IF(COUNTA($I$19:AV$19)&lt;COUNTIF(Data!$C:$C,"Swaps"),INDEX(Data!$D:$D,MATCH(AV$19,Data!$D:$D,0)+1),"")</f>
        <v/>
      </c>
      <c r="AX19" s="28" t="str" cm="1">
        <f t="array" ref="AX19">IF(COUNTA($I$19:AW$19)&lt;COUNTIF(Data!$C:$C,"Swaps"),INDEX(Data!$D:$D,MATCH(AW$19,Data!$D:$D,0)+1),"")</f>
        <v/>
      </c>
      <c r="AY19" s="28" t="str" cm="1">
        <f t="array" ref="AY19">IF(COUNTA($I$19:AX$19)&lt;COUNTIF(Data!$C:$C,"Swaps"),INDEX(Data!$D:$D,MATCH(AX$19,Data!$D:$D,0)+1),"")</f>
        <v/>
      </c>
      <c r="AZ19" s="28" t="str" cm="1">
        <f t="array" ref="AZ19">IF(COUNTA($I$19:AY$19)&lt;COUNTIF(Data!$C:$C,"Swaps"),INDEX(Data!$D:$D,MATCH(AY$19,Data!$D:$D,0)+1),"")</f>
        <v/>
      </c>
      <c r="BA19" s="28" t="str" cm="1">
        <f t="array" ref="BA19">IF(COUNTA($I$19:AZ$19)&lt;COUNTIF(Data!$C:$C,"Swaps"),INDEX(Data!$D:$D,MATCH(AZ$19,Data!$D:$D,0)+1),"")</f>
        <v/>
      </c>
      <c r="BB19" s="28" t="str" cm="1">
        <f t="array" ref="BB19">IF(COUNTA($I$19:BA$19)&lt;COUNTIF(Data!$C:$C,"Swaps"),INDEX(Data!$D:$D,MATCH(BA$19,Data!$D:$D,0)+1),"")</f>
        <v/>
      </c>
      <c r="BC19" s="28" t="str" cm="1">
        <f t="array" ref="BC19">IF(COUNTA($I$19:BB$19)&lt;COUNTIF(Data!$C:$C,"Swaps"),INDEX(Data!$D:$D,MATCH(BB$19,Data!$D:$D,0)+1),"")</f>
        <v/>
      </c>
      <c r="BD19" s="28" t="str" cm="1">
        <f t="array" ref="BD19">IF(COUNTA($I$19:BC$19)&lt;COUNTIF(Data!$C:$C,"Swaps"),INDEX(Data!$D:$D,MATCH(BC$19,Data!$D:$D,0)+1),"")</f>
        <v/>
      </c>
      <c r="BE19" s="28" t="str" cm="1">
        <f t="array" ref="BE19">IF(COUNTA($I$19:BD$19)&lt;COUNTIF(Data!$C:$C,"Swaps"),INDEX(Data!$D:$D,MATCH(BD$19,Data!$D:$D,0)+1),"")</f>
        <v/>
      </c>
      <c r="BF19" s="28" t="str" cm="1">
        <f t="array" ref="BF19">IF(COUNTA($I$19:BE$19)&lt;COUNTIF(Data!$C:$C,"Swaps"),INDEX(Data!$D:$D,MATCH(BE$19,Data!$D:$D,0)+1),"")</f>
        <v/>
      </c>
      <c r="BG19" s="28" t="str" cm="1">
        <f t="array" ref="BG19">IF(COUNTA($I$19:BF$19)&lt;COUNTIF(Data!$C:$C,"Swaps"),INDEX(Data!$D:$D,MATCH(BF$19,Data!$D:$D,0)+1),"")</f>
        <v/>
      </c>
      <c r="BH19" s="29" t="str" cm="1">
        <f t="array" ref="BH19">IF(COUNTA($I$19:BG$19)&lt;COUNTIF(Data!$C:$C,"Swaps"),INDEX(Data!$D:$D,MATCH(BG$19,Data!$D:$D,0)+1),"")</f>
        <v/>
      </c>
      <c r="BI19" s="28" t="str" cm="1">
        <f t="array" ref="BI19">IF(COUNTA($I$1:BH$1)&lt;COUNTIF(Data!$C:$C,"Forward Rate Agreement"),INDEX(Data!$D:$D,MATCH(BH$1,Data!$D:$D,0)+1),"")</f>
        <v/>
      </c>
      <c r="BJ19" s="28" t="str" cm="1">
        <f t="array" ref="BJ19">IF(COUNTA($I$1:BI$1)&lt;COUNTIF(Data!$C:$C,"Forward Rate Agreements"),INDEX(Data!$D:$D,MATCH(BI$1,Data!$D:$D,0)+1),"")</f>
        <v/>
      </c>
      <c r="BK19" s="28" t="str" cm="1">
        <f t="array" ref="BK19">IF(COUNTA($I$1:BJ$1)&lt;COUNTIF(Data!$C:$C,"Forward Rate Agreements"),INDEX(Data!$D:$D,MATCH(BJ$1,Data!$D:$D,0)+1),"")</f>
        <v/>
      </c>
      <c r="BL19" s="28" t="str" cm="1">
        <f t="array" ref="BL19">IF(COUNTA($I$1:BK$1)&lt;COUNTIF(Data!$C:$C,"Forward Rate Agreements"),INDEX(Data!$D:$D,MATCH(BK$1,Data!$D:$D,0)+1),"")</f>
        <v/>
      </c>
      <c r="BM19" s="28" t="str" cm="1">
        <f t="array" ref="BM19">IF(COUNTA($I$1:BL$1)&lt;COUNTIF(Data!$C:$C,"Forward Rate Agreements"),INDEX(Data!$D:$D,MATCH(BL$1,Data!$D:$D,0)+1),"")</f>
        <v/>
      </c>
      <c r="BN19" s="28" t="str" cm="1">
        <f t="array" ref="BN19">IF(COUNTA($I$1:BM$1)&lt;COUNTIF(Data!$C:$C,"Forward Rate Agreements"),INDEX(Data!$D:$D,MATCH(BM$1,Data!$D:$D,0)+1),"")</f>
        <v/>
      </c>
      <c r="BO19" s="28" t="str" cm="1">
        <f t="array" ref="BO19">IF(COUNTA($I$1:BN$1)&lt;COUNTIF(Data!$C:$C,"Forward Rate Agreements"),INDEX(Data!$D:$D,MATCH(BN$1,Data!$D:$D,0)+1),"")</f>
        <v/>
      </c>
      <c r="BP19" s="28" t="str" cm="1">
        <f t="array" ref="BP19">IF(COUNTA($I$1:BO$1)&lt;COUNTIF(Data!$C:$C,"Forward Rate Agreements"),INDEX(Data!$D:$D,MATCH(BO$1,Data!$D:$D,0)+1),"")</f>
        <v/>
      </c>
      <c r="BQ19" s="28" t="str" cm="1">
        <f t="array" ref="BQ19">IF(COUNTA($I$1:BP$1)&lt;COUNTIF(Data!$C:$C,"Swaps"),INDEX(Data!$D:$D,MATCH(BP$1,Data!$D:$D,0)+1),"")</f>
        <v/>
      </c>
      <c r="BR19" s="28" t="str" cm="1">
        <f t="array" ref="BR19">IF(COUNTA($I$1:BQ$1)&lt;COUNTIF(Data!$C:$C,"Swaps"),INDEX(Data!$D:$D,MATCH(BQ$1,Data!$D:$D,0)+1),"")</f>
        <v/>
      </c>
      <c r="BS19" s="28" t="str" cm="1">
        <f t="array" ref="BS19">IF(COUNTA($I$1:BR$1)&lt;COUNTIF(Data!$C:$C,"Swaps"),INDEX(Data!$D:$D,MATCH(BR$1,Data!$D:$D,0)+1),"")</f>
        <v/>
      </c>
      <c r="BT19" s="28" t="str" cm="1">
        <f t="array" ref="BT19">IF(COUNTA($I$1:BS$1)&lt;COUNTIF(Data!$C:$C,"Swaps"),INDEX(Data!$D:$D,MATCH(BS$1,Data!$D:$D,0)+1),"")</f>
        <v/>
      </c>
      <c r="BU19" s="28" t="str" cm="1">
        <f t="array" ref="BU19">IF(COUNTA($I$1:BT$1)&lt;COUNTIF(Data!$C:$C,"Swaps"),INDEX(Data!$D:$D,MATCH(BT$1,Data!$D:$D,0)+1),"")</f>
        <v/>
      </c>
      <c r="BV19" s="28" t="str" cm="1">
        <f t="array" ref="BV19">IF(COUNTA($I$1:BU$1)&lt;COUNTIF(Data!$C:$C,"Swaps"),INDEX(Data!$D:$D,MATCH(BU$1,Data!$D:$D,0)+1),"")</f>
        <v/>
      </c>
      <c r="BW19" s="28" t="str" cm="1">
        <f t="array" ref="BW19">IF(COUNTA($I$1:BV$1)&lt;COUNTIF(Data!$C:$C,"Swaps"),INDEX(Data!$D:$D,MATCH(BV$1,Data!$D:$D,0)+1),"")</f>
        <v/>
      </c>
    </row>
    <row r="20" spans="1:75" x14ac:dyDescent="0.3">
      <c r="A20" s="103"/>
      <c r="B20" s="139"/>
      <c r="C20" s="68"/>
      <c r="D20" s="64"/>
      <c r="E20" s="19" t="e">
        <f>$C6*100</f>
        <v>#DIV/0!</v>
      </c>
      <c r="F20" s="20" t="str">
        <f>"Cash, including cash value of options, available for long cover"&amp;IF($A3="UT","",", and including underlying UT cash")</f>
        <v>Cash, including cash value of options, available for long cover</v>
      </c>
      <c r="H20" s="158">
        <f>SUM(I20:BH20)</f>
        <v>0</v>
      </c>
      <c r="I20" s="15" t="str">
        <f>IF(I$19="","",INDEX(Data!$AH:$AH,MATCH(I$19,Data!$D:$D,0))/$B$4)</f>
        <v/>
      </c>
      <c r="J20" s="16" t="str">
        <f>IF(J$19="","",INDEX(Data!$AH:$AH,MATCH(J$19,Data!$D:$D,0))/$B$4)</f>
        <v/>
      </c>
      <c r="K20" s="16" t="str">
        <f>IF(K$19="","",INDEX(Data!$AH:$AH,MATCH(K$19,Data!$D:$D,0))/$B$4)</f>
        <v/>
      </c>
      <c r="L20" s="16" t="str">
        <f>IF(L$19="","",INDEX(Data!$AH:$AH,MATCH(L$19,Data!$D:$D,0))/$B$4)</f>
        <v/>
      </c>
      <c r="M20" s="16" t="str">
        <f>IF(M$19="","",INDEX(Data!$AH:$AH,MATCH(M$19,Data!$D:$D,0))/$B$4)</f>
        <v/>
      </c>
      <c r="N20" s="16" t="str">
        <f>IF(N$19="","",INDEX(Data!$AH:$AH,MATCH(N$19,Data!$D:$D,0))/$B$4)</f>
        <v/>
      </c>
      <c r="O20" s="16" t="str">
        <f>IF(O$19="","",INDEX(Data!$AH:$AH,MATCH(O$19,Data!$D:$D,0))/$B$4)</f>
        <v/>
      </c>
      <c r="P20" s="16" t="str">
        <f>IF(P$19="","",INDEX(Data!$AH:$AH,MATCH(P$19,Data!$D:$D,0))/$B$4)</f>
        <v/>
      </c>
      <c r="Q20" s="16" t="str">
        <f>IF(Q$19="","",INDEX(Data!$AH:$AH,MATCH(Q$19,Data!$D:$D,0))/$B$4)</f>
        <v/>
      </c>
      <c r="R20" s="16" t="str">
        <f>IF(R$19="","",INDEX(Data!$AH:$AH,MATCH(R$19,Data!$D:$D,0))/$B$4)</f>
        <v/>
      </c>
      <c r="S20" s="16" t="str">
        <f>IF(S$19="","",INDEX(Data!$AH:$AH,MATCH(S$19,Data!$D:$D,0))/$B$4)</f>
        <v/>
      </c>
      <c r="T20" s="16" t="str">
        <f>IF(T$19="","",INDEX(Data!$AH:$AH,MATCH(T$19,Data!$D:$D,0))/$B$4)</f>
        <v/>
      </c>
      <c r="U20" s="16" t="str">
        <f>IF(U$19="","",INDEX(Data!$AH:$AH,MATCH(U$19,Data!$D:$D,0))/$B$4)</f>
        <v/>
      </c>
      <c r="V20" s="16" t="str">
        <f>IF(V$19="","",INDEX(Data!$AH:$AH,MATCH(V$19,Data!$D:$D,0))/$B$4)</f>
        <v/>
      </c>
      <c r="W20" s="16" t="str">
        <f>IF(W$19="","",INDEX(Data!$AH:$AH,MATCH(W$19,Data!$D:$D,0))/$B$4)</f>
        <v/>
      </c>
      <c r="X20" s="16" t="str">
        <f>IF(X$19="","",INDEX(Data!$AH:$AH,MATCH(X$19,Data!$D:$D,0))/$B$4)</f>
        <v/>
      </c>
      <c r="Y20" s="16" t="str">
        <f>IF(Y$19="","",INDEX(Data!$AH:$AH,MATCH(Y$19,Data!$D:$D,0))/$B$4)</f>
        <v/>
      </c>
      <c r="Z20" s="16" t="str">
        <f>IF(Z$19="","",INDEX(Data!$AH:$AH,MATCH(Z$19,Data!$D:$D,0))/$B$4)</f>
        <v/>
      </c>
      <c r="AA20" s="16" t="str">
        <f>IF(AA$19="","",INDEX(Data!$AH:$AH,MATCH(AA$19,Data!$D:$D,0))/$B$4)</f>
        <v/>
      </c>
      <c r="AB20" s="16" t="str">
        <f>IF(AB$19="","",INDEX(Data!$AH:$AH,MATCH(AB$19,Data!$D:$D,0))/$B$4)</f>
        <v/>
      </c>
      <c r="AC20" s="16" t="str">
        <f>IF(AC$19="","",INDEX(Data!$AH:$AH,MATCH(AC$19,Data!$D:$D,0))/$B$4)</f>
        <v/>
      </c>
      <c r="AD20" s="16" t="str">
        <f>IF(AD$19="","",INDEX(Data!$AH:$AH,MATCH(AD$19,Data!$D:$D,0))/$B$4)</f>
        <v/>
      </c>
      <c r="AE20" s="16" t="str">
        <f>IF(AE$19="","",INDEX(Data!$AH:$AH,MATCH(AE$19,Data!$D:$D,0))/$B$4)</f>
        <v/>
      </c>
      <c r="AF20" s="16" t="str">
        <f>IF(AF$19="","",INDEX(Data!$AH:$AH,MATCH(AF$19,Data!$D:$D,0))/$B$4)</f>
        <v/>
      </c>
      <c r="AG20" s="16" t="str">
        <f>IF(AG$19="","",INDEX(Data!$AH:$AH,MATCH(AG$19,Data!$D:$D,0))/$B$4)</f>
        <v/>
      </c>
      <c r="AH20" s="16" t="str">
        <f>IF(AH$19="","",INDEX(Data!$AH:$AH,MATCH(AH$19,Data!$D:$D,0))/$B$4)</f>
        <v/>
      </c>
      <c r="AI20" s="16" t="str">
        <f>IF(AI$19="","",INDEX(Data!$AH:$AH,MATCH(AI$19,Data!$D:$D,0))/$B$4)</f>
        <v/>
      </c>
      <c r="AJ20" s="16" t="str">
        <f>IF(AJ$19="","",INDEX(Data!$AH:$AH,MATCH(AJ$19,Data!$D:$D,0))/$B$4)</f>
        <v/>
      </c>
      <c r="AK20" s="16" t="str">
        <f>IF(AK$19="","",INDEX(Data!$AH:$AH,MATCH(AK$19,Data!$D:$D,0))/$B$4)</f>
        <v/>
      </c>
      <c r="AL20" s="16" t="str">
        <f>IF(AL$19="","",INDEX(Data!$AH:$AH,MATCH(AL$19,Data!$D:$D,0))/$B$4)</f>
        <v/>
      </c>
      <c r="AM20" s="16" t="str">
        <f>IF(AM$19="","",INDEX(Data!$AH:$AH,MATCH(AM$19,Data!$D:$D,0))/$B$4)</f>
        <v/>
      </c>
      <c r="AN20" s="16" t="str">
        <f>IF(AN$19="","",INDEX(Data!$AH:$AH,MATCH(AN$19,Data!$D:$D,0))/$B$4)</f>
        <v/>
      </c>
      <c r="AO20" s="16" t="str">
        <f>IF(AO$19="","",INDEX(Data!$AH:$AH,MATCH(AO$19,Data!$D:$D,0))/$B$4)</f>
        <v/>
      </c>
      <c r="AP20" s="16" t="str">
        <f>IF(AP$19="","",INDEX(Data!$AH:$AH,MATCH(AP$19,Data!$D:$D,0))/$B$4)</f>
        <v/>
      </c>
      <c r="AQ20" s="16" t="str">
        <f>IF(AQ$19="","",INDEX(Data!$AH:$AH,MATCH(AQ$19,Data!$D:$D,0))/$B$4)</f>
        <v/>
      </c>
      <c r="AR20" s="16" t="str">
        <f>IF(AR$19="","",INDEX(Data!$AH:$AH,MATCH(AR$19,Data!$D:$D,0))/$B$4)</f>
        <v/>
      </c>
      <c r="AS20" s="16" t="str">
        <f>IF(AS$19="","",INDEX(Data!$AH:$AH,MATCH(AS$19,Data!$D:$D,0))/$B$4)</f>
        <v/>
      </c>
      <c r="AT20" s="16" t="str">
        <f>IF(AT$19="","",INDEX(Data!$AH:$AH,MATCH(AT$19,Data!$D:$D,0))/$B$4)</f>
        <v/>
      </c>
      <c r="AU20" s="16" t="str">
        <f>IF(AU$19="","",INDEX(Data!$AH:$AH,MATCH(AU$19,Data!$D:$D,0))/$B$4)</f>
        <v/>
      </c>
      <c r="AV20" s="16" t="str">
        <f>IF(AV$19="","",INDEX(Data!$AH:$AH,MATCH(AV$19,Data!$D:$D,0))/$B$4)</f>
        <v/>
      </c>
      <c r="AW20" s="16" t="str">
        <f>IF(AW$19="","",INDEX(Data!$AH:$AH,MATCH(AW$19,Data!$D:$D,0))/$B$4)</f>
        <v/>
      </c>
      <c r="AX20" s="16" t="str">
        <f>IF(AX$19="","",INDEX(Data!$AH:$AH,MATCH(AX$19,Data!$D:$D,0))/$B$4)</f>
        <v/>
      </c>
      <c r="AY20" s="16" t="str">
        <f>IF(AY$19="","",INDEX(Data!$AH:$AH,MATCH(AY$19,Data!$D:$D,0))/$B$4)</f>
        <v/>
      </c>
      <c r="AZ20" s="16" t="str">
        <f>IF(AZ$19="","",INDEX(Data!$AH:$AH,MATCH(AZ$19,Data!$D:$D,0))/$B$4)</f>
        <v/>
      </c>
      <c r="BA20" s="16" t="str">
        <f>IF(BA$19="","",INDEX(Data!$AH:$AH,MATCH(BA$19,Data!$D:$D,0))/$B$4)</f>
        <v/>
      </c>
      <c r="BB20" s="16" t="str">
        <f>IF(BB$19="","",INDEX(Data!$AH:$AH,MATCH(BB$19,Data!$D:$D,0))/$B$4)</f>
        <v/>
      </c>
      <c r="BC20" s="16" t="str">
        <f>IF(BC$19="","",INDEX(Data!$AH:$AH,MATCH(BC$19,Data!$D:$D,0))/$B$4)</f>
        <v/>
      </c>
      <c r="BD20" s="16" t="str">
        <f>IF(BD$19="","",INDEX(Data!$AH:$AH,MATCH(BD$19,Data!$D:$D,0))/$B$4)</f>
        <v/>
      </c>
      <c r="BE20" s="16" t="str">
        <f>IF(BE$19="","",INDEX(Data!$AH:$AH,MATCH(BE$19,Data!$D:$D,0))/$B$4)</f>
        <v/>
      </c>
      <c r="BF20" s="16" t="str">
        <f>IF(BF$19="","",INDEX(Data!$AH:$AH,MATCH(BF$19,Data!$D:$D,0))/$B$4)</f>
        <v/>
      </c>
      <c r="BG20" s="16" t="str">
        <f>IF(BG$19="","",INDEX(Data!$AH:$AH,MATCH(BG$19,Data!$D:$D,0))/$B$4)</f>
        <v/>
      </c>
      <c r="BH20" s="17" t="str">
        <f>IF(BH$19="","",INDEX(Data!$AH:$AH,MATCH(BH$19,Data!$D:$D,0))/$B$4)</f>
        <v/>
      </c>
    </row>
    <row r="21" spans="1:75" x14ac:dyDescent="0.3">
      <c r="A21" s="103"/>
      <c r="B21" s="140"/>
      <c r="C21" s="138"/>
      <c r="D21" s="64"/>
      <c r="E21" s="25">
        <f>MIN(0,$H$11*100)</f>
        <v>0</v>
      </c>
      <c r="F21" s="26" t="str">
        <f>"Net "&amp;IF(E21&lt;0,"short","long")&amp;" currency derivatives, so "&amp;IF(E21&lt;0,"adequate","no")&amp;" cash cover required"</f>
        <v>Net long currency derivatives, so no cash cover required</v>
      </c>
      <c r="H21" s="158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4"/>
    </row>
    <row r="22" spans="1:75" x14ac:dyDescent="0.3">
      <c r="A22" s="116" t="e">
        <f>IF(B22&gt;=0,"A","Ina")&amp;"dequate cash cover for currency derivatives"</f>
        <v>#VALUE!</v>
      </c>
      <c r="B22" s="120" t="e">
        <f>B6+B13+B16</f>
        <v>#VALUE!</v>
      </c>
      <c r="C22" s="65" t="e">
        <f>C6+C13+C16</f>
        <v>#DIV/0!</v>
      </c>
      <c r="D22" s="64"/>
      <c r="E22" s="30" t="e">
        <f>SUM(E20:E21)</f>
        <v>#DIV/0!</v>
      </c>
      <c r="F22" s="20" t="e">
        <f>IF($E22&gt;=0,"Adequate","INADEQUATE")&amp;" currency future cover [BN90 16(1)(i)]"</f>
        <v>#DIV/0!</v>
      </c>
      <c r="H22" s="159" t="str">
        <f>"FRAs ("&amp;COUNTIF(Data!$C:$C,"Forward Rate Agreement")&amp;")"</f>
        <v>FRAs (0)</v>
      </c>
      <c r="I22" s="27" t="str">
        <f>IF(ISNA(IF(ISNA(MATCH("Forward Rate Agreement",Data!$C:$C,0)),"",INDEX(Data!$D:$D,MATCH("Forward Rate Agreement",Data!$C:$C,0)))),"",IF(ISNA(MATCH("Forward Rate Agreement",Data!$C:$C,0)),"",INDEX(Data!$D:$D,MATCH("Forward Rate Agreement",Data!$C:$C,0))))</f>
        <v/>
      </c>
      <c r="J22" s="28" t="str" cm="1">
        <f t="array" ref="J22">IF(COUNTA($I$22:I$22)&lt;COUNTIF(Data!$C:$C,"Forward Rate Agreement"),INDEX(Data!$D:$D,MATCH(I$22,Data!$D:$D,0)+1),"")</f>
        <v/>
      </c>
      <c r="K22" s="28" t="str" cm="1">
        <f t="array" ref="K22">IF(COUNTA($I$22:J$22)&lt;COUNTIF(Data!$C:$C,"Forward Rate Agreement"),INDEX(Data!$D:$D,MATCH(J$22,Data!$D:$D,0)+1),"")</f>
        <v/>
      </c>
      <c r="L22" s="28" t="str" cm="1">
        <f t="array" ref="L22">IF(COUNTA($I$22:K$22)&lt;COUNTIF(Data!$C:$C,"Forward Rate Agreement"),INDEX(Data!$D:$D,MATCH(K$22,Data!$D:$D,0)+1),"")</f>
        <v/>
      </c>
      <c r="M22" s="28" t="str" cm="1">
        <f t="array" ref="M22">IF(COUNTA($I$22:L$22)&lt;COUNTIF(Data!$C:$C,"Forward Rate Agreement"),INDEX(Data!$D:$D,MATCH(L$22,Data!$D:$D,0)+1),"")</f>
        <v/>
      </c>
      <c r="N22" s="28" t="str" cm="1">
        <f t="array" ref="N22">IF(COUNTA($I$22:M$22)&lt;COUNTIF(Data!$C:$C,"Forward Rate Agreement"),INDEX(Data!$D:$D,MATCH(M$22,Data!$D:$D,0)+1),"")</f>
        <v/>
      </c>
      <c r="O22" s="28" t="str" cm="1">
        <f t="array" ref="O22">IF(COUNTA($I$22:N$22)&lt;COUNTIF(Data!$C:$C,"Forward Rate Agreement"),INDEX(Data!$D:$D,MATCH(N$22,Data!$D:$D,0)+1),"")</f>
        <v/>
      </c>
      <c r="P22" s="28" t="str" cm="1">
        <f t="array" ref="P22">IF(COUNTA($I$22:O$22)&lt;COUNTIF(Data!$C:$C,"Forward Rate Agreement"),INDEX(Data!$D:$D,MATCH(O$22,Data!$D:$D,0)+1),"")</f>
        <v/>
      </c>
      <c r="Q22" s="28" t="str" cm="1">
        <f t="array" ref="Q22">IF(COUNTA($I$22:P$22)&lt;COUNTIF(Data!$C:$C,"Forward Rate Agreement"),INDEX(Data!$D:$D,MATCH(P$22,Data!$D:$D,0)+1),"")</f>
        <v/>
      </c>
      <c r="R22" s="28" t="str" cm="1">
        <f t="array" ref="R22">IF(COUNTA($I$22:Q$22)&lt;COUNTIF(Data!$C:$C,"Forward Rate Agreement"),INDEX(Data!$D:$D,MATCH(Q$22,Data!$D:$D,0)+1),"")</f>
        <v/>
      </c>
      <c r="S22" s="28" t="str" cm="1">
        <f t="array" ref="S22">IF(COUNTA($I$22:R$22)&lt;COUNTIF(Data!$C:$C,"Forward Rate Agreement"),INDEX(Data!$D:$D,MATCH(R$22,Data!$D:$D,0)+1),"")</f>
        <v/>
      </c>
      <c r="T22" s="28" t="str" cm="1">
        <f t="array" ref="T22">IF(COUNTA($I$22:S$22)&lt;COUNTIF(Data!$C:$C,"Forward Rate Agreement"),INDEX(Data!$D:$D,MATCH(S$22,Data!$D:$D,0)+1),"")</f>
        <v/>
      </c>
      <c r="U22" s="28" t="str" cm="1">
        <f t="array" ref="U22">IF(COUNTA($I$22:T$22)&lt;COUNTIF(Data!$C:$C,"Forward Rate Agreement"),INDEX(Data!$D:$D,MATCH(T$22,Data!$D:$D,0)+1),"")</f>
        <v/>
      </c>
      <c r="V22" s="28" t="str" cm="1">
        <f t="array" ref="V22">IF(COUNTA($I$22:U$22)&lt;COUNTIF(Data!$C:$C,"Forward Rate Agreement"),INDEX(Data!$D:$D,MATCH(U$22,Data!$D:$D,0)+1),"")</f>
        <v/>
      </c>
      <c r="W22" s="28" t="str" cm="1">
        <f t="array" ref="W22">IF(COUNTA($I$22:V$22)&lt;COUNTIF(Data!$C:$C,"Forward Rate Agreement"),INDEX(Data!$D:$D,MATCH(V$22,Data!$D:$D,0)+1),"")</f>
        <v/>
      </c>
      <c r="X22" s="28" t="str" cm="1">
        <f t="array" ref="X22">IF(COUNTA($I$22:W$22)&lt;COUNTIF(Data!$C:$C,"Forward Rate Agreement"),INDEX(Data!$D:$D,MATCH(W$22,Data!$D:$D,0)+1),"")</f>
        <v/>
      </c>
      <c r="Y22" s="28" t="str" cm="1">
        <f t="array" ref="Y22">IF(COUNTA($I$22:X$22)&lt;COUNTIF(Data!$C:$C,"Forward Rate Agreement"),INDEX(Data!$D:$D,MATCH(X$22,Data!$D:$D,0)+1),"")</f>
        <v/>
      </c>
      <c r="Z22" s="28" t="str" cm="1">
        <f t="array" ref="Z22">IF(COUNTA($I$22:Y$22)&lt;COUNTIF(Data!$C:$C,"Forward Rate Agreement"),INDEX(Data!$D:$D,MATCH(Y$22,Data!$D:$D,0)+1),"")</f>
        <v/>
      </c>
      <c r="AA22" s="28" t="str" cm="1">
        <f t="array" ref="AA22">IF(COUNTA($I$22:Z$22)&lt;COUNTIF(Data!$C:$C,"Forward Rate Agreement"),INDEX(Data!$D:$D,MATCH(Z$22,Data!$D:$D,0)+1),"")</f>
        <v/>
      </c>
      <c r="AB22" s="28" t="str" cm="1">
        <f t="array" ref="AB22">IF(COUNTA($I$22:AA$22)&lt;COUNTIF(Data!$C:$C,"Forward Rate Agreement"),INDEX(Data!$D:$D,MATCH(AA$22,Data!$D:$D,0)+1),"")</f>
        <v/>
      </c>
      <c r="AC22" s="28" t="str" cm="1">
        <f t="array" ref="AC22">IF(COUNTA($I$22:AB$22)&lt;COUNTIF(Data!$C:$C,"Forward Rate Agreement"),INDEX(Data!$D:$D,MATCH(AB$22,Data!$D:$D,0)+1),"")</f>
        <v/>
      </c>
      <c r="AD22" s="28" t="str" cm="1">
        <f t="array" ref="AD22">IF(COUNTA($I$22:AC$22)&lt;COUNTIF(Data!$C:$C,"Forward Rate Agreement"),INDEX(Data!$D:$D,MATCH(AC$22,Data!$D:$D,0)+1),"")</f>
        <v/>
      </c>
      <c r="AE22" s="28" t="str" cm="1">
        <f t="array" ref="AE22">IF(COUNTA($I$22:AD$22)&lt;COUNTIF(Data!$C:$C,"Forward Rate Agreement"),INDEX(Data!$D:$D,MATCH(AD$22,Data!$D:$D,0)+1),"")</f>
        <v/>
      </c>
      <c r="AF22" s="28" t="str" cm="1">
        <f t="array" ref="AF22">IF(COUNTA($I$22:AE$22)&lt;COUNTIF(Data!$C:$C,"Forward Rate Agreement"),INDEX(Data!$D:$D,MATCH(AE$22,Data!$D:$D,0)+1),"")</f>
        <v/>
      </c>
      <c r="AG22" s="28" t="str" cm="1">
        <f t="array" ref="AG22">IF(COUNTA($I$22:AF$22)&lt;COUNTIF(Data!$C:$C,"Forward Rate Agreement"),INDEX(Data!$D:$D,MATCH(AF$22,Data!$D:$D,0)+1),"")</f>
        <v/>
      </c>
      <c r="AH22" s="28" t="str" cm="1">
        <f t="array" ref="AH22">IF(COUNTA($I$22:AG$22)&lt;COUNTIF(Data!$C:$C,"Forward Rate Agreement"),INDEX(Data!$D:$D,MATCH(AG$22,Data!$D:$D,0)+1),"")</f>
        <v/>
      </c>
      <c r="AI22" s="28" t="str" cm="1">
        <f t="array" ref="AI22">IF(COUNTA($I$22:AH$22)&lt;COUNTIF(Data!$C:$C,"Forward Rate Agreement"),INDEX(Data!$D:$D,MATCH(AH$22,Data!$D:$D,0)+1),"")</f>
        <v/>
      </c>
      <c r="AJ22" s="28" t="str" cm="1">
        <f t="array" ref="AJ22">IF(COUNTA($I$22:AI$22)&lt;COUNTIF(Data!$C:$C,"Forward Rate Agreement"),INDEX(Data!$D:$D,MATCH(AI$22,Data!$D:$D,0)+1),"")</f>
        <v/>
      </c>
      <c r="AK22" s="28" t="str" cm="1">
        <f t="array" ref="AK22">IF(COUNTA($I$22:AJ$22)&lt;COUNTIF(Data!$C:$C,"Forward Rate Agreement"),INDEX(Data!$D:$D,MATCH(AJ$22,Data!$D:$D,0)+1),"")</f>
        <v/>
      </c>
      <c r="AL22" s="28" t="str" cm="1">
        <f t="array" ref="AL22">IF(COUNTA($I$22:AK$22)&lt;COUNTIF(Data!$C:$C,"Forward Rate Agreement"),INDEX(Data!$D:$D,MATCH(AK$22,Data!$D:$D,0)+1),"")</f>
        <v/>
      </c>
      <c r="AM22" s="28" t="str" cm="1">
        <f t="array" ref="AM22">IF(COUNTA($I$22:AL$22)&lt;COUNTIF(Data!$C:$C,"Forward Rate Agreement"),INDEX(Data!$D:$D,MATCH(AL$22,Data!$D:$D,0)+1),"")</f>
        <v/>
      </c>
      <c r="AN22" s="28" t="str" cm="1">
        <f t="array" ref="AN22">IF(COUNTA($I$22:AM$22)&lt;COUNTIF(Data!$C:$C,"Forward Rate Agreement"),INDEX(Data!$D:$D,MATCH(AM$22,Data!$D:$D,0)+1),"")</f>
        <v/>
      </c>
      <c r="AO22" s="28" t="str" cm="1">
        <f t="array" ref="AO22">IF(COUNTA($I$22:AN$22)&lt;COUNTIF(Data!$C:$C,"Forward Rate Agreement"),INDEX(Data!$D:$D,MATCH(AN$22,Data!$D:$D,0)+1),"")</f>
        <v/>
      </c>
      <c r="AP22" s="28" t="str" cm="1">
        <f t="array" ref="AP22">IF(COUNTA($I$22:AO$22)&lt;COUNTIF(Data!$C:$C,"Forward Rate Agreement"),INDEX(Data!$D:$D,MATCH(AO$22,Data!$D:$D,0)+1),"")</f>
        <v/>
      </c>
      <c r="AQ22" s="28" t="str" cm="1">
        <f t="array" ref="AQ22">IF(COUNTA($I$22:AP$22)&lt;COUNTIF(Data!$C:$C,"Forward Rate Agreement"),INDEX(Data!$D:$D,MATCH(AP$22,Data!$D:$D,0)+1),"")</f>
        <v/>
      </c>
      <c r="AR22" s="28" t="str" cm="1">
        <f t="array" ref="AR22">IF(COUNTA($I$22:AQ$22)&lt;COUNTIF(Data!$C:$C,"Forward Rate Agreement"),INDEX(Data!$D:$D,MATCH(AQ$22,Data!$D:$D,0)+1),"")</f>
        <v/>
      </c>
      <c r="AS22" s="28" t="str" cm="1">
        <f t="array" ref="AS22">IF(COUNTA($I$22:AR$22)&lt;COUNTIF(Data!$C:$C,"Forward Rate Agreement"),INDEX(Data!$D:$D,MATCH(AR$22,Data!$D:$D,0)+1),"")</f>
        <v/>
      </c>
      <c r="AT22" s="28" t="str" cm="1">
        <f t="array" ref="AT22">IF(COUNTA($I$22:AS$22)&lt;COUNTIF(Data!$C:$C,"Forward Rate Agreement"),INDEX(Data!$D:$D,MATCH(AS$22,Data!$D:$D,0)+1),"")</f>
        <v/>
      </c>
      <c r="AU22" s="28" t="str" cm="1">
        <f t="array" ref="AU22">IF(COUNTA($I$22:AT$22)&lt;COUNTIF(Data!$C:$C,"Forward Rate Agreement"),INDEX(Data!$D:$D,MATCH(AT$22,Data!$D:$D,0)+1),"")</f>
        <v/>
      </c>
      <c r="AV22" s="28" t="str" cm="1">
        <f t="array" ref="AV22">IF(COUNTA($I$22:AU$22)&lt;COUNTIF(Data!$C:$C,"Forward Rate Agreement"),INDEX(Data!$D:$D,MATCH(AU$22,Data!$D:$D,0)+1),"")</f>
        <v/>
      </c>
      <c r="AW22" s="28" t="str" cm="1">
        <f t="array" ref="AW22">IF(COUNTA($I$22:AV$22)&lt;COUNTIF(Data!$C:$C,"Forward Rate Agreement"),INDEX(Data!$D:$D,MATCH(AV$22,Data!$D:$D,0)+1),"")</f>
        <v/>
      </c>
      <c r="AX22" s="28" t="str" cm="1">
        <f t="array" ref="AX22">IF(COUNTA($I$22:AW$22)&lt;COUNTIF(Data!$C:$C,"Forward Rate Agreement"),INDEX(Data!$D:$D,MATCH(AW$22,Data!$D:$D,0)+1),"")</f>
        <v/>
      </c>
      <c r="AY22" s="28" t="str" cm="1">
        <f t="array" ref="AY22">IF(COUNTA($I$22:AX$22)&lt;COUNTIF(Data!$C:$C,"Forward Rate Agreement"),INDEX(Data!$D:$D,MATCH(AX$22,Data!$D:$D,0)+1),"")</f>
        <v/>
      </c>
      <c r="AZ22" s="28" t="str" cm="1">
        <f t="array" ref="AZ22">IF(COUNTA($I$22:AY$22)&lt;COUNTIF(Data!$C:$C,"Forward Rate Agreement"),INDEX(Data!$D:$D,MATCH(AY$22,Data!$D:$D,0)+1),"")</f>
        <v/>
      </c>
      <c r="BA22" s="28" t="str" cm="1">
        <f t="array" ref="BA22">IF(COUNTA($I$22:AZ$22)&lt;COUNTIF(Data!$C:$C,"Forward Rate Agreement"),INDEX(Data!$D:$D,MATCH(AZ$22,Data!$D:$D,0)+1),"")</f>
        <v/>
      </c>
      <c r="BB22" s="28" t="str" cm="1">
        <f t="array" ref="BB22">IF(COUNTA($I$22:BA$22)&lt;COUNTIF(Data!$C:$C,"Forward Rate Agreement"),INDEX(Data!$D:$D,MATCH(BA$22,Data!$D:$D,0)+1),"")</f>
        <v/>
      </c>
      <c r="BC22" s="28" t="str" cm="1">
        <f t="array" ref="BC22">IF(COUNTA($I$22:BB$22)&lt;COUNTIF(Data!$C:$C,"Forward Rate Agreement"),INDEX(Data!$D:$D,MATCH(BB$22,Data!$D:$D,0)+1),"")</f>
        <v/>
      </c>
      <c r="BD22" s="28" t="str" cm="1">
        <f t="array" ref="BD22">IF(COUNTA($I$22:BC$22)&lt;COUNTIF(Data!$C:$C,"Forward Rate Agreement"),INDEX(Data!$D:$D,MATCH(BC$22,Data!$D:$D,0)+1),"")</f>
        <v/>
      </c>
      <c r="BE22" s="28" t="str" cm="1">
        <f t="array" ref="BE22">IF(COUNTA($I$22:BD$22)&lt;COUNTIF(Data!$C:$C,"Forward Rate Agreement"),INDEX(Data!$D:$D,MATCH(BD$22,Data!$D:$D,0)+1),"")</f>
        <v/>
      </c>
      <c r="BF22" s="28" t="str" cm="1">
        <f t="array" ref="BF22">IF(COUNTA($I$22:BE$22)&lt;COUNTIF(Data!$C:$C,"Forward Rate Agreement"),INDEX(Data!$D:$D,MATCH(BE$22,Data!$D:$D,0)+1),"")</f>
        <v/>
      </c>
      <c r="BG22" s="28" t="str" cm="1">
        <f t="array" ref="BG22">IF(COUNTA($I$22:BF$22)&lt;COUNTIF(Data!$C:$C,"Forward Rate Agreement"),INDEX(Data!$D:$D,MATCH(BF$22,Data!$D:$D,0)+1),"")</f>
        <v/>
      </c>
      <c r="BH22" s="29" t="str" cm="1">
        <f t="array" ref="BH22">IF(COUNTA($I$22:BG$22)&lt;COUNTIF(Data!$C:$C,"Forward Rate Agreement"),INDEX(Data!$D:$D,MATCH(BG$22,Data!$D:$D,0)+1),"")</f>
        <v/>
      </c>
    </row>
    <row r="23" spans="1:75" x14ac:dyDescent="0.3">
      <c r="E23" s="31">
        <f>MIN(0,$H$14*100)</f>
        <v>0</v>
      </c>
      <c r="F23" s="26" t="str">
        <f>"Net "&amp;IF($E23&gt;0,"positive","negative")&amp;" MtM OTC forwards, so "&amp;IF($E23&gt;0,"no ","")&amp;"cash cover required"</f>
        <v>Net negative MtM OTC forwards, so cash cover required</v>
      </c>
      <c r="H23" s="160">
        <f>SUM(I23:BH23)</f>
        <v>0</v>
      </c>
      <c r="I23" s="34" t="str">
        <f>IF(I$22="","",INDEX(Data!$AH:$AH,MATCH(I$22,Data!$D:$D,0))/$B$4)</f>
        <v/>
      </c>
      <c r="J23" s="185" t="str">
        <f>IF(J$22="","",INDEX(Data!$AH:$AH,MATCH(J$22,Data!$D:$D,0))/$B$4)</f>
        <v/>
      </c>
      <c r="K23" s="185" t="str">
        <f>IF(K$22="","",INDEX(Data!$AH:$AH,MATCH(K$22,Data!$D:$D,0))/$B$4)</f>
        <v/>
      </c>
      <c r="L23" s="185" t="str">
        <f>IF(L$22="","",INDEX(Data!$AH:$AH,MATCH(L$22,Data!$D:$D,0))/$B$4)</f>
        <v/>
      </c>
      <c r="M23" s="185" t="str">
        <f>IF(M$22="","",INDEX(Data!$AH:$AH,MATCH(M$22,Data!$D:$D,0))/$B$4)</f>
        <v/>
      </c>
      <c r="N23" s="185" t="str">
        <f>IF(N$22="","",INDEX(Data!$AH:$AH,MATCH(N$22,Data!$D:$D,0))/$B$4)</f>
        <v/>
      </c>
      <c r="O23" s="185" t="str">
        <f>IF(O$22="","",INDEX(Data!$AH:$AH,MATCH(O$22,Data!$D:$D,0))/$B$4)</f>
        <v/>
      </c>
      <c r="P23" s="185" t="str">
        <f>IF(P$22="","",INDEX(Data!$AH:$AH,MATCH(P$22,Data!$D:$D,0))/$B$4)</f>
        <v/>
      </c>
      <c r="Q23" s="185" t="str">
        <f>IF(Q$22="","",INDEX(Data!$AH:$AH,MATCH(Q$22,Data!$D:$D,0))/$B$4)</f>
        <v/>
      </c>
      <c r="R23" s="185" t="str">
        <f>IF(R$22="","",INDEX(Data!$AH:$AH,MATCH(R$22,Data!$D:$D,0))/$B$4)</f>
        <v/>
      </c>
      <c r="S23" s="185" t="str">
        <f>IF(S$22="","",INDEX(Data!$AH:$AH,MATCH(S$22,Data!$D:$D,0))/$B$4)</f>
        <v/>
      </c>
      <c r="T23" s="185" t="str">
        <f>IF(T$22="","",INDEX(Data!$AH:$AH,MATCH(T$22,Data!$D:$D,0))/$B$4)</f>
        <v/>
      </c>
      <c r="U23" s="185" t="str">
        <f>IF(U$22="","",INDEX(Data!$AH:$AH,MATCH(U$22,Data!$D:$D,0))/$B$4)</f>
        <v/>
      </c>
      <c r="V23" s="185" t="str">
        <f>IF(V$22="","",INDEX(Data!$AH:$AH,MATCH(V$22,Data!$D:$D,0))/$B$4)</f>
        <v/>
      </c>
      <c r="W23" s="185" t="str">
        <f>IF(W$22="","",INDEX(Data!$AH:$AH,MATCH(W$22,Data!$D:$D,0))/$B$4)</f>
        <v/>
      </c>
      <c r="X23" s="185" t="str">
        <f>IF(X$22="","",INDEX(Data!$AH:$AH,MATCH(X$22,Data!$D:$D,0))/$B$4)</f>
        <v/>
      </c>
      <c r="Y23" s="185" t="str">
        <f>IF(Y$22="","",INDEX(Data!$AH:$AH,MATCH(Y$22,Data!$D:$D,0))/$B$4)</f>
        <v/>
      </c>
      <c r="Z23" s="185" t="str">
        <f>IF(Z$22="","",INDEX(Data!$AH:$AH,MATCH(Z$22,Data!$D:$D,0))/$B$4)</f>
        <v/>
      </c>
      <c r="AA23" s="185" t="str">
        <f>IF(AA$22="","",INDEX(Data!$AH:$AH,MATCH(AA$22,Data!$D:$D,0))/$B$4)</f>
        <v/>
      </c>
      <c r="AB23" s="185" t="str">
        <f>IF(AB$22="","",INDEX(Data!$AH:$AH,MATCH(AB$22,Data!$D:$D,0))/$B$4)</f>
        <v/>
      </c>
      <c r="AC23" s="185" t="str">
        <f>IF(AC$22="","",INDEX(Data!$AH:$AH,MATCH(AC$22,Data!$D:$D,0))/$B$4)</f>
        <v/>
      </c>
      <c r="AD23" s="185" t="str">
        <f>IF(AD$22="","",INDEX(Data!$AH:$AH,MATCH(AD$22,Data!$D:$D,0))/$B$4)</f>
        <v/>
      </c>
      <c r="AE23" s="185" t="str">
        <f>IF(AE$22="","",INDEX(Data!$AH:$AH,MATCH(AE$22,Data!$D:$D,0))/$B$4)</f>
        <v/>
      </c>
      <c r="AF23" s="185" t="str">
        <f>IF(AF$22="","",INDEX(Data!$AH:$AH,MATCH(AF$22,Data!$D:$D,0))/$B$4)</f>
        <v/>
      </c>
      <c r="AG23" s="185" t="str">
        <f>IF(AG$22="","",INDEX(Data!$AH:$AH,MATCH(AG$22,Data!$D:$D,0))/$B$4)</f>
        <v/>
      </c>
      <c r="AH23" s="185" t="str">
        <f>IF(AH$22="","",INDEX(Data!$AH:$AH,MATCH(AH$22,Data!$D:$D,0))/$B$4)</f>
        <v/>
      </c>
      <c r="AI23" s="185" t="str">
        <f>IF(AI$22="","",INDEX(Data!$AH:$AH,MATCH(AI$22,Data!$D:$D,0))/$B$4)</f>
        <v/>
      </c>
      <c r="AJ23" s="185" t="str">
        <f>IF(AJ$22="","",INDEX(Data!$AH:$AH,MATCH(AJ$22,Data!$D:$D,0))/$B$4)</f>
        <v/>
      </c>
      <c r="AK23" s="185" t="str">
        <f>IF(AK$22="","",INDEX(Data!$AH:$AH,MATCH(AK$22,Data!$D:$D,0))/$B$4)</f>
        <v/>
      </c>
      <c r="AL23" s="185" t="str">
        <f>IF(AL$22="","",INDEX(Data!$AH:$AH,MATCH(AL$22,Data!$D:$D,0))/$B$4)</f>
        <v/>
      </c>
      <c r="AM23" s="185" t="str">
        <f>IF(AM$22="","",INDEX(Data!$AH:$AH,MATCH(AM$22,Data!$D:$D,0))/$B$4)</f>
        <v/>
      </c>
      <c r="AN23" s="185" t="str">
        <f>IF(AN$22="","",INDEX(Data!$AH:$AH,MATCH(AN$22,Data!$D:$D,0))/$B$4)</f>
        <v/>
      </c>
      <c r="AO23" s="185" t="str">
        <f>IF(AO$22="","",INDEX(Data!$AH:$AH,MATCH(AO$22,Data!$D:$D,0))/$B$4)</f>
        <v/>
      </c>
      <c r="AP23" s="185" t="str">
        <f>IF(AP$22="","",INDEX(Data!$AH:$AH,MATCH(AP$22,Data!$D:$D,0))/$B$4)</f>
        <v/>
      </c>
      <c r="AQ23" s="185" t="str">
        <f>IF(AQ$22="","",INDEX(Data!$AH:$AH,MATCH(AQ$22,Data!$D:$D,0))/$B$4)</f>
        <v/>
      </c>
      <c r="AR23" s="185" t="str">
        <f>IF(AR$22="","",INDEX(Data!$AH:$AH,MATCH(AR$22,Data!$D:$D,0))/$B$4)</f>
        <v/>
      </c>
      <c r="AS23" s="185" t="str">
        <f>IF(AS$22="","",INDEX(Data!$AH:$AH,MATCH(AS$22,Data!$D:$D,0))/$B$4)</f>
        <v/>
      </c>
      <c r="AT23" s="185" t="str">
        <f>IF(AT$22="","",INDEX(Data!$AH:$AH,MATCH(AT$22,Data!$D:$D,0))/$B$4)</f>
        <v/>
      </c>
      <c r="AU23" s="185" t="str">
        <f>IF(AU$22="","",INDEX(Data!$AH:$AH,MATCH(AU$22,Data!$D:$D,0))/$B$4)</f>
        <v/>
      </c>
      <c r="AV23" s="185" t="str">
        <f>IF(AV$22="","",INDEX(Data!$AH:$AH,MATCH(AV$22,Data!$D:$D,0))/$B$4)</f>
        <v/>
      </c>
      <c r="AW23" s="185" t="str">
        <f>IF(AW$22="","",INDEX(Data!$AH:$AH,MATCH(AW$22,Data!$D:$D,0))/$B$4)</f>
        <v/>
      </c>
      <c r="AX23" s="185" t="str">
        <f>IF(AX$22="","",INDEX(Data!$AH:$AH,MATCH(AX$22,Data!$D:$D,0))/$B$4)</f>
        <v/>
      </c>
      <c r="AY23" s="185" t="str">
        <f>IF(AY$22="","",INDEX(Data!$AH:$AH,MATCH(AY$22,Data!$D:$D,0))/$B$4)</f>
        <v/>
      </c>
      <c r="AZ23" s="185" t="str">
        <f>IF(AZ$22="","",INDEX(Data!$AH:$AH,MATCH(AZ$22,Data!$D:$D,0))/$B$4)</f>
        <v/>
      </c>
      <c r="BA23" s="185" t="str">
        <f>IF(BA$22="","",INDEX(Data!$AH:$AH,MATCH(BA$22,Data!$D:$D,0))/$B$4)</f>
        <v/>
      </c>
      <c r="BB23" s="185" t="str">
        <f>IF(BB$22="","",INDEX(Data!$AH:$AH,MATCH(BB$22,Data!$D:$D,0))/$B$4)</f>
        <v/>
      </c>
      <c r="BC23" s="185" t="str">
        <f>IF(BC$22="","",INDEX(Data!$AH:$AH,MATCH(BC$22,Data!$D:$D,0))/$B$4)</f>
        <v/>
      </c>
      <c r="BD23" s="185" t="str">
        <f>IF(BD$22="","",INDEX(Data!$AH:$AH,MATCH(BD$22,Data!$D:$D,0))/$B$4)</f>
        <v/>
      </c>
      <c r="BE23" s="185" t="str">
        <f>IF(BE$22="","",INDEX(Data!$AH:$AH,MATCH(BE$22,Data!$D:$D,0))/$B$4)</f>
        <v/>
      </c>
      <c r="BF23" s="185" t="str">
        <f>IF(BF$22="","",INDEX(Data!$AH:$AH,MATCH(BF$22,Data!$D:$D,0))/$B$4)</f>
        <v/>
      </c>
      <c r="BG23" s="185" t="str">
        <f>IF(BG$22="","",INDEX(Data!$AH:$AH,MATCH(BG$22,Data!$D:$D,0))/$B$4)</f>
        <v/>
      </c>
      <c r="BH23" s="35" t="str">
        <f>IF(BH$22="","",INDEX(Data!$AH:$AH,MATCH(BH$22,Data!$D:$D,0))/$B$4)</f>
        <v/>
      </c>
    </row>
    <row r="24" spans="1:75" x14ac:dyDescent="0.3">
      <c r="A24" s="116" t="s">
        <v>10914</v>
      </c>
      <c r="B24" s="64" t="e">
        <f>SUM(B25:B30)</f>
        <v>#VALUE!</v>
      </c>
      <c r="C24" s="68" t="e">
        <f>SUM(C25:C30)</f>
        <v>#DIV/0!</v>
      </c>
      <c r="E24" s="31" t="e">
        <f>MIN(0,B18/B$4)*100</f>
        <v>#VALUE!</v>
      </c>
      <c r="F24" s="26" t="e">
        <f>"Net "&amp;IF($E24&gt;0,"positive","negative")&amp;" MtM OTC swaps, so "&amp;IF($E24&gt;0,"no ","")&amp;"cash cover required"</f>
        <v>#VALUE!</v>
      </c>
    </row>
    <row r="25" spans="1:75" x14ac:dyDescent="0.3">
      <c r="A25" s="103" t="s">
        <v>54</v>
      </c>
      <c r="B25" s="113">
        <f>IF(SUMIF(Data!$C:$C,"Equity Derivatives",Data!$AH:$AH)&gt;=0,SUMIF(Data!$C:$C,"Equity Derivatives",Data!$AH:$AH),0)</f>
        <v>0</v>
      </c>
      <c r="C25" s="69" t="e">
        <f t="shared" ref="C25:C30" si="0">$B25/$B$4</f>
        <v>#DIV/0!</v>
      </c>
      <c r="E25" s="31" t="e">
        <f>MIN(0,B19/B$4)*100</f>
        <v>#VALUE!</v>
      </c>
      <c r="F25" s="26" t="e">
        <f>"Net "&amp;IF($E25&gt;0,"positive","negative")&amp;" MtM OTC FRAs, so "&amp;IF($E25&gt;0,"no ","")&amp;"cash cover required"</f>
        <v>#VALUE!</v>
      </c>
    </row>
    <row r="26" spans="1:75" x14ac:dyDescent="0.3">
      <c r="A26" s="121" t="s">
        <v>10910</v>
      </c>
      <c r="B26" s="114">
        <f>IF($H$5=0,0,-SUMIF(Data!$B:$B,"DERIVATIVES",Data!$AH:$AH)-SUMIF(Data!$B:$B,"UNKNOWN",Data!$AH:$AH))</f>
        <v>0</v>
      </c>
      <c r="C26" s="70" t="e">
        <f t="shared" si="0"/>
        <v>#DIV/0!</v>
      </c>
      <c r="E26" s="30" t="e">
        <f>SUM(E22:E24)</f>
        <v>#DIV/0!</v>
      </c>
      <c r="F26" s="20" t="e">
        <f>IF($E26&gt;=0,"Adequate","INADEQUATE")&amp;" OTC currency forward and swap cover [BN90 17(1)(a)]"</f>
        <v>#DIV/0!</v>
      </c>
    </row>
    <row r="27" spans="1:75" x14ac:dyDescent="0.3">
      <c r="A27" s="103" t="s">
        <v>10902</v>
      </c>
      <c r="B27" s="114" t="e" cm="1">
        <f t="array" ref="B27">SUMPRODUCT((Data!$C$2:$C$1000="SWAPS")*((Data!$G$2:$G$1000)*(Data!$M$2:$M$1000))&gt;0)</f>
        <v>#VALUE!</v>
      </c>
      <c r="C27" s="70" t="e">
        <f t="shared" si="0"/>
        <v>#VALUE!</v>
      </c>
      <c r="D27" s="64"/>
      <c r="E27" s="31" t="e">
        <f>MAX(0,($H$2+$H$5+C26)*100)</f>
        <v>#DIV/0!</v>
      </c>
      <c r="F27" s="26" t="e">
        <f>"Net "&amp;IF(E27&gt;=0,"long","short")&amp;" equity index, so adequate "&amp;IF(E27&gt;=0,"cash","similar asset")&amp;" cover required"</f>
        <v>#DIV/0!</v>
      </c>
    </row>
    <row r="28" spans="1:75" x14ac:dyDescent="0.3">
      <c r="A28" s="121" t="s">
        <v>10911</v>
      </c>
      <c r="B28" s="114" cm="1">
        <f t="array" ref="B28">-SUMPRODUCT((Data!$C$2:$C$1000="SWAPS")*((Data!$AH$2:$AH$1000)))</f>
        <v>0</v>
      </c>
      <c r="C28" s="70" t="e">
        <f t="shared" si="0"/>
        <v>#DIV/0!</v>
      </c>
      <c r="E28" s="31">
        <f>MAX(0,$H$8*100)</f>
        <v>0</v>
      </c>
      <c r="F28" s="26" t="str">
        <f>"Net "&amp;IF(E28&gt;=0,"long","short")&amp;" bond index, so adequate "&amp;IF(E28&gt;=0,"cash","similar asset")&amp;" cover required"</f>
        <v>Net long bond index, so adequate cash cover required</v>
      </c>
    </row>
    <row r="29" spans="1:75" x14ac:dyDescent="0.3">
      <c r="A29" s="103" t="s">
        <v>59</v>
      </c>
      <c r="B29" s="114">
        <f>IF(SUMIF(Data!$C:$C,$A29,Data!$AH:$AH)&gt;=0,SUMIF(Data!$C:$C,$A29,Data!$AH:$AH),0)</f>
        <v>0</v>
      </c>
      <c r="C29" s="70" t="e">
        <f t="shared" si="0"/>
        <v>#DIV/0!</v>
      </c>
      <c r="D29" s="64"/>
      <c r="E29" s="31"/>
      <c r="F29" s="26"/>
    </row>
    <row r="30" spans="1:75" x14ac:dyDescent="0.3">
      <c r="A30" s="103" t="s">
        <v>58</v>
      </c>
      <c r="B30" s="115">
        <f>IF(SUMIF(Data!$C:$C,$A30,Data!$AH:$AH)&gt;=0,SUMIF(Data!$C:$C,$A30,Data!$AH:$AH),0)</f>
        <v>0</v>
      </c>
      <c r="C30" s="71" t="e">
        <f t="shared" si="0"/>
        <v>#DIV/0!</v>
      </c>
      <c r="E30" s="25" t="e">
        <f>SUM(C27:C28)*100</f>
        <v>#VALUE!</v>
      </c>
      <c r="F30" s="26" t="s">
        <v>10905</v>
      </c>
    </row>
    <row r="31" spans="1:75" x14ac:dyDescent="0.3">
      <c r="B31" s="64"/>
      <c r="C31" s="68"/>
      <c r="D31" s="64"/>
    </row>
    <row r="32" spans="1:75" x14ac:dyDescent="0.3">
      <c r="A32" s="122" t="str">
        <f>IF($A3="UT","","Cash from the "&amp;COUNTIF(Data!$B:$B,"COLLECTIVE INVESTMENT SCHEMES")&amp;" underlying UT"&amp;IF(COUNTIF(Data!$B:$B,"COLLECTIVE INVESTMENT SCHEMES")=1,"","s"))</f>
        <v/>
      </c>
      <c r="B32" s="64">
        <f>IF($A$3="UT",0,SUMIF(Data!$B:$B,"COLLECTIVE INVESTMENT SCHEMES",Data!$AH:$AH))</f>
        <v>0</v>
      </c>
      <c r="C32" s="68">
        <f>IF($A3="UT",0,$B32/$B$4)</f>
        <v>0</v>
      </c>
      <c r="E32" s="73">
        <f>C32*100</f>
        <v>0</v>
      </c>
      <c r="F32" s="28"/>
    </row>
    <row r="34" spans="1:6" ht="16.5" thickBot="1" x14ac:dyDescent="0.35">
      <c r="A34" s="63" t="e">
        <f>IF(B34&gt;=0,"A","Ina")&amp;"dequate cash cover for derivatives"</f>
        <v>#VALUE!</v>
      </c>
      <c r="B34" s="123" t="e">
        <f>B22-B24+B32</f>
        <v>#VALUE!</v>
      </c>
      <c r="C34" s="66" t="e">
        <f>C22-C24+C32</f>
        <v>#DIV/0!</v>
      </c>
      <c r="D34" s="68"/>
      <c r="E34" s="74" t="e">
        <f>E26-E27-E28-E29-E30+E32</f>
        <v>#DIV/0!</v>
      </c>
      <c r="F34" s="20" t="e">
        <f>IF($E34&gt;=0,"Adequate","INADEQUATE")&amp;" long derivative cash cover [BN90 16(1)(c)]"</f>
        <v>#DIV/0!</v>
      </c>
    </row>
    <row r="35" spans="1:6" ht="16.5" thickTop="1" x14ac:dyDescent="0.3">
      <c r="A35" s="124"/>
      <c r="B35" s="64"/>
      <c r="C35" s="68"/>
      <c r="D35" s="68"/>
    </row>
    <row r="36" spans="1:6" x14ac:dyDescent="0.3">
      <c r="A36" s="63" t="str">
        <f>IF($A3="UT","The numbers above exclude these assets which don't qualify as AiLF for UTs: *","")</f>
        <v>The numbers above exclude these assets which don't qualify as AiLF for UTs: *</v>
      </c>
      <c r="B36" s="64">
        <f>IF($A3="UT",SUM(B37:B38),"")</f>
        <v>0</v>
      </c>
      <c r="C36" s="68" t="e">
        <f>IF($A3="UT",SUM(C37:C38),"")</f>
        <v>#DIV/0!</v>
      </c>
      <c r="D36" s="68"/>
    </row>
    <row r="37" spans="1:6" x14ac:dyDescent="0.3">
      <c r="A37" s="125" t="str">
        <f>IF($A3="UT","Money Market","")</f>
        <v>Money Market</v>
      </c>
      <c r="B37" s="113" cm="1">
        <f t="array" ref="B37">IF($A3="UT",SUMIF(Data!$B:$B,"MONEY MARKET",Data!$AH:$AH)-SUMPRODUCT((Data!$B:$B="MONEY MARKET")*((Data!$P:$P&lt;Data!$AJ$2+397)*(Data!$V:$V&lt;&gt;"CLN")),(Data!$AH:$AH)),"")</f>
        <v>0</v>
      </c>
      <c r="C37" s="69" t="e">
        <f>IF($A3="UT",B37/$B$4,"")</f>
        <v>#DIV/0!</v>
      </c>
      <c r="D37" s="68"/>
    </row>
    <row r="38" spans="1:6" x14ac:dyDescent="0.3">
      <c r="A38" s="125" t="str">
        <f>IF($A3="UT","Bonds","")</f>
        <v>Bonds</v>
      </c>
      <c r="B38" s="115" cm="1">
        <f t="array" ref="B38">IF($A3="UT",SUMIF(Data!$B:$B,"BONDS",Data!$AH:$AH)-SUMPRODUCT((Data!$B:$B="BONDS")*((Data!$P:$P&lt;Data!$AJ$2+397)*(Data!$V:$V&lt;&gt;"CLN")),(Data!$AH:$AH)),"")</f>
        <v>0</v>
      </c>
      <c r="C38" s="71" t="e">
        <f>IF($A3="UT",B38/$B$4,"")</f>
        <v>#DIV/0!</v>
      </c>
      <c r="D38" s="65"/>
    </row>
    <row r="39" spans="1:6" x14ac:dyDescent="0.3">
      <c r="D39" s="68"/>
    </row>
    <row r="40" spans="1:6" x14ac:dyDescent="0.3">
      <c r="A40" s="165" t="s">
        <v>10945</v>
      </c>
      <c r="B40" s="163" t="e">
        <f>B42+B50</f>
        <v>#VALUE!</v>
      </c>
      <c r="C40" s="164" t="e">
        <f>C42+C50</f>
        <v>#DIV/0!</v>
      </c>
      <c r="D40" s="68"/>
    </row>
    <row r="41" spans="1:6" x14ac:dyDescent="0.3">
      <c r="B41" s="126"/>
      <c r="D41" s="68"/>
    </row>
    <row r="42" spans="1:6" x14ac:dyDescent="0.3">
      <c r="A42" s="63" t="s">
        <v>10944</v>
      </c>
      <c r="B42" s="101" t="e">
        <f>SUM(B43:B48)</f>
        <v>#VALUE!</v>
      </c>
      <c r="C42" s="102" t="e">
        <f>SUM(C43:C48)</f>
        <v>#DIV/0!</v>
      </c>
      <c r="E42" s="63"/>
    </row>
    <row r="43" spans="1:6" x14ac:dyDescent="0.3">
      <c r="A43" s="103" t="s">
        <v>98</v>
      </c>
      <c r="B43" s="113" cm="1">
        <f t="array" ref="B43">SUMPRODUCT(('Glbl Expsr'!$H$2:$H$68)*('Glbl Expsr'!$I$2:$I$68)*('Glbl Expsr'!$J$2:$J$68)*('Glbl Expsr'!$L$2:$L$68)*('Glbl Expsr'!$O$2:$O$68))+$B$26</f>
        <v>0</v>
      </c>
      <c r="C43" s="127" t="e" cm="1">
        <f t="array" ref="C43">SUMPRODUCT(('Glbl Expsr'!$H$2:$H$68)*('Glbl Expsr'!$I$2:$I$68)*('Glbl Expsr'!$J$2:$J$68)*('Glbl Expsr'!$L$2:$L$68)*('Glbl Expsr'!$O$2:$O$68))/SUM(Data!$L:$L)+$C$26</f>
        <v>#DIV/0!</v>
      </c>
      <c r="E43" s="63"/>
    </row>
    <row r="44" spans="1:6" x14ac:dyDescent="0.3">
      <c r="A44" s="103" t="s">
        <v>10924</v>
      </c>
      <c r="B44" s="104" cm="1">
        <f t="array" ref="B44">SUMPRODUCT(--(Data!$C$2:$C$1000="EQUITY LINKED NOTES"), (Data!$AH$2:$AH$1000))</f>
        <v>0</v>
      </c>
      <c r="C44" s="128" cm="1">
        <f t="array" ref="C44">SUMPRODUCT(--(Data!$C$2:$C$1000="EQUITY LINKED NOTES"),(Data!$AI2:$AI1000))/100</f>
        <v>0</v>
      </c>
      <c r="E44" s="141"/>
    </row>
    <row r="45" spans="1:6" x14ac:dyDescent="0.3">
      <c r="A45" s="103" t="s">
        <v>99</v>
      </c>
      <c r="B45" s="104" t="e" cm="1">
        <f t="array" ref="B45">SUMPRODUCT((Data!$C$2:$C$1000="SWAPS")*((Data!$G$2:$G$1000)*(Data!$M$2:$M$1000)))</f>
        <v>#VALUE!</v>
      </c>
      <c r="C45" s="128" t="e" cm="1">
        <f t="array" ref="C45">SUMPRODUCT((Data!$C$2:$C$1000="SWAPS")*((Data!$G$2:$G$1000)*(Data!$M$2:$M$1000)))/SUM(Data!$L:$L)</f>
        <v>#VALUE!</v>
      </c>
      <c r="E45" s="63"/>
    </row>
    <row r="46" spans="1:6" x14ac:dyDescent="0.3">
      <c r="A46" s="103" t="s">
        <v>10921</v>
      </c>
      <c r="B46" s="104" cm="1">
        <f t="array" ref="B46">SUMPRODUCT((Data!$B:$B="EQUITIES")*(Data!$X:$X&lt;&gt;"REAL ESTATE")*(Data!$V:$V&lt;&gt;"EQUITY - ELN"),(Data!$AH:$AH))</f>
        <v>0</v>
      </c>
      <c r="C46" s="128" cm="1">
        <f t="array" ref="C46">SUMPRODUCT((Data!$B:$B="EQUITIES")*(Data!$X:$X&lt;&gt;"REAL ESTATE")*(Data!$V:$V&lt;&gt;"EQUITY - ELN"),(Data!$AI:$AI))/100</f>
        <v>0</v>
      </c>
      <c r="E46" s="63"/>
    </row>
    <row r="47" spans="1:6" x14ac:dyDescent="0.3">
      <c r="A47" s="103" t="s">
        <v>10919</v>
      </c>
      <c r="B47" s="104">
        <f>SUMIF(Data!$B:$B,"PREFERENCE SHARES",Data!$AH:$AH)</f>
        <v>0</v>
      </c>
      <c r="C47" s="128">
        <f>SUMIF(Data!$B:$B,"PREFERENCE SHARES",Data!$AI:$AI)/100</f>
        <v>0</v>
      </c>
      <c r="E47" s="63"/>
    </row>
    <row r="48" spans="1:6" x14ac:dyDescent="0.3">
      <c r="A48" s="103" t="s">
        <v>100</v>
      </c>
      <c r="B48" s="105" cm="1">
        <f t="array" ref="B48">SUMPRODUCT(--((Data!$B:$B="COLLECTIVE INVESTMENT SCHEMES")*(ISNUMBER(SEARCH("equity",Data!$D:$D))-ISNUMBER(SEARCH("property equity",Data!$D:$D))+ISNUMBER(SEARCH("balanced",Data!$D:$D)))&gt;0),(Data!$AH:$AH))</f>
        <v>0</v>
      </c>
      <c r="C48" s="129" cm="1">
        <f t="array" ref="C48">SUMPRODUCT(--((Data!$B:$B="COLLECTIVE INVESTMENT SCHEMES")*(ISNUMBER(SEARCH("equity",Data!$D:$D))-ISNUMBER(SEARCH("property equity",Data!$D:$D))+ISNUMBER(SEARCH("balanced",Data!$D:$D)))&gt;0),(Data!$AI:$AI))/100</f>
        <v>0</v>
      </c>
    </row>
    <row r="49" spans="1:4" x14ac:dyDescent="0.3">
      <c r="A49" s="103"/>
      <c r="B49" s="101"/>
      <c r="C49" s="102"/>
    </row>
    <row r="50" spans="1:4" x14ac:dyDescent="0.3">
      <c r="A50" s="63" t="s">
        <v>10917</v>
      </c>
      <c r="B50" s="101">
        <f>SUM(B51:B52)</f>
        <v>0</v>
      </c>
      <c r="C50" s="130">
        <f>SUM(C51:C52)</f>
        <v>0</v>
      </c>
    </row>
    <row r="51" spans="1:4" x14ac:dyDescent="0.3">
      <c r="A51" s="103" t="s">
        <v>10920</v>
      </c>
      <c r="B51" s="131" cm="1">
        <f t="array" ref="B51">SUMPRODUCT((Data!$B:$B="EQUITIES")*(Data!$X:$X="REAL ESTATE"),(Data!$AH:$AH))</f>
        <v>0</v>
      </c>
      <c r="C51" s="127" cm="1">
        <f t="array" ref="C51">SUMPRODUCT((Data!$B:$B="EQUITIES")*(Data!$X:$X="REAL ESTATE"),(Data!$AI:$AI))/100</f>
        <v>0</v>
      </c>
    </row>
    <row r="52" spans="1:4" x14ac:dyDescent="0.3">
      <c r="A52" s="103" t="s">
        <v>10918</v>
      </c>
      <c r="B52" s="105" cm="1">
        <f t="array" ref="B52">SUMPRODUCT(--((Data!$B:$B="COLLECTIVE INVESTMENT SCHEMES")*(ISNUMBER(SEARCH("property equity",Data!$D:$D)))&gt;0),(Data!$AH:$AH))</f>
        <v>0</v>
      </c>
      <c r="C52" s="129" cm="1">
        <f t="array" ref="C52">SUMPRODUCT(--((Data!$B:$B="COLLECTIVE INVESTMENT SCHEMES")*(ISNUMBER(SEARCH("property equity",Data!$D:$D)))&gt;0),(Data!$AI:$AI))/100</f>
        <v>0</v>
      </c>
    </row>
    <row r="54" spans="1:4" x14ac:dyDescent="0.3">
      <c r="A54" s="166" t="s">
        <v>11138</v>
      </c>
      <c r="B54" s="182">
        <f>SUM(B56,B63,B69,B73)</f>
        <v>101.27</v>
      </c>
      <c r="C54" s="182">
        <f>SUM(C56,C63,C69)</f>
        <v>104377083.82999997</v>
      </c>
      <c r="D54" s="63" t="s">
        <v>11139</v>
      </c>
    </row>
    <row r="55" spans="1:4" x14ac:dyDescent="0.3">
      <c r="A55" s="165"/>
    </row>
    <row r="56" spans="1:4" x14ac:dyDescent="0.3">
      <c r="A56" s="103" t="s">
        <v>11140</v>
      </c>
      <c r="B56" s="167">
        <f>SUM(B57:B61)</f>
        <v>101.27</v>
      </c>
      <c r="C56" s="167">
        <f>SUM(C57:C61)</f>
        <v>104377083.82999997</v>
      </c>
    </row>
    <row r="57" spans="1:4" x14ac:dyDescent="0.3">
      <c r="A57" s="121" t="s">
        <v>11141</v>
      </c>
      <c r="B57" s="168" cm="1">
        <f t="array" ref="B57">SUMPRODUCT((Data!$B:$B&lt;&gt;"CASH")*(Data!$B:$B&lt;&gt;"MONEY MARKET")*(Data!$B:$B&lt;&gt;"DERIVATIVES")*(Data!$B:$B&lt;&gt;"COLLECTIVE INVESTMENT SCHEMES")*(Data!$W:$W&lt;&gt;"ZAR")*(Data!$T:$T&lt;&gt;"SYTH"),Data!$AH:$AH)</f>
        <v>101.27</v>
      </c>
      <c r="C57" s="169" cm="1">
        <f t="array" ref="C57">SUMPRODUCT((Data!$B:$B&lt;&gt;"CASH")*(Data!$B:$B&lt;&gt;"MONEY MARKET")*(Data!$B:$B&lt;&gt;"DERIVATIVES")*(Data!$B:$B&lt;&gt;"COLLECTIVE INVESTMENT SCHEMES")*(Data!$W:$W&lt;&gt;"ZAR")*(Data!$T:$T&lt;&gt;"SYTH"),Data!$AI:$AI)</f>
        <v>104377083.82999997</v>
      </c>
    </row>
    <row r="58" spans="1:4" x14ac:dyDescent="0.3">
      <c r="A58" s="121" t="str" cm="1">
        <f t="array" ref="A58">"Direct foreign cash excl 'SYNCASH' ("&amp;SUMPRODUCT((Data!$B:$B="CASH")*(Data!$W:$W&lt;&gt;"ZAR")*(Data!$T:$T&lt;&gt;"SYTH"))&amp;")"</f>
        <v>Direct foreign cash excl 'SYNCASH' (0)</v>
      </c>
      <c r="B58" s="170" cm="1">
        <f t="array" ref="B58">SUMPRODUCT((Data!$B:$B="CASH")*(Data!$W:$W&lt;&gt;"ZAR")*(Data!$T:$T&lt;&gt;"SYTH"),Data!$AH:$AH)</f>
        <v>0</v>
      </c>
      <c r="C58" s="171" cm="1">
        <f t="array" ref="C58">SUMPRODUCT((Data!$B:$B="CASH")*(Data!$W:$W&lt;&gt;"ZAR")*(Data!$T:$T&lt;&gt;"SYTH"),Data!$AI:$AI)</f>
        <v>0</v>
      </c>
    </row>
    <row r="59" spans="1:4" x14ac:dyDescent="0.3">
      <c r="A59" s="121" t="str" cm="1">
        <f t="array" ref="A59">"Direct foreign MMIs excl 'SYNCASH' ("&amp;SUMPRODUCT((Data!$B:$B="MONEY MARKET")*(Data!$W:$W&lt;&gt;"ZAR")*(Data!$T:$T&lt;&gt;"SYTH"))&amp;")"</f>
        <v>Direct foreign MMIs excl 'SYNCASH' (0)</v>
      </c>
      <c r="B59" s="170" cm="1">
        <f t="array" ref="B59">SUMPRODUCT((Data!$B:$B="MONEY MARKET")*(Data!$W:$W&lt;&gt;"ZAR")*(Data!$T:$T&lt;&gt;"SYTH"),Data!$AH:$AH)</f>
        <v>0</v>
      </c>
      <c r="C59" s="171" cm="1">
        <f t="array" ref="C59">SUMPRODUCT((Data!$B:$B="MONEY MARKET")*(Data!$W:$W&lt;&gt;"ZAR")*(Data!$T:$T&lt;&gt;"SYTH"),Data!$AI:$AI)</f>
        <v>0</v>
      </c>
    </row>
    <row r="60" spans="1:4" x14ac:dyDescent="0.3">
      <c r="A60" s="121" t="str" cm="1">
        <f t="array" ref="A60">"Global funds denominated as non-ZAR ("&amp;SUMPRODUCT((Data!$B:$B="COLLECTIVE INVESTMENT SCHEMES")*(Data!$W:$W&lt;&gt;"ZAR")*(Data!$T:$T&lt;&gt;"SYTH"))&amp;")"</f>
        <v>Global funds denominated as non-ZAR (0)</v>
      </c>
      <c r="B60" s="170" cm="1">
        <f t="array" ref="B60">SUMPRODUCT((Data!$B:$B="COLLECTIVE INVESTMENT SCHEMES")*(Data!$W:$W&lt;&gt;"ZAR")*(Data!$T:$T&lt;&gt;"SYTH"),Data!$AH:$AH)</f>
        <v>0</v>
      </c>
      <c r="C60" s="171" cm="1">
        <f t="array" ref="C60">SUMPRODUCT((Data!$B:$B="COLLECTIVE INVESTMENT SCHEMES")*(Data!$W:$W&lt;&gt;"ZAR")*(Data!$T:$T&lt;&gt;"SYTH"),Data!$AI:$AI)</f>
        <v>0</v>
      </c>
    </row>
    <row r="61" spans="1:4" x14ac:dyDescent="0.3">
      <c r="A61" s="121" t="str" cm="1">
        <f t="array" ref="A61">"Global funds denominated as ZAR ("&amp;SUMPRODUCT((ISNUMBER(SEARCH("global",Data!$D:$D)))*(Data!$B:$B="COLLECTIVE INVESTMENT SCHEMES")*(Data!$W:$W="ZAR")*(Data!$T:$T&lt;&gt;"SYTH"))&amp;")"</f>
        <v>Global funds denominated as ZAR (0)</v>
      </c>
      <c r="B61" s="172" cm="1">
        <f t="array" ref="B61">SUMPRODUCT(Data!$AH:$AH,(ISNUMBER(SEARCH("global",Data!$D:$D)))*(Data!$B:$B="COLLECTIVE INVESTMENT SCHEMES")*(Data!$W:$W="ZAR")*(Data!$T:$T&lt;&gt;"SYTH"))</f>
        <v>0</v>
      </c>
      <c r="C61" s="173" cm="1">
        <f t="array" ref="C61">SUMPRODUCT(Data!$AI:$AI,(ISNUMBER(SEARCH("global",Data!$D:$D)))*(Data!$B:$B="COLLECTIVE INVESTMENT SCHEMES")*(Data!$W:$W="ZAR")*(Data!$T:$T&lt;&gt;"SYTH"))</f>
        <v>0</v>
      </c>
    </row>
    <row r="62" spans="1:4" x14ac:dyDescent="0.3">
      <c r="A62" s="103"/>
    </row>
    <row r="63" spans="1:4" x14ac:dyDescent="0.3">
      <c r="A63" s="103" t="s">
        <v>11142</v>
      </c>
      <c r="B63" s="101">
        <f>SUM(B64:B67)</f>
        <v>0</v>
      </c>
      <c r="C63" s="101">
        <f>SUM(C64:C67)</f>
        <v>0</v>
      </c>
    </row>
    <row r="64" spans="1:4" x14ac:dyDescent="0.3">
      <c r="A64" s="121" t="str" cm="1">
        <f t="array" ref="A64">"Foreign equity derivatives ("&amp;SUMPRODUCT(--(Data!$C:$C="Equity Derivatives")*(Data!$W:$W&lt;&gt;"ZAR"))&amp;")"</f>
        <v>Foreign equity derivatives (0)</v>
      </c>
      <c r="B64" s="131" cm="1">
        <f t="array" ref="B64">SUMPRODUCT((Data!$C:$C="Equity derivatives")*(Data!$W:$W&lt;&gt;"ZAR"),Data!$AH:$AH)</f>
        <v>0</v>
      </c>
      <c r="C64" s="174" cm="1">
        <f t="array" ref="C64">SUMPRODUCT((Data!$C:$C="Equity derivatives")*(Data!$W:$W&lt;&gt;"ZAR"),Data!$AI:$AI)</f>
        <v>0</v>
      </c>
    </row>
    <row r="65" spans="1:3" x14ac:dyDescent="0.3">
      <c r="A65" s="121" t="str" cm="1">
        <f t="array" ref="A65">"Foreign bond derivatives ("&amp;SUMPRODUCT(--(Data!$C:$C="Bond Derivatives")*(Data!$W:$W&lt;&gt;"ZAR"))&amp;")"</f>
        <v>Foreign bond derivatives (0)</v>
      </c>
      <c r="B65" s="104" cm="1">
        <f t="array" ref="B65">SUMPRODUCT((Data!$C:$C="Bond derivatives")*(Data!$W:$W&lt;&gt;"ZAR"),Data!$AH:$AH)</f>
        <v>0</v>
      </c>
      <c r="C65" s="175" cm="1">
        <f t="array" ref="C65">SUMPRODUCT((Data!$C:$C="Bond derivatives")*(Data!$W:$W&lt;&gt;"ZAR"),Data!$AI:$AI)</f>
        <v>0</v>
      </c>
    </row>
    <row r="66" spans="1:3" x14ac:dyDescent="0.3">
      <c r="A66" s="121" t="str" cm="1">
        <f t="array" ref="A66">"Foreign currency derivatives ("&amp;SUMPRODUCT(--(Data!$C:$C="Currency Derivatives")*(Data!$W:$W&lt;&gt;"ZAR"))&amp;")"</f>
        <v>Foreign currency derivatives (0)</v>
      </c>
      <c r="B66" s="104" cm="1">
        <f t="array" ref="B66">SUMPRODUCT((Data!$C:$C="Currency derivatives")*(Data!$W:$W&lt;&gt;"ZAR"),Data!$AH:$AH)</f>
        <v>0</v>
      </c>
      <c r="C66" s="175" cm="1">
        <f t="array" ref="C66">SUMPRODUCT((Data!$C:$C="Currency derivatives")*(Data!$W:$W&lt;&gt;"ZAR"),Data!$AI:$AI)</f>
        <v>0</v>
      </c>
    </row>
    <row r="67" spans="1:3" x14ac:dyDescent="0.3">
      <c r="A67" s="121" t="str" cm="1">
        <f t="array" ref="A67">"Foreign currency forwards ("&amp;SUMPRODUCT(--(Data!$C:$C="Forwards")*(Data!$W:$W&lt;&gt;"ZAR"))&amp;")"</f>
        <v>Foreign currency forwards (0)</v>
      </c>
      <c r="B67" s="105" cm="1">
        <f t="array" ref="B67">SUMPRODUCT((Data!$C:$C="Forwards")*(Data!$W:$W&lt;&gt;"ZAR"),Data!$AH:$AH)</f>
        <v>0</v>
      </c>
      <c r="C67" s="176" cm="1">
        <f t="array" ref="C67">SUMPRODUCT((Data!$C:$C="Forwards")*(Data!$W:$W&lt;&gt;"ZAR"),Data!$AI:$AI)</f>
        <v>0</v>
      </c>
    </row>
    <row r="68" spans="1:3" x14ac:dyDescent="0.3">
      <c r="A68" s="103"/>
    </row>
    <row r="69" spans="1:3" x14ac:dyDescent="0.3">
      <c r="A69" s="103" t="s">
        <v>11143</v>
      </c>
      <c r="B69" s="167">
        <f>-SUM(B58:B59)</f>
        <v>0</v>
      </c>
      <c r="C69" s="167">
        <f>-SUM(C58:C59)</f>
        <v>0</v>
      </c>
    </row>
    <row r="70" spans="1:3" x14ac:dyDescent="0.3">
      <c r="A70" s="121" t="str" cm="1">
        <f t="array" ref="A70">"Direct foreign cash excl 'SYNCASH' ("&amp;SUMPRODUCT((Data!$B:$B="CASH")*(Data!$W:$W&lt;&gt;"ZAR")*(Data!$T:$T&lt;&gt;"SYTH"))&amp;")"</f>
        <v>Direct foreign cash excl 'SYNCASH' (0)</v>
      </c>
      <c r="B70" s="168" cm="1">
        <f t="array" ref="B70">SUMPRODUCT((Data!$B:$B="CASH")*(Data!$W:$W&lt;&gt;"ZAR")*(Data!$T:$T&lt;&gt;"SYTH"),Data!$AH:$AH)</f>
        <v>0</v>
      </c>
      <c r="C70" s="169" cm="1">
        <f t="array" ref="C70">SUMPRODUCT((Data!$B:$B="CASH")*(Data!$W:$W&lt;&gt;"ZAR")*(Data!$T:$T&lt;&gt;"SYTH"),Data!$AI:$AI)</f>
        <v>0</v>
      </c>
    </row>
    <row r="71" spans="1:3" x14ac:dyDescent="0.3">
      <c r="A71" s="121" t="str" cm="1">
        <f t="array" ref="A71">"Direct foreign MMIs excl 'SYNCASH' ("&amp;SUMPRODUCT((Data!$B:$B="MONEY MARKET")*(Data!$W:$W&lt;&gt;"ZAR")*(Data!$T:$T&lt;&gt;"SYTH"))&amp;")"</f>
        <v>Direct foreign MMIs excl 'SYNCASH' (0)</v>
      </c>
      <c r="B71" s="172" cm="1">
        <f t="array" ref="B71">SUMPRODUCT((Data!$B:$B="MONEY MARKET")*(Data!$W:$W&lt;&gt;"ZAR")*(Data!$T:$T&lt;&gt;"SYTH"),Data!$AH:$AH)</f>
        <v>0</v>
      </c>
      <c r="C71" s="173" cm="1">
        <f t="array" ref="C71">SUMPRODUCT((Data!$B:$B="MONEY MARKET")*(Data!$W:$W&lt;&gt;"ZAR")*(Data!$T:$T&lt;&gt;"SYTH"),Data!$AI:$AI)</f>
        <v>0</v>
      </c>
    </row>
    <row r="72" spans="1:3" x14ac:dyDescent="0.3">
      <c r="A72" s="103"/>
    </row>
    <row r="73" spans="1:3" x14ac:dyDescent="0.3">
      <c r="A73" s="103" t="s">
        <v>11144</v>
      </c>
      <c r="B73" s="162">
        <f>B63+B69</f>
        <v>0</v>
      </c>
      <c r="C73" s="162">
        <f>C63+C69</f>
        <v>0</v>
      </c>
    </row>
    <row r="74" spans="1:3" x14ac:dyDescent="0.3">
      <c r="A74" s="103"/>
      <c r="B74" s="162"/>
      <c r="C74" s="162"/>
    </row>
    <row r="75" spans="1:3" x14ac:dyDescent="0.3">
      <c r="A75" s="103"/>
    </row>
    <row r="76" spans="1:3" x14ac:dyDescent="0.3">
      <c r="A76" s="177" t="s">
        <v>11145</v>
      </c>
      <c r="B76" s="155">
        <f>SUM(B77:B78)</f>
        <v>0</v>
      </c>
      <c r="C76" s="155">
        <f>SUM(C77:C78)</f>
        <v>0</v>
      </c>
    </row>
    <row r="77" spans="1:3" x14ac:dyDescent="0.3">
      <c r="A77" s="121" t="str" cm="1">
        <f t="array" ref="A77">"ZAR 'SYNCASH' ("&amp;SUMPRODUCT((Data!$W:$W="ZAR")*(Data!$T:$T="SYTH"))&amp;")"</f>
        <v>ZAR 'SYNCASH' (0)</v>
      </c>
      <c r="B77" s="178" cm="1">
        <f t="array" ref="B77">SUMPRODUCT((Data!$W:$W="ZAR")*(Data!$T:$T="SYTH"),(Data!$AH:$AH))</f>
        <v>0</v>
      </c>
      <c r="C77" s="179" cm="1">
        <f t="array" ref="C77">SUMPRODUCT((Data!$W:$W="ZAR")*(Data!$T:$T="SYTH"),(Data!$AI:$AI))</f>
        <v>0</v>
      </c>
    </row>
    <row r="78" spans="1:3" x14ac:dyDescent="0.3">
      <c r="A78" s="121" t="str" cm="1">
        <f t="array" ref="A78">"Non-ZAR 'SYNCASH' ("&amp;SUMPRODUCT((Data!$W:$W&lt;&gt;"ZAR")*(Data!$T:$T="SYTH"))&amp;")"</f>
        <v>Non-ZAR 'SYNCASH' (0)</v>
      </c>
      <c r="B78" s="180" cm="1">
        <f t="array" ref="B78">SUMPRODUCT((Data!$W:$W&lt;&gt;"ZAR")*(Data!$T:$T="SYTH"),(Data!$AH:$AH))</f>
        <v>0</v>
      </c>
      <c r="C78" s="181" cm="1">
        <f t="array" ref="C78">SUMPRODUCT((Data!$W:$W&lt;&gt;"ZAR")*(Data!$T:$T="SYTH"),(Data!$AI:$AI))</f>
        <v>0</v>
      </c>
    </row>
    <row r="80" spans="1:3" x14ac:dyDescent="0.3">
      <c r="C80" s="155"/>
    </row>
    <row r="81" spans="2:3" x14ac:dyDescent="0.3">
      <c r="C81" s="12"/>
    </row>
    <row r="82" spans="2:3" x14ac:dyDescent="0.3">
      <c r="B82" s="155"/>
    </row>
    <row r="83" spans="2:3" x14ac:dyDescent="0.3">
      <c r="B83" s="155"/>
    </row>
  </sheetData>
  <conditionalFormatting sqref="D38">
    <cfRule type="expression" dxfId="39" priority="40">
      <formula>D38&lt;0</formula>
    </cfRule>
  </conditionalFormatting>
  <conditionalFormatting sqref="B22 B34">
    <cfRule type="expression" dxfId="38" priority="37">
      <formula>B22&lt;0</formula>
    </cfRule>
    <cfRule type="expression" dxfId="37" priority="38">
      <formula>$B22&gt;=0</formula>
    </cfRule>
  </conditionalFormatting>
  <conditionalFormatting sqref="C22 C34">
    <cfRule type="expression" dxfId="36" priority="35">
      <formula>C22&lt;0</formula>
    </cfRule>
    <cfRule type="expression" dxfId="35" priority="36">
      <formula>$B22&gt;=0</formula>
    </cfRule>
  </conditionalFormatting>
  <conditionalFormatting sqref="A3">
    <cfRule type="expression" dxfId="34" priority="39" stopIfTrue="1">
      <formula>$A3="UNIT TRUST"</formula>
    </cfRule>
  </conditionalFormatting>
  <conditionalFormatting sqref="F20:F21 F10 F27:F30">
    <cfRule type="expression" dxfId="33" priority="34" stopIfTrue="1">
      <formula>#REF!="UNIT TRUST"</formula>
    </cfRule>
  </conditionalFormatting>
  <conditionalFormatting sqref="F34">
    <cfRule type="expression" dxfId="32" priority="41" stopIfTrue="1">
      <formula>#REF!="UNIT TRUST"</formula>
    </cfRule>
  </conditionalFormatting>
  <conditionalFormatting sqref="F22:F26">
    <cfRule type="expression" dxfId="31" priority="33" stopIfTrue="1">
      <formula>#REF!="UNIT TRUST"</formula>
    </cfRule>
  </conditionalFormatting>
  <conditionalFormatting sqref="F12:F13">
    <cfRule type="expression" dxfId="30" priority="31" stopIfTrue="1">
      <formula>#REF!="UNIT TRUST"</formula>
    </cfRule>
  </conditionalFormatting>
  <conditionalFormatting sqref="F14">
    <cfRule type="expression" dxfId="29" priority="30" stopIfTrue="1">
      <formula>#REF!="UNIT TRUST"</formula>
    </cfRule>
  </conditionalFormatting>
  <conditionalFormatting sqref="F6">
    <cfRule type="expression" dxfId="28" priority="29" stopIfTrue="1">
      <formula>#REF!="UNIT TRUST"</formula>
    </cfRule>
  </conditionalFormatting>
  <conditionalFormatting sqref="E22">
    <cfRule type="cellIs" dxfId="27" priority="28" operator="greaterThanOrEqual">
      <formula>0</formula>
    </cfRule>
  </conditionalFormatting>
  <conditionalFormatting sqref="E26">
    <cfRule type="cellIs" dxfId="26" priority="27" stopIfTrue="1" operator="lessThan">
      <formula>0</formula>
    </cfRule>
  </conditionalFormatting>
  <conditionalFormatting sqref="E16">
    <cfRule type="cellIs" dxfId="25" priority="25" operator="lessThan">
      <formula>1</formula>
    </cfRule>
    <cfRule type="cellIs" dxfId="24" priority="26" stopIfTrue="1" operator="greaterThanOrEqual">
      <formula>1</formula>
    </cfRule>
  </conditionalFormatting>
  <conditionalFormatting sqref="F16">
    <cfRule type="expression" dxfId="23" priority="24" stopIfTrue="1">
      <formula>#REF!="UNIT TRUST"</formula>
    </cfRule>
  </conditionalFormatting>
  <conditionalFormatting sqref="E1">
    <cfRule type="expression" dxfId="22" priority="42">
      <formula>COUNT($I$1:$BH$23)=$E$1</formula>
    </cfRule>
    <cfRule type="expression" dxfId="21" priority="43">
      <formula>COUNT($I$1:$BH$23)&lt;&gt;$E$1</formula>
    </cfRule>
  </conditionalFormatting>
  <conditionalFormatting sqref="F8">
    <cfRule type="expression" dxfId="20" priority="20" stopIfTrue="1">
      <formula>#REF!="UNIT TRUST"</formula>
    </cfRule>
  </conditionalFormatting>
  <conditionalFormatting sqref="F9">
    <cfRule type="expression" dxfId="19" priority="19" stopIfTrue="1">
      <formula>#REF!="UNIT TRUST"</formula>
    </cfRule>
  </conditionalFormatting>
  <conditionalFormatting sqref="F5">
    <cfRule type="expression" dxfId="18" priority="18" stopIfTrue="1">
      <formula>#REF!="UNIT TRUST"</formula>
    </cfRule>
  </conditionalFormatting>
  <conditionalFormatting sqref="F3">
    <cfRule type="expression" dxfId="17" priority="17" stopIfTrue="1">
      <formula>#REF!="UNIT TRUST"</formula>
    </cfRule>
  </conditionalFormatting>
  <conditionalFormatting sqref="F4">
    <cfRule type="expression" dxfId="16" priority="16" stopIfTrue="1">
      <formula>#REF!="UNIT TRUST"</formula>
    </cfRule>
  </conditionalFormatting>
  <conditionalFormatting sqref="B32">
    <cfRule type="expression" dxfId="15" priority="15">
      <formula>"$b29=0"</formula>
    </cfRule>
  </conditionalFormatting>
  <conditionalFormatting sqref="C32">
    <cfRule type="expression" dxfId="14" priority="14">
      <formula>$C32=0</formula>
    </cfRule>
  </conditionalFormatting>
  <conditionalFormatting sqref="E34">
    <cfRule type="cellIs" dxfId="13" priority="10" operator="greaterThanOrEqual">
      <formula>0</formula>
    </cfRule>
  </conditionalFormatting>
  <conditionalFormatting sqref="E6">
    <cfRule type="cellIs" dxfId="12" priority="8" operator="lessThan">
      <formula>0</formula>
    </cfRule>
    <cfRule type="cellIs" dxfId="11" priority="9" operator="greaterThanOrEqual">
      <formula>0</formula>
    </cfRule>
  </conditionalFormatting>
  <conditionalFormatting sqref="E10">
    <cfRule type="cellIs" dxfId="10" priority="6" operator="lessThan">
      <formula>0</formula>
    </cfRule>
    <cfRule type="cellIs" dxfId="9" priority="7" operator="greaterThanOrEqual">
      <formula>0</formula>
    </cfRule>
  </conditionalFormatting>
  <conditionalFormatting sqref="E14">
    <cfRule type="cellIs" dxfId="8" priority="4" operator="lessThan">
      <formula>0</formula>
    </cfRule>
    <cfRule type="cellIs" dxfId="7" priority="5" operator="greaterThanOrEqual">
      <formula>0</formula>
    </cfRule>
  </conditionalFormatting>
  <conditionalFormatting sqref="C63">
    <cfRule type="expression" dxfId="6" priority="3">
      <formula>"&lt;&gt;SUM(H5,H11,H14,H17)*100"</formula>
    </cfRule>
  </conditionalFormatting>
  <conditionalFormatting sqref="C54">
    <cfRule type="expression" dxfId="5" priority="1">
      <formula>$C54&lt;=45</formula>
    </cfRule>
    <cfRule type="expression" dxfId="4" priority="2">
      <formula>$C54&gt;45</formula>
    </cfRule>
  </conditionalFormatting>
  <dataValidations disablePrompts="1" count="1">
    <dataValidation type="list" allowBlank="1" showInputMessage="1" showErrorMessage="1" sqref="A3" xr:uid="{CC59222B-EBE9-4FDA-B1C9-DFD241A99785}">
      <formula1>"UT,Not a UT"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067A-FB93-4C91-92BC-B2C1834F56AD}">
  <sheetPr codeName="shGlblExpsr"/>
  <dimension ref="A1:P68"/>
  <sheetViews>
    <sheetView workbookViewId="0"/>
  </sheetViews>
  <sheetFormatPr defaultColWidth="9.140625" defaultRowHeight="15" x14ac:dyDescent="0.25"/>
  <cols>
    <col min="1" max="1" width="69" style="63" bestFit="1" customWidth="1"/>
    <col min="2" max="2" width="5.140625" style="63" bestFit="1" customWidth="1"/>
    <col min="3" max="3" width="20.5703125" style="63" customWidth="1"/>
    <col min="4" max="4" width="13.140625" style="63" customWidth="1"/>
    <col min="5" max="5" width="4.85546875" style="63" bestFit="1" customWidth="1"/>
    <col min="6" max="6" width="9.140625" style="63"/>
    <col min="7" max="7" width="22.140625" style="86" bestFit="1" customWidth="1"/>
    <col min="8" max="8" width="17.42578125" style="86" customWidth="1"/>
    <col min="9" max="9" width="10" style="86" bestFit="1" customWidth="1"/>
    <col min="10" max="11" width="17.42578125" style="86" customWidth="1"/>
    <col min="12" max="12" width="8" style="86" bestFit="1" customWidth="1"/>
    <col min="13" max="13" width="15.28515625" style="86" bestFit="1" customWidth="1"/>
    <col min="14" max="14" width="14.85546875" style="86" bestFit="1" customWidth="1"/>
    <col min="15" max="16" width="9.140625" style="86"/>
    <col min="17" max="17" width="8" style="86" bestFit="1" customWidth="1"/>
    <col min="18" max="16384" width="9.140625" style="86"/>
  </cols>
  <sheetData>
    <row r="1" spans="1:15" ht="30" x14ac:dyDescent="0.25">
      <c r="A1" s="8" t="str">
        <f>Data!$A$2&amp;" ("&amp;Data!$AK$2&amp;") Exposures "&amp;TEXT(Data!$AJ$2,"d mmm yy")</f>
        <v>0 (44676) Exposures 0 Jan 00</v>
      </c>
      <c r="C1" s="94" t="s">
        <v>43</v>
      </c>
      <c r="D1" s="94" t="s">
        <v>73</v>
      </c>
      <c r="F1" s="94" t="e">
        <f>_xlfn.XLOOKUP(Data!$AK$2,[77]Funds!$A:$A,[77]Funds!$E:$E)</f>
        <v>#N/A</v>
      </c>
      <c r="G1" s="37" t="str" cm="1">
        <f t="array" ref="G1">"SA Equity Derivatives ("&amp;SUMPRODUCT((Data!$C:$C="Equity Derivatives")*(Data!$W:$W="ZAR"))&amp;")"</f>
        <v>SA Equity Derivatives (0)</v>
      </c>
      <c r="H1" s="38" t="s">
        <v>74</v>
      </c>
      <c r="I1" s="39" t="s">
        <v>75</v>
      </c>
      <c r="J1" s="39" t="s">
        <v>76</v>
      </c>
      <c r="K1" s="40" t="s">
        <v>77</v>
      </c>
      <c r="L1" s="40" t="s">
        <v>55</v>
      </c>
      <c r="M1" s="41" t="s">
        <v>57</v>
      </c>
      <c r="N1" s="40" t="s">
        <v>78</v>
      </c>
      <c r="O1" s="40" t="s">
        <v>10901</v>
      </c>
    </row>
    <row r="2" spans="1:15" ht="15.75" thickBot="1" x14ac:dyDescent="0.3">
      <c r="A2" s="63" t="s">
        <v>79</v>
      </c>
      <c r="B2" s="95" t="s">
        <v>80</v>
      </c>
      <c r="C2" s="96" cm="1">
        <f t="array" ref="C2">SUMPRODUCT(ABS(($H$2:$H$68))*($I$2:$I$68)*ABS(($J$2:$J$68))*ABS(($L$2:$L$68))*(O2:O68))+Summary!$B$26</f>
        <v>0</v>
      </c>
      <c r="D2" s="106" t="e" cm="1">
        <f t="array" ref="D2">SUMPRODUCT(ABS(($H$2:$H$68))*($I$2:$I$68)*ABS(($J$2:$J$68))*ABS(($L$2:$L$68))*(O2:O68))/SUM(Data!$L:$L)+Summary!$C$26</f>
        <v>#DIV/0!</v>
      </c>
      <c r="G2" s="86" t="str">
        <f>Summary!I$1</f>
        <v/>
      </c>
      <c r="H2" s="75">
        <f>IF($G2&lt;&gt;"",INDEX(Data!$G:$G,MATCH($G2,Data!$D:$D,0)),0)</f>
        <v>0</v>
      </c>
      <c r="I2" s="76">
        <f>IF($G2&lt;&gt;"",10,0)</f>
        <v>0</v>
      </c>
      <c r="J2" s="77">
        <f>IF($G2&lt;&gt;"",INDEX(Data!$M:$M,MATCH($G2,Data!$D:$D,0)),0)</f>
        <v>0</v>
      </c>
      <c r="K2" s="87">
        <f t="shared" ref="K2:K17" si="0">PRODUCT($H2:$J2)*$O$53</f>
        <v>0</v>
      </c>
      <c r="L2" s="78">
        <f>IF($G2&lt;&gt;"",INDEX(Deltas!$E:$E,MATCH($G2,Deltas!$B:$B,0)),0)</f>
        <v>0</v>
      </c>
      <c r="M2" s="88">
        <f t="shared" ref="M2:M17" si="1">PRODUCT($H2:$J2,$L2)</f>
        <v>0</v>
      </c>
      <c r="N2" s="89" t="e">
        <f>ABS(PRODUCT($H2:$J2,$L2))/Summary!$B$4*$O$53</f>
        <v>#DIV/0!</v>
      </c>
      <c r="O2" s="79">
        <v>1</v>
      </c>
    </row>
    <row r="3" spans="1:15" ht="16.5" thickTop="1" thickBot="1" x14ac:dyDescent="0.3">
      <c r="A3" s="63" t="s">
        <v>81</v>
      </c>
      <c r="B3" s="95" t="s">
        <v>82</v>
      </c>
      <c r="C3" s="96" cm="1">
        <f t="array" ref="C3">SUMPRODUCT(($H$2:$H$68)*($I$2:$I$68)*($J$2:$J$68)*($L$2:$L$68)*($O$2:$O$68))+Summary!$B$26</f>
        <v>0</v>
      </c>
      <c r="D3" s="106" t="e" cm="1">
        <f t="array" ref="D3">SUMPRODUCT(($H$2:$H$68)*($I$2:$I$68)*($J$2:$J$68)*($L$2:$L$68)*($O$2:$O$68))/SUM(Data!$L:$L)+Summary!$C$26</f>
        <v>#DIV/0!</v>
      </c>
      <c r="G3" s="86" t="str">
        <f>Summary!J$1</f>
        <v/>
      </c>
      <c r="H3" s="75">
        <f>IF($G3&lt;&gt;"",INDEX(Data!$G:$G,MATCH($G3,Data!$D:$D,0)),0)</f>
        <v>0</v>
      </c>
      <c r="I3" s="76">
        <f t="shared" ref="I3:I17" si="2">IF($G3&lt;&gt;"",10,0)</f>
        <v>0</v>
      </c>
      <c r="J3" s="77">
        <f>IF($G3&lt;&gt;"",INDEX(Data!$M:$M,MATCH($G3,Data!$D:$D,0)),0)</f>
        <v>0</v>
      </c>
      <c r="K3" s="87">
        <f t="shared" si="0"/>
        <v>0</v>
      </c>
      <c r="L3" s="78">
        <f>IF($G3&lt;&gt;"",INDEX(Deltas!$E:$E,MATCH($G3,Deltas!$B:$B,0)),0)</f>
        <v>0</v>
      </c>
      <c r="M3" s="90">
        <f t="shared" si="1"/>
        <v>0</v>
      </c>
      <c r="N3" s="89" t="e">
        <f>ABS(PRODUCT($H3:$J3,$L3))/Summary!$B$4*$O$53</f>
        <v>#DIV/0!</v>
      </c>
      <c r="O3" s="79">
        <v>1</v>
      </c>
    </row>
    <row r="4" spans="1:15" ht="16.5" thickTop="1" thickBot="1" x14ac:dyDescent="0.3">
      <c r="A4" s="63" t="s">
        <v>83</v>
      </c>
      <c r="B4" s="95" t="s">
        <v>84</v>
      </c>
      <c r="C4" s="97">
        <f>Summary!$B6</f>
        <v>0</v>
      </c>
      <c r="D4" s="107" t="e">
        <f>Summary!$B6/SUM(Data!$L:$L)</f>
        <v>#DIV/0!</v>
      </c>
      <c r="G4" s="86" t="str">
        <f>Summary!K$1</f>
        <v/>
      </c>
      <c r="H4" s="75">
        <f>IF($G4&lt;&gt;"",INDEX(Data!$G:$G,MATCH($G4,Data!$D:$D,0)),0)</f>
        <v>0</v>
      </c>
      <c r="I4" s="76">
        <f t="shared" si="2"/>
        <v>0</v>
      </c>
      <c r="J4" s="77">
        <f>IF($G4&lt;&gt;"",INDEX(Data!$M:$M,MATCH($G4,Data!$D:$D,0)),0)</f>
        <v>0</v>
      </c>
      <c r="K4" s="87">
        <f t="shared" si="0"/>
        <v>0</v>
      </c>
      <c r="L4" s="78">
        <f>IF($G4&lt;&gt;"",INDEX(Deltas!$E:$E,MATCH($G4,Deltas!$B:$B,0)),0)</f>
        <v>0</v>
      </c>
      <c r="M4" s="88">
        <f t="shared" si="1"/>
        <v>0</v>
      </c>
      <c r="N4" s="89" t="e">
        <f>ABS(PRODUCT($H4:$J4,$L4))/Summary!$B$4*$O$53</f>
        <v>#DIV/0!</v>
      </c>
      <c r="O4" s="79">
        <v>1</v>
      </c>
    </row>
    <row r="5" spans="1:15" ht="16.5" thickTop="1" thickBot="1" x14ac:dyDescent="0.3">
      <c r="A5" s="63" t="s">
        <v>85</v>
      </c>
      <c r="B5" s="95" t="s">
        <v>86</v>
      </c>
      <c r="C5" s="98">
        <f>Summary!$B6+SUMIF(Data!$B:$B,"COLLECTIVE INVESTMENT SCHEMES",Data!$AH:$AH)</f>
        <v>0</v>
      </c>
      <c r="D5" s="107" t="e">
        <f>(Summary!$B6+SUMIF(Data!$B:$B,"COLLECTIVE INVESTMENT SCHEMES",Data!$AH:$AH))/SUM(Data!$L:$L)</f>
        <v>#DIV/0!</v>
      </c>
      <c r="G5" s="86" t="str">
        <f>Summary!L$1</f>
        <v/>
      </c>
      <c r="H5" s="75">
        <f>IF($G5&lt;&gt;"",INDEX(Data!$G:$G,MATCH($G5,Data!$D:$D,0)),0)</f>
        <v>0</v>
      </c>
      <c r="I5" s="76">
        <f t="shared" si="2"/>
        <v>0</v>
      </c>
      <c r="J5" s="77">
        <f>IF($G5&lt;&gt;"",INDEX(Data!$M:$M,MATCH($G5,Data!$D:$D,0)),0)</f>
        <v>0</v>
      </c>
      <c r="K5" s="87">
        <f t="shared" si="0"/>
        <v>0</v>
      </c>
      <c r="L5" s="78">
        <f>IF($G5&lt;&gt;"",INDEX(Deltas!$E:$E,MATCH($G5,Deltas!$B:$B,0)),0)</f>
        <v>0</v>
      </c>
      <c r="M5" s="88">
        <f t="shared" si="1"/>
        <v>0</v>
      </c>
      <c r="N5" s="89" t="e">
        <f>ABS(PRODUCT($H5:$J5,$L5))/Summary!$B$4*$O$53</f>
        <v>#DIV/0!</v>
      </c>
      <c r="O5" s="79">
        <v>1</v>
      </c>
    </row>
    <row r="6" spans="1:15" ht="15.75" thickTop="1" x14ac:dyDescent="0.25">
      <c r="B6" s="95"/>
      <c r="G6" s="86" t="str">
        <f>Summary!M$1</f>
        <v/>
      </c>
      <c r="H6" s="75">
        <f>IF($G6&lt;&gt;"",INDEX(Data!$G:$G,MATCH($G6,Data!$D:$D,0)),0)</f>
        <v>0</v>
      </c>
      <c r="I6" s="76">
        <f t="shared" si="2"/>
        <v>0</v>
      </c>
      <c r="J6" s="77">
        <f>IF($G6&lt;&gt;"",INDEX(Data!$M:$M,MATCH($G6,Data!$D:$D,0)),0)</f>
        <v>0</v>
      </c>
      <c r="K6" s="87">
        <f t="shared" si="0"/>
        <v>0</v>
      </c>
      <c r="L6" s="78">
        <f>IF($G6&lt;&gt;"",INDEX(Deltas!$E:$E,MATCH($G6,Deltas!$B:$B,0)),0)</f>
        <v>0</v>
      </c>
      <c r="M6" s="88">
        <f t="shared" si="1"/>
        <v>0</v>
      </c>
      <c r="N6" s="89" t="e">
        <f>ABS(PRODUCT($H6:$J6,$L6))/Summary!$B$4*$O$53</f>
        <v>#DIV/0!</v>
      </c>
      <c r="O6" s="79">
        <v>1</v>
      </c>
    </row>
    <row r="7" spans="1:15" x14ac:dyDescent="0.25">
      <c r="A7" s="63" t="s">
        <v>87</v>
      </c>
      <c r="B7" s="95" t="s">
        <v>88</v>
      </c>
      <c r="C7" s="108">
        <f>IF(C2=0,1,C4/C2)</f>
        <v>1</v>
      </c>
      <c r="D7" s="108" t="e">
        <f>D4-D2</f>
        <v>#DIV/0!</v>
      </c>
      <c r="E7" s="63" t="s">
        <v>89</v>
      </c>
      <c r="G7" s="86" t="str">
        <f>Summary!N$1</f>
        <v/>
      </c>
      <c r="H7" s="75">
        <f>IF($G7&lt;&gt;"",INDEX(Data!$G:$G,MATCH($G7,Data!$D:$D,0)),0)</f>
        <v>0</v>
      </c>
      <c r="I7" s="76">
        <f t="shared" si="2"/>
        <v>0</v>
      </c>
      <c r="J7" s="77">
        <f>IF($G7&lt;&gt;"",INDEX(Data!$M:$M,MATCH($G7,Data!$D:$D,0)),0)</f>
        <v>0</v>
      </c>
      <c r="K7" s="87">
        <f t="shared" si="0"/>
        <v>0</v>
      </c>
      <c r="L7" s="78">
        <f>IF($G7&lt;&gt;"",INDEX(Deltas!$E:$E,MATCH($G7,Deltas!$B:$B,0)),0)</f>
        <v>0</v>
      </c>
      <c r="M7" s="88">
        <f t="shared" si="1"/>
        <v>0</v>
      </c>
      <c r="N7" s="89" t="e">
        <f>ABS(PRODUCT($H7:$J7,$L7))/Summary!$B$4*$O$53</f>
        <v>#DIV/0!</v>
      </c>
      <c r="O7" s="79">
        <v>1</v>
      </c>
    </row>
    <row r="8" spans="1:15" x14ac:dyDescent="0.25">
      <c r="A8" s="63" t="s">
        <v>90</v>
      </c>
      <c r="B8" s="95" t="s">
        <v>91</v>
      </c>
      <c r="C8" s="99">
        <f>IF(C3=0,1,C4/C3)</f>
        <v>1</v>
      </c>
      <c r="D8" s="99" t="e">
        <f>D4-D3</f>
        <v>#DIV/0!</v>
      </c>
      <c r="E8" s="63" t="s">
        <v>92</v>
      </c>
      <c r="G8" s="86" t="str">
        <f>Summary!O$1</f>
        <v/>
      </c>
      <c r="H8" s="75">
        <f>IF($G8&lt;&gt;"",INDEX(Data!$G:$G,MATCH($G8,Data!$D:$D,0)),0)</f>
        <v>0</v>
      </c>
      <c r="I8" s="76">
        <f t="shared" si="2"/>
        <v>0</v>
      </c>
      <c r="J8" s="77">
        <f>IF($G8&lt;&gt;"",INDEX(Data!$M:$M,MATCH($G8,Data!$D:$D,0)),0)</f>
        <v>0</v>
      </c>
      <c r="K8" s="87">
        <f t="shared" si="0"/>
        <v>0</v>
      </c>
      <c r="L8" s="78">
        <f>IF($G8&lt;&gt;"",INDEX(Deltas!$E:$E,MATCH($G8,Deltas!$B:$B,0)),0)</f>
        <v>0</v>
      </c>
      <c r="M8" s="88">
        <f t="shared" si="1"/>
        <v>0</v>
      </c>
      <c r="N8" s="89" t="e">
        <f>ABS(PRODUCT($H8:$J8,$L8))/Summary!$B$4*$O$53</f>
        <v>#DIV/0!</v>
      </c>
      <c r="O8" s="79">
        <v>1</v>
      </c>
    </row>
    <row r="9" spans="1:15" x14ac:dyDescent="0.25">
      <c r="B9" s="95"/>
      <c r="C9" s="100"/>
      <c r="G9" s="86" t="str">
        <f>Summary!P$1</f>
        <v/>
      </c>
      <c r="H9" s="75">
        <f>IF($G9&lt;&gt;"",INDEX(Data!$G:$G,MATCH($G9,Data!$D:$D,0)),0)</f>
        <v>0</v>
      </c>
      <c r="I9" s="76">
        <f t="shared" si="2"/>
        <v>0</v>
      </c>
      <c r="J9" s="77">
        <f>IF($G9&lt;&gt;"",INDEX(Data!$M:$M,MATCH($G9,Data!$D:$D,0)),0)</f>
        <v>0</v>
      </c>
      <c r="K9" s="87">
        <f t="shared" si="0"/>
        <v>0</v>
      </c>
      <c r="L9" s="78">
        <f>IF($G9&lt;&gt;"",INDEX(Deltas!$E:$E,MATCH($G9,Deltas!$B:$B,0)),0)</f>
        <v>0</v>
      </c>
      <c r="M9" s="88">
        <f t="shared" si="1"/>
        <v>0</v>
      </c>
      <c r="N9" s="89" t="e">
        <f>ABS(PRODUCT($H9:$J9,$L9))/Summary!$B$4*$O$53</f>
        <v>#DIV/0!</v>
      </c>
      <c r="O9" s="79">
        <v>1</v>
      </c>
    </row>
    <row r="10" spans="1:15" x14ac:dyDescent="0.25">
      <c r="A10" s="63" t="s">
        <v>93</v>
      </c>
      <c r="B10" s="95" t="s">
        <v>94</v>
      </c>
      <c r="C10" s="108">
        <f>IF(C2=0,1,C5/C2)</f>
        <v>1</v>
      </c>
      <c r="D10" s="108" t="e">
        <f>D5-D2</f>
        <v>#DIV/0!</v>
      </c>
      <c r="E10" s="63" t="s">
        <v>95</v>
      </c>
      <c r="G10" s="86" t="str">
        <f>Summary!Q$1</f>
        <v/>
      </c>
      <c r="H10" s="75">
        <f>IF($G10&lt;&gt;"",INDEX(Data!$G:$G,MATCH($G10,Data!$D:$D,0)),0)</f>
        <v>0</v>
      </c>
      <c r="I10" s="76">
        <f t="shared" si="2"/>
        <v>0</v>
      </c>
      <c r="J10" s="77">
        <f>IF($G10&lt;&gt;"",INDEX(Data!$M:$M,MATCH($G10,Data!$D:$D,0)),0)</f>
        <v>0</v>
      </c>
      <c r="K10" s="87">
        <f t="shared" si="0"/>
        <v>0</v>
      </c>
      <c r="L10" s="78">
        <f>IF($G10&lt;&gt;"",INDEX(Deltas!$E:$E,MATCH($G10,Deltas!$B:$B,0)),0)</f>
        <v>0</v>
      </c>
      <c r="M10" s="88">
        <f t="shared" si="1"/>
        <v>0</v>
      </c>
      <c r="N10" s="89" t="e">
        <f>ABS(PRODUCT($H10:$J10,$L10))/Summary!$B$4*$O$53</f>
        <v>#DIV/0!</v>
      </c>
      <c r="O10" s="79">
        <v>1</v>
      </c>
    </row>
    <row r="11" spans="1:15" x14ac:dyDescent="0.25">
      <c r="A11" s="63" t="s">
        <v>93</v>
      </c>
      <c r="B11" s="95" t="s">
        <v>96</v>
      </c>
      <c r="C11" s="99">
        <f>IF(C3=0,1,C5/C3)</f>
        <v>1</v>
      </c>
      <c r="D11" s="99" t="e">
        <f>D5-D3</f>
        <v>#DIV/0!</v>
      </c>
      <c r="E11" s="63" t="s">
        <v>97</v>
      </c>
      <c r="G11" s="86" t="str">
        <f>Summary!R$1</f>
        <v/>
      </c>
      <c r="H11" s="75">
        <f>IF($G11&lt;&gt;"",INDEX(Data!$G:$G,MATCH($G11,Data!$D:$D,0)),0)</f>
        <v>0</v>
      </c>
      <c r="I11" s="76">
        <f t="shared" si="2"/>
        <v>0</v>
      </c>
      <c r="J11" s="77">
        <f>IF($G11&lt;&gt;"",INDEX(Data!$M:$M,MATCH($G11,Data!$D:$D,0)),0)</f>
        <v>0</v>
      </c>
      <c r="K11" s="87">
        <f t="shared" si="0"/>
        <v>0</v>
      </c>
      <c r="L11" s="78">
        <f>IF($G11&lt;&gt;"",INDEX(Deltas!$E:$E,MATCH($G11,Deltas!$B:$B,0)),0)</f>
        <v>0</v>
      </c>
      <c r="M11" s="88">
        <f t="shared" si="1"/>
        <v>0</v>
      </c>
      <c r="N11" s="89" t="e">
        <f>ABS(PRODUCT($H11:$J11,$L11))/Summary!$B$4*$O$53</f>
        <v>#DIV/0!</v>
      </c>
      <c r="O11" s="79">
        <v>1</v>
      </c>
    </row>
    <row r="12" spans="1:15" x14ac:dyDescent="0.25">
      <c r="G12" s="86" t="str">
        <f>Summary!S$1</f>
        <v/>
      </c>
      <c r="H12" s="75">
        <f>IF($G12&lt;&gt;"",INDEX(Data!$G:$G,MATCH($G12,Data!$D:$D,0)),0)</f>
        <v>0</v>
      </c>
      <c r="I12" s="76">
        <f t="shared" si="2"/>
        <v>0</v>
      </c>
      <c r="J12" s="77">
        <f>IF($G12&lt;&gt;"",INDEX(Data!$M:$M,MATCH($G12,Data!$D:$D,0)),0)</f>
        <v>0</v>
      </c>
      <c r="K12" s="87">
        <f t="shared" si="0"/>
        <v>0</v>
      </c>
      <c r="L12" s="78">
        <f>IF($G12&lt;&gt;"",INDEX(Deltas!$E:$E,MATCH($G12,Deltas!$B:$B,0)),0)</f>
        <v>0</v>
      </c>
      <c r="M12" s="88">
        <f t="shared" si="1"/>
        <v>0</v>
      </c>
      <c r="N12" s="89" t="e">
        <f>ABS(PRODUCT($H12:$J12,$L12))/Summary!$B$4*$O$53</f>
        <v>#DIV/0!</v>
      </c>
      <c r="O12" s="79">
        <v>1</v>
      </c>
    </row>
    <row r="13" spans="1:15" x14ac:dyDescent="0.25">
      <c r="G13" s="86" t="str">
        <f>Summary!T$1</f>
        <v/>
      </c>
      <c r="H13" s="75">
        <f>IF($G13&lt;&gt;"",INDEX(Data!$G:$G,MATCH($G13,Data!$D:$D,0)),0)</f>
        <v>0</v>
      </c>
      <c r="I13" s="76">
        <f t="shared" si="2"/>
        <v>0</v>
      </c>
      <c r="J13" s="77">
        <f>IF($G13&lt;&gt;"",INDEX(Data!$M:$M,MATCH($G13,Data!$D:$D,0)),0)</f>
        <v>0</v>
      </c>
      <c r="K13" s="87">
        <f t="shared" si="0"/>
        <v>0</v>
      </c>
      <c r="L13" s="78">
        <f>IF($G13&lt;&gt;"",INDEX(Deltas!$E:$E,MATCH($G13,Deltas!$B:$B,0)),0)</f>
        <v>0</v>
      </c>
      <c r="M13" s="88">
        <f t="shared" si="1"/>
        <v>0</v>
      </c>
      <c r="N13" s="89" t="e">
        <f>ABS(PRODUCT($H13:$J13,$L13))/Summary!$B$4*$O$53</f>
        <v>#DIV/0!</v>
      </c>
      <c r="O13" s="79">
        <v>1</v>
      </c>
    </row>
    <row r="14" spans="1:15" x14ac:dyDescent="0.25">
      <c r="G14" s="86" t="str">
        <f>Summary!U$1</f>
        <v/>
      </c>
      <c r="H14" s="75">
        <f>IF($G14&lt;&gt;"",INDEX(Data!$G:$G,MATCH($G14,Data!$D:$D,0)),0)</f>
        <v>0</v>
      </c>
      <c r="I14" s="76">
        <f t="shared" si="2"/>
        <v>0</v>
      </c>
      <c r="J14" s="77">
        <f>IF($G14&lt;&gt;"",INDEX(Data!$M:$M,MATCH($G14,Data!$D:$D,0)),0)</f>
        <v>0</v>
      </c>
      <c r="K14" s="87">
        <f t="shared" si="0"/>
        <v>0</v>
      </c>
      <c r="L14" s="78">
        <f>IF($G14&lt;&gt;"",INDEX(Deltas!$E:$E,MATCH($G14,Deltas!$B:$B,0)),0)</f>
        <v>0</v>
      </c>
      <c r="M14" s="88">
        <f t="shared" si="1"/>
        <v>0</v>
      </c>
      <c r="N14" s="89" t="e">
        <f>ABS(PRODUCT($H14:$J14,$L14))/Summary!$B$4*$O$53</f>
        <v>#DIV/0!</v>
      </c>
      <c r="O14" s="79">
        <v>1</v>
      </c>
    </row>
    <row r="15" spans="1:15" x14ac:dyDescent="0.25">
      <c r="G15" s="86" t="str">
        <f>Summary!V$1</f>
        <v/>
      </c>
      <c r="H15" s="75">
        <f>IF($G15&lt;&gt;"",INDEX(Data!$G:$G,MATCH($G15,Data!$D:$D,0)),0)</f>
        <v>0</v>
      </c>
      <c r="I15" s="76">
        <f t="shared" si="2"/>
        <v>0</v>
      </c>
      <c r="J15" s="77">
        <f>IF($G15&lt;&gt;"",INDEX(Data!$M:$M,MATCH($G15,Data!$D:$D,0)),0)</f>
        <v>0</v>
      </c>
      <c r="K15" s="87">
        <f t="shared" si="0"/>
        <v>0</v>
      </c>
      <c r="L15" s="78">
        <f>IF($G15&lt;&gt;"",INDEX(Deltas!$E:$E,MATCH($G15,Deltas!$B:$B,0)),0)</f>
        <v>0</v>
      </c>
      <c r="M15" s="88">
        <f t="shared" si="1"/>
        <v>0</v>
      </c>
      <c r="N15" s="89" t="e">
        <f>ABS(PRODUCT($H15:$J15,$L15))/Summary!$B$4*$O$53</f>
        <v>#DIV/0!</v>
      </c>
      <c r="O15" s="79">
        <v>1</v>
      </c>
    </row>
    <row r="16" spans="1:15" x14ac:dyDescent="0.25">
      <c r="G16" s="86" t="str">
        <f>Summary!W$1</f>
        <v/>
      </c>
      <c r="H16" s="75">
        <f>IF($G16&lt;&gt;"",INDEX(Data!$G:$G,MATCH($G16,Data!$D:$D,0)),0)</f>
        <v>0</v>
      </c>
      <c r="I16" s="76">
        <f t="shared" si="2"/>
        <v>0</v>
      </c>
      <c r="J16" s="77">
        <f>IF($G16&lt;&gt;"",INDEX(Data!$M:$M,MATCH($G16,Data!$D:$D,0)),0)</f>
        <v>0</v>
      </c>
      <c r="K16" s="87">
        <f t="shared" si="0"/>
        <v>0</v>
      </c>
      <c r="L16" s="78">
        <f>IF($G16&lt;&gt;"",INDEX(Deltas!$E:$E,MATCH($G16,Deltas!$B:$B,0)),0)</f>
        <v>0</v>
      </c>
      <c r="M16" s="88">
        <f t="shared" si="1"/>
        <v>0</v>
      </c>
      <c r="N16" s="89" t="e">
        <f>ABS(PRODUCT($H16:$J16,$L16))/Summary!$B$4*$O$53</f>
        <v>#DIV/0!</v>
      </c>
      <c r="O16" s="79">
        <v>1</v>
      </c>
    </row>
    <row r="17" spans="7:16" x14ac:dyDescent="0.25">
      <c r="G17" s="86" t="str">
        <f>Summary!X$1</f>
        <v/>
      </c>
      <c r="H17" s="75">
        <f>IF($G17&lt;&gt;"",INDEX(Data!$G:$G,MATCH($G17,Data!$D:$D,0)),0)</f>
        <v>0</v>
      </c>
      <c r="I17" s="76">
        <f t="shared" si="2"/>
        <v>0</v>
      </c>
      <c r="J17" s="77">
        <f>IF($G17&lt;&gt;"",INDEX(Data!$M:$M,MATCH($G17,Data!$D:$D,0)),0)</f>
        <v>0</v>
      </c>
      <c r="K17" s="87">
        <f t="shared" si="0"/>
        <v>0</v>
      </c>
      <c r="L17" s="78">
        <f>IF($G17&lt;&gt;"",INDEX(Deltas!$E:$E,MATCH($G17,Deltas!$B:$B,0)),0)</f>
        <v>0</v>
      </c>
      <c r="M17" s="88">
        <f t="shared" si="1"/>
        <v>0</v>
      </c>
      <c r="N17" s="89" t="e">
        <f>ABS(PRODUCT($H17:$J17,$L17))/Summary!$B$4*$O$53</f>
        <v>#DIV/0!</v>
      </c>
      <c r="O17" s="79">
        <v>1</v>
      </c>
    </row>
    <row r="18" spans="7:16" x14ac:dyDescent="0.25">
      <c r="G18" s="37" t="str">
        <f>"Swaps ("&amp;COUNTIF(Data!$C:$C,"Swaps")&amp;")"</f>
        <v>Swaps (0)</v>
      </c>
      <c r="H18" s="80"/>
      <c r="I18" s="81"/>
      <c r="J18" s="82"/>
      <c r="K18" s="91"/>
      <c r="L18" s="83"/>
      <c r="M18" s="92"/>
      <c r="N18" s="93"/>
      <c r="O18" s="84"/>
      <c r="P18" s="84"/>
    </row>
    <row r="19" spans="7:16" x14ac:dyDescent="0.25">
      <c r="G19" s="86" t="str">
        <f>Summary!I$16</f>
        <v/>
      </c>
      <c r="H19" s="85">
        <f>IF($G19&lt;&gt;"",INDEX(Data!$G:$G,MATCH($G19,Data!$D:$D,0)),0)</f>
        <v>0</v>
      </c>
      <c r="I19" s="76">
        <f>IF($G19&lt;&gt;"",1,0)</f>
        <v>0</v>
      </c>
      <c r="J19" s="77">
        <f>IF($G19&lt;&gt;"",INDEX(Data!$M:$M,MATCH($G19,Data!$D:$D,0)),0)/100</f>
        <v>0</v>
      </c>
      <c r="K19" s="87">
        <f t="shared" ref="K19:K34" si="3">PRODUCT($H19,$J19)*$O$53</f>
        <v>0</v>
      </c>
      <c r="L19" s="78">
        <f>IF($G19&lt;&gt;"",1,0)</f>
        <v>0</v>
      </c>
      <c r="M19" s="88">
        <f>PRODUCT($H19,$J19,$L19)</f>
        <v>0</v>
      </c>
      <c r="N19" s="89" t="e">
        <f>ABS(PRODUCT($H19:$J19,$L19))/Summary!$B$4*$O$53</f>
        <v>#DIV/0!</v>
      </c>
      <c r="O19" s="79">
        <v>1</v>
      </c>
    </row>
    <row r="20" spans="7:16" x14ac:dyDescent="0.25">
      <c r="G20" s="86" t="str">
        <f>Summary!J$16</f>
        <v/>
      </c>
      <c r="H20" s="75">
        <f>IF($G20&lt;&gt;"",INDEX(Data!$G:$G,MATCH($G20,Data!$D:$D,0)),0)</f>
        <v>0</v>
      </c>
      <c r="I20" s="76">
        <f t="shared" ref="I20:I34" si="4">IF($G20&lt;&gt;"",1,0)</f>
        <v>0</v>
      </c>
      <c r="J20" s="77">
        <f>IF($G20&lt;&gt;"",INDEX(Data!$M:$M,MATCH($G20,Data!$D:$D,0)),0)/100</f>
        <v>0</v>
      </c>
      <c r="K20" s="87">
        <f t="shared" si="3"/>
        <v>0</v>
      </c>
      <c r="L20" s="78">
        <f t="shared" ref="L20:L34" si="5">IF($G20&lt;&gt;"",1,0)</f>
        <v>0</v>
      </c>
      <c r="M20" s="88">
        <f>PRODUCT($H20,$J20,$L20)</f>
        <v>0</v>
      </c>
      <c r="N20" s="89" t="e">
        <f>ABS(PRODUCT($H20:$J20,$L20))/Summary!$B$4*$O$53</f>
        <v>#DIV/0!</v>
      </c>
      <c r="O20" s="79">
        <v>1</v>
      </c>
    </row>
    <row r="21" spans="7:16" x14ac:dyDescent="0.25">
      <c r="G21" s="86" t="str">
        <f>Summary!K$16</f>
        <v/>
      </c>
      <c r="H21" s="75">
        <f>IF($G21&lt;&gt;"",INDEX(Data!$G:$G,MATCH($G21,Data!$D:$D,0)),0)</f>
        <v>0</v>
      </c>
      <c r="I21" s="76">
        <f t="shared" si="4"/>
        <v>0</v>
      </c>
      <c r="J21" s="77">
        <f>IF($G21&lt;&gt;"",INDEX(Data!$M:$M,MATCH($G21,Data!$D:$D,0)),0)/100</f>
        <v>0</v>
      </c>
      <c r="K21" s="87">
        <f t="shared" si="3"/>
        <v>0</v>
      </c>
      <c r="L21" s="78">
        <f t="shared" si="5"/>
        <v>0</v>
      </c>
      <c r="M21" s="88">
        <f>PRODUCT($H21,$J21,$L21)</f>
        <v>0</v>
      </c>
      <c r="N21" s="89" t="e">
        <f>ABS(PRODUCT($H21:$J21,$L21))/Summary!$B$4*$O$53</f>
        <v>#DIV/0!</v>
      </c>
      <c r="O21" s="79">
        <v>1</v>
      </c>
    </row>
    <row r="22" spans="7:16" x14ac:dyDescent="0.25">
      <c r="G22" s="86" t="str">
        <f>Summary!L$16</f>
        <v/>
      </c>
      <c r="H22" s="75">
        <f>IF($G22&lt;&gt;"",INDEX(Data!$G:$G,MATCH($G22,Data!$D:$D,0)),0)</f>
        <v>0</v>
      </c>
      <c r="I22" s="76">
        <f t="shared" si="4"/>
        <v>0</v>
      </c>
      <c r="J22" s="77">
        <f>IF($G22&lt;&gt;"",INDEX(Data!$M:$M,MATCH($G22,Data!$D:$D,0)),0)/100</f>
        <v>0</v>
      </c>
      <c r="K22" s="87">
        <f t="shared" si="3"/>
        <v>0</v>
      </c>
      <c r="L22" s="78">
        <f t="shared" si="5"/>
        <v>0</v>
      </c>
      <c r="M22" s="88">
        <f t="shared" ref="M22:M34" si="6">PRODUCT($H22:$J22,$L22)</f>
        <v>0</v>
      </c>
      <c r="N22" s="89" t="e">
        <f>ABS(PRODUCT($H22:$J22,$L22))/Summary!$B$4*$O$53</f>
        <v>#DIV/0!</v>
      </c>
      <c r="O22" s="79">
        <v>1</v>
      </c>
    </row>
    <row r="23" spans="7:16" x14ac:dyDescent="0.25">
      <c r="G23" s="86" t="str">
        <f>Summary!M$16</f>
        <v/>
      </c>
      <c r="H23" s="75">
        <f>IF($G23&lt;&gt;"",INDEX(Data!$G:$G,MATCH($G23,Data!$D:$D,0)),0)</f>
        <v>0</v>
      </c>
      <c r="I23" s="76">
        <f t="shared" si="4"/>
        <v>0</v>
      </c>
      <c r="J23" s="77">
        <f>IF($G23&lt;&gt;"",INDEX(Data!$M:$M,MATCH($G23,Data!$D:$D,0)),0)/100</f>
        <v>0</v>
      </c>
      <c r="K23" s="87">
        <f t="shared" si="3"/>
        <v>0</v>
      </c>
      <c r="L23" s="78">
        <f t="shared" si="5"/>
        <v>0</v>
      </c>
      <c r="M23" s="88">
        <f t="shared" si="6"/>
        <v>0</v>
      </c>
      <c r="N23" s="89" t="e">
        <f>ABS(PRODUCT($H23:$J23,$L23))/Summary!$B$4*$O$53</f>
        <v>#DIV/0!</v>
      </c>
      <c r="O23" s="79">
        <v>1</v>
      </c>
    </row>
    <row r="24" spans="7:16" x14ac:dyDescent="0.25">
      <c r="G24" s="86" t="str">
        <f>Summary!N$16</f>
        <v/>
      </c>
      <c r="H24" s="75">
        <f>IF($G24&lt;&gt;"",INDEX(Data!$G:$G,MATCH($G24,Data!$D:$D,0)),0)</f>
        <v>0</v>
      </c>
      <c r="I24" s="76">
        <f t="shared" si="4"/>
        <v>0</v>
      </c>
      <c r="J24" s="77">
        <f>IF($G24&lt;&gt;"",INDEX(Data!$M:$M,MATCH($G24,Data!$D:$D,0)),0)/100</f>
        <v>0</v>
      </c>
      <c r="K24" s="87">
        <f t="shared" si="3"/>
        <v>0</v>
      </c>
      <c r="L24" s="78">
        <f t="shared" si="5"/>
        <v>0</v>
      </c>
      <c r="M24" s="88">
        <f t="shared" si="6"/>
        <v>0</v>
      </c>
      <c r="N24" s="89" t="e">
        <f>ABS(PRODUCT($H24:$J24,$L24))/Summary!$B$4*$O$53</f>
        <v>#DIV/0!</v>
      </c>
      <c r="O24" s="79">
        <v>1</v>
      </c>
    </row>
    <row r="25" spans="7:16" x14ac:dyDescent="0.25">
      <c r="G25" s="86" t="str">
        <f>Summary!O$16</f>
        <v/>
      </c>
      <c r="H25" s="75">
        <f>IF($G25&lt;&gt;"",INDEX(Data!$G:$G,MATCH($G25,Data!$D:$D,0)),0)</f>
        <v>0</v>
      </c>
      <c r="I25" s="76">
        <f t="shared" si="4"/>
        <v>0</v>
      </c>
      <c r="J25" s="77">
        <f>IF($G25&lt;&gt;"",INDEX(Data!$M:$M,MATCH($G25,Data!$D:$D,0)),0)/100</f>
        <v>0</v>
      </c>
      <c r="K25" s="87">
        <f t="shared" si="3"/>
        <v>0</v>
      </c>
      <c r="L25" s="78">
        <f t="shared" si="5"/>
        <v>0</v>
      </c>
      <c r="M25" s="88">
        <f t="shared" si="6"/>
        <v>0</v>
      </c>
      <c r="N25" s="89" t="e">
        <f>ABS(PRODUCT($H25:$J25,$L25))/Summary!$B$4*$O$53</f>
        <v>#DIV/0!</v>
      </c>
      <c r="O25" s="79">
        <v>1</v>
      </c>
    </row>
    <row r="26" spans="7:16" x14ac:dyDescent="0.25">
      <c r="G26" s="86" t="str">
        <f>Summary!P$16</f>
        <v/>
      </c>
      <c r="H26" s="75">
        <f>IF($G26&lt;&gt;"",INDEX(Data!$G:$G,MATCH($G26,Data!$D:$D,0)),0)</f>
        <v>0</v>
      </c>
      <c r="I26" s="76">
        <f t="shared" si="4"/>
        <v>0</v>
      </c>
      <c r="J26" s="77">
        <f>IF($G26&lt;&gt;"",INDEX(Data!$M:$M,MATCH($G26,Data!$D:$D,0)),0)/100</f>
        <v>0</v>
      </c>
      <c r="K26" s="87">
        <f t="shared" si="3"/>
        <v>0</v>
      </c>
      <c r="L26" s="78">
        <f t="shared" si="5"/>
        <v>0</v>
      </c>
      <c r="M26" s="88">
        <f t="shared" si="6"/>
        <v>0</v>
      </c>
      <c r="N26" s="89" t="e">
        <f>ABS(PRODUCT($H26:$J26,$L26))/Summary!$B$4*$O$53</f>
        <v>#DIV/0!</v>
      </c>
      <c r="O26" s="79">
        <v>1</v>
      </c>
    </row>
    <row r="27" spans="7:16" x14ac:dyDescent="0.25">
      <c r="G27" s="86" t="str">
        <f>Summary!Q$16</f>
        <v/>
      </c>
      <c r="H27" s="75">
        <f>IF($G27&lt;&gt;"",INDEX(Data!$G:$G,MATCH($G27,Data!$D:$D,0)),0)</f>
        <v>0</v>
      </c>
      <c r="I27" s="76">
        <f t="shared" si="4"/>
        <v>0</v>
      </c>
      <c r="J27" s="77">
        <f>IF($G27&lt;&gt;"",INDEX(Data!$M:$M,MATCH($G27,Data!$D:$D,0)),0)/100</f>
        <v>0</v>
      </c>
      <c r="K27" s="87">
        <f t="shared" si="3"/>
        <v>0</v>
      </c>
      <c r="L27" s="78">
        <f t="shared" si="5"/>
        <v>0</v>
      </c>
      <c r="M27" s="88">
        <f t="shared" si="6"/>
        <v>0</v>
      </c>
      <c r="N27" s="89" t="e">
        <f>ABS(PRODUCT($H27:$J27,$L27))/Summary!$B$4*$O$53</f>
        <v>#DIV/0!</v>
      </c>
      <c r="O27" s="79">
        <v>1</v>
      </c>
    </row>
    <row r="28" spans="7:16" x14ac:dyDescent="0.25">
      <c r="G28" s="86" t="str">
        <f>Summary!R$16</f>
        <v/>
      </c>
      <c r="H28" s="75">
        <f>IF($G28&lt;&gt;"",INDEX(Data!$G:$G,MATCH($G28,Data!$D:$D,0)),0)</f>
        <v>0</v>
      </c>
      <c r="I28" s="76">
        <f t="shared" si="4"/>
        <v>0</v>
      </c>
      <c r="J28" s="77">
        <f>IF($G28&lt;&gt;"",INDEX(Data!$M:$M,MATCH($G28,Data!$D:$D,0)),0)/100</f>
        <v>0</v>
      </c>
      <c r="K28" s="87">
        <f t="shared" si="3"/>
        <v>0</v>
      </c>
      <c r="L28" s="78">
        <f t="shared" si="5"/>
        <v>0</v>
      </c>
      <c r="M28" s="88">
        <f t="shared" si="6"/>
        <v>0</v>
      </c>
      <c r="N28" s="89" t="e">
        <f>ABS(PRODUCT($H28:$J28,$L28))/Summary!$B$4*$O$53</f>
        <v>#DIV/0!</v>
      </c>
      <c r="O28" s="79">
        <v>1</v>
      </c>
    </row>
    <row r="29" spans="7:16" x14ac:dyDescent="0.25">
      <c r="G29" s="86" t="str">
        <f>Summary!S$16</f>
        <v/>
      </c>
      <c r="H29" s="75">
        <f>IF($G29&lt;&gt;"",INDEX(Data!$G:$G,MATCH($G29,Data!$D:$D,0)),0)</f>
        <v>0</v>
      </c>
      <c r="I29" s="76">
        <f t="shared" si="4"/>
        <v>0</v>
      </c>
      <c r="J29" s="77">
        <f>IF($G29&lt;&gt;"",INDEX(Data!$M:$M,MATCH($G29,Data!$D:$D,0)),0)/100</f>
        <v>0</v>
      </c>
      <c r="K29" s="87">
        <f t="shared" si="3"/>
        <v>0</v>
      </c>
      <c r="L29" s="78">
        <f t="shared" si="5"/>
        <v>0</v>
      </c>
      <c r="M29" s="88">
        <f t="shared" si="6"/>
        <v>0</v>
      </c>
      <c r="N29" s="89" t="e">
        <f>ABS(PRODUCT($H29:$J29,$L29))/Summary!$B$4*$O$53</f>
        <v>#DIV/0!</v>
      </c>
      <c r="O29" s="79">
        <v>1</v>
      </c>
    </row>
    <row r="30" spans="7:16" x14ac:dyDescent="0.25">
      <c r="G30" s="86" t="str">
        <f>Summary!T$16</f>
        <v/>
      </c>
      <c r="H30" s="75">
        <f>IF($G30&lt;&gt;"",INDEX(Data!$G:$G,MATCH($G30,Data!$D:$D,0)),0)</f>
        <v>0</v>
      </c>
      <c r="I30" s="76">
        <f t="shared" si="4"/>
        <v>0</v>
      </c>
      <c r="J30" s="77">
        <f>IF($G30&lt;&gt;"",INDEX(Data!$M:$M,MATCH($G30,Data!$D:$D,0)),0)/100</f>
        <v>0</v>
      </c>
      <c r="K30" s="87">
        <f t="shared" si="3"/>
        <v>0</v>
      </c>
      <c r="L30" s="78">
        <f t="shared" si="5"/>
        <v>0</v>
      </c>
      <c r="M30" s="88">
        <f t="shared" si="6"/>
        <v>0</v>
      </c>
      <c r="N30" s="89" t="e">
        <f>ABS(PRODUCT($H30:$J30,$L30))/Summary!$B$4*$O$53</f>
        <v>#DIV/0!</v>
      </c>
      <c r="O30" s="79">
        <v>1</v>
      </c>
    </row>
    <row r="31" spans="7:16" x14ac:dyDescent="0.25">
      <c r="G31" s="86" t="str">
        <f>Summary!U$16</f>
        <v/>
      </c>
      <c r="H31" s="75">
        <f>IF($G31&lt;&gt;"",INDEX(Data!$G:$G,MATCH($G31,Data!$D:$D,0)),0)</f>
        <v>0</v>
      </c>
      <c r="I31" s="76">
        <f t="shared" si="4"/>
        <v>0</v>
      </c>
      <c r="J31" s="77">
        <f>IF($G31&lt;&gt;"",INDEX(Data!$M:$M,MATCH($G31,Data!$D:$D,0)),0)/100</f>
        <v>0</v>
      </c>
      <c r="K31" s="87">
        <f t="shared" si="3"/>
        <v>0</v>
      </c>
      <c r="L31" s="78">
        <f t="shared" si="5"/>
        <v>0</v>
      </c>
      <c r="M31" s="88">
        <f t="shared" si="6"/>
        <v>0</v>
      </c>
      <c r="N31" s="89" t="e">
        <f>ABS(PRODUCT($H31:$J31,$L31))/Summary!$B$4*$O$53</f>
        <v>#DIV/0!</v>
      </c>
      <c r="O31" s="79">
        <v>1</v>
      </c>
    </row>
    <row r="32" spans="7:16" x14ac:dyDescent="0.25">
      <c r="G32" s="86" t="str">
        <f>Summary!V$16</f>
        <v/>
      </c>
      <c r="H32" s="75">
        <f>IF($G32&lt;&gt;"",INDEX(Data!$G:$G,MATCH($G32,Data!$D:$D,0)),0)</f>
        <v>0</v>
      </c>
      <c r="I32" s="76">
        <f t="shared" si="4"/>
        <v>0</v>
      </c>
      <c r="J32" s="77">
        <f>IF($G32&lt;&gt;"",INDEX(Data!$M:$M,MATCH($G32,Data!$D:$D,0)),0)/100</f>
        <v>0</v>
      </c>
      <c r="K32" s="87">
        <f t="shared" si="3"/>
        <v>0</v>
      </c>
      <c r="L32" s="78">
        <f t="shared" si="5"/>
        <v>0</v>
      </c>
      <c r="M32" s="88">
        <f t="shared" si="6"/>
        <v>0</v>
      </c>
      <c r="N32" s="89" t="e">
        <f>ABS(PRODUCT($H32:$J32,$L32))/Summary!$B$4*$O$53</f>
        <v>#DIV/0!</v>
      </c>
      <c r="O32" s="79">
        <v>1</v>
      </c>
    </row>
    <row r="33" spans="7:15" x14ac:dyDescent="0.25">
      <c r="G33" s="86" t="str">
        <f>Summary!W$16</f>
        <v/>
      </c>
      <c r="H33" s="75">
        <f>IF($G33&lt;&gt;"",INDEX(Data!$G:$G,MATCH($G33,Data!$D:$D,0)),0)</f>
        <v>0</v>
      </c>
      <c r="I33" s="76">
        <f t="shared" si="4"/>
        <v>0</v>
      </c>
      <c r="J33" s="77">
        <f>IF($G33&lt;&gt;"",INDEX(Data!$M:$M,MATCH($G33,Data!$D:$D,0)),0)/100</f>
        <v>0</v>
      </c>
      <c r="K33" s="87">
        <f t="shared" si="3"/>
        <v>0</v>
      </c>
      <c r="L33" s="78">
        <f t="shared" si="5"/>
        <v>0</v>
      </c>
      <c r="M33" s="88">
        <f t="shared" si="6"/>
        <v>0</v>
      </c>
      <c r="N33" s="89" t="e">
        <f>ABS(PRODUCT($H33:$J33,$L33))/Summary!$B$4*$O$53</f>
        <v>#DIV/0!</v>
      </c>
      <c r="O33" s="79">
        <v>1</v>
      </c>
    </row>
    <row r="34" spans="7:15" x14ac:dyDescent="0.25">
      <c r="G34" s="86" t="str">
        <f>Summary!X$16</f>
        <v/>
      </c>
      <c r="H34" s="75">
        <f>IF($G34&lt;&gt;"",INDEX(Data!$G:$G,MATCH($G34,Data!$D:$D,0)),0)</f>
        <v>0</v>
      </c>
      <c r="I34" s="76">
        <f t="shared" si="4"/>
        <v>0</v>
      </c>
      <c r="J34" s="77">
        <f>IF($G34&lt;&gt;"",INDEX(Data!$M:$M,MATCH($G34,Data!$D:$D,0)),0)/100</f>
        <v>0</v>
      </c>
      <c r="K34" s="87">
        <f t="shared" si="3"/>
        <v>0</v>
      </c>
      <c r="L34" s="78">
        <f t="shared" si="5"/>
        <v>0</v>
      </c>
      <c r="M34" s="88">
        <f t="shared" si="6"/>
        <v>0</v>
      </c>
      <c r="N34" s="89" t="e">
        <f>ABS(PRODUCT($H34:$J34,$L34))/Summary!$B$4*$O$53</f>
        <v>#DIV/0!</v>
      </c>
      <c r="O34" s="79">
        <v>1</v>
      </c>
    </row>
    <row r="35" spans="7:15" x14ac:dyDescent="0.25">
      <c r="G35" s="37" t="str">
        <f>"Bond Derivatives ("&amp;COUNTIF(Data!$C:$C,"Bond Derivatives")&amp;")"</f>
        <v>Bond Derivatives (0)</v>
      </c>
    </row>
    <row r="36" spans="7:15" x14ac:dyDescent="0.25">
      <c r="G36" s="86" t="str">
        <f>Summary!I$7</f>
        <v/>
      </c>
      <c r="H36" s="75">
        <f>IF($G36&lt;&gt;"",INDEX(Data!$G:$G,MATCH($G36,Data!$D:$D,0)),0)</f>
        <v>0</v>
      </c>
      <c r="I36" s="76">
        <f>IF($G36&lt;&gt;"",10,0)</f>
        <v>0</v>
      </c>
      <c r="J36" s="77">
        <f>IF($G36&lt;&gt;"",INDEX(Data!$M:$M,MATCH($G36,Data!$D:$D,0)),0)</f>
        <v>0</v>
      </c>
      <c r="K36" s="87">
        <f t="shared" ref="K36:K51" si="7">PRODUCT($H36:$J36)*$O$53</f>
        <v>0</v>
      </c>
      <c r="L36" s="78">
        <f>IF($G36&lt;&gt;"",INDEX(Deltas!$E:$E,MATCH($G36,Deltas!$B:$B,0)),0)</f>
        <v>0</v>
      </c>
      <c r="M36" s="88">
        <f t="shared" ref="M36:M51" si="8">PRODUCT($H36:$J36,$L36)*$O$53</f>
        <v>0</v>
      </c>
      <c r="N36" s="89" t="e">
        <f>ABS(PRODUCT($H36:$J36,$L36))/Summary!$B$4*$O$53</f>
        <v>#DIV/0!</v>
      </c>
      <c r="O36" s="79">
        <v>1</v>
      </c>
    </row>
    <row r="37" spans="7:15" x14ac:dyDescent="0.25">
      <c r="G37" s="86" t="str">
        <f>Summary!J$7</f>
        <v/>
      </c>
      <c r="H37" s="75">
        <f>IF($G37&lt;&gt;"",INDEX(Data!$G:$G,MATCH($G37,Data!$D:$D,0)),0)</f>
        <v>0</v>
      </c>
      <c r="I37" s="76">
        <f t="shared" ref="I37:I51" si="9">IF($G37&lt;&gt;"",10,0)</f>
        <v>0</v>
      </c>
      <c r="J37" s="77">
        <f>IF($G37&lt;&gt;"",INDEX(Data!$M:$M,MATCH($G37,Data!$D:$D,0)),0)</f>
        <v>0</v>
      </c>
      <c r="K37" s="87">
        <f t="shared" si="7"/>
        <v>0</v>
      </c>
      <c r="L37" s="78">
        <f>IF($G37&lt;&gt;"",INDEX(Deltas!$E:$E,MATCH($G37,Deltas!$B:$B,0)),0)</f>
        <v>0</v>
      </c>
      <c r="M37" s="88">
        <f t="shared" si="8"/>
        <v>0</v>
      </c>
      <c r="N37" s="89" t="e">
        <f>ABS(PRODUCT($H37:$J37,$L37))/Summary!$B$4*$O$53</f>
        <v>#DIV/0!</v>
      </c>
      <c r="O37" s="79">
        <v>1</v>
      </c>
    </row>
    <row r="38" spans="7:15" x14ac:dyDescent="0.25">
      <c r="G38" s="86" t="str">
        <f>Summary!K$7</f>
        <v/>
      </c>
      <c r="H38" s="75">
        <f>IF($G38&lt;&gt;"",INDEX(Data!$G:$G,MATCH($G38,Data!$D:$D,0)),0)</f>
        <v>0</v>
      </c>
      <c r="I38" s="76">
        <f t="shared" si="9"/>
        <v>0</v>
      </c>
      <c r="J38" s="77">
        <f>IF($G38&lt;&gt;"",INDEX(Data!$M:$M,MATCH($G38,Data!$D:$D,0)),0)</f>
        <v>0</v>
      </c>
      <c r="K38" s="87">
        <f t="shared" si="7"/>
        <v>0</v>
      </c>
      <c r="L38" s="78">
        <f>IF($G38&lt;&gt;"",INDEX(Deltas!$E:$E,MATCH($G38,Deltas!$B:$B,0)),0)</f>
        <v>0</v>
      </c>
      <c r="M38" s="88">
        <f t="shared" si="8"/>
        <v>0</v>
      </c>
      <c r="N38" s="89" t="e">
        <f>ABS(PRODUCT($H38:$J38,$L38))/Summary!$B$4*$O$53</f>
        <v>#DIV/0!</v>
      </c>
      <c r="O38" s="79">
        <v>1</v>
      </c>
    </row>
    <row r="39" spans="7:15" x14ac:dyDescent="0.25">
      <c r="G39" s="86" t="str">
        <f>Summary!L$7</f>
        <v/>
      </c>
      <c r="H39" s="75">
        <f>IF($G39&lt;&gt;"",INDEX(Data!$G:$G,MATCH($G39,Data!$D:$D,0)),0)</f>
        <v>0</v>
      </c>
      <c r="I39" s="76">
        <f t="shared" si="9"/>
        <v>0</v>
      </c>
      <c r="J39" s="77">
        <f>IF($G39&lt;&gt;"",INDEX(Data!$M:$M,MATCH($G39,Data!$D:$D,0)),0)</f>
        <v>0</v>
      </c>
      <c r="K39" s="87">
        <f t="shared" si="7"/>
        <v>0</v>
      </c>
      <c r="L39" s="78">
        <f>IF($G39&lt;&gt;"",INDEX(Deltas!$E:$E,MATCH($G39,Deltas!$B:$B,0)),0)</f>
        <v>0</v>
      </c>
      <c r="M39" s="88">
        <f t="shared" si="8"/>
        <v>0</v>
      </c>
      <c r="N39" s="89" t="e">
        <f>ABS(PRODUCT($H39:$J39,$L39))/Summary!$B$4*$O$53</f>
        <v>#DIV/0!</v>
      </c>
      <c r="O39" s="79">
        <v>1</v>
      </c>
    </row>
    <row r="40" spans="7:15" x14ac:dyDescent="0.25">
      <c r="G40" s="86" t="str">
        <f>Summary!M$7</f>
        <v/>
      </c>
      <c r="H40" s="75">
        <f>IF($G40&lt;&gt;"",INDEX(Data!$G:$G,MATCH($G40,Data!$D:$D,0)),0)</f>
        <v>0</v>
      </c>
      <c r="I40" s="76">
        <f t="shared" si="9"/>
        <v>0</v>
      </c>
      <c r="J40" s="77">
        <f>IF($G40&lt;&gt;"",INDEX(Data!$M:$M,MATCH($G40,Data!$D:$D,0)),0)</f>
        <v>0</v>
      </c>
      <c r="K40" s="87">
        <f t="shared" si="7"/>
        <v>0</v>
      </c>
      <c r="L40" s="78">
        <f>IF($G40&lt;&gt;"",INDEX(Deltas!$E:$E,MATCH($G40,Deltas!$B:$B,0)),0)</f>
        <v>0</v>
      </c>
      <c r="M40" s="88">
        <f t="shared" si="8"/>
        <v>0</v>
      </c>
      <c r="N40" s="89" t="e">
        <f>ABS(PRODUCT($H40:$J40,$L40))/Summary!$B$4*$O$53</f>
        <v>#DIV/0!</v>
      </c>
      <c r="O40" s="79">
        <v>1</v>
      </c>
    </row>
    <row r="41" spans="7:15" x14ac:dyDescent="0.25">
      <c r="G41" s="86" t="str">
        <f>Summary!N$7</f>
        <v/>
      </c>
      <c r="H41" s="75">
        <f>IF($G41&lt;&gt;"",INDEX(Data!$G:$G,MATCH($G41,Data!$D:$D,0)),0)</f>
        <v>0</v>
      </c>
      <c r="I41" s="76">
        <f t="shared" si="9"/>
        <v>0</v>
      </c>
      <c r="J41" s="77">
        <f>IF($G41&lt;&gt;"",INDEX(Data!$M:$M,MATCH($G41,Data!$D:$D,0)),0)</f>
        <v>0</v>
      </c>
      <c r="K41" s="87">
        <f t="shared" si="7"/>
        <v>0</v>
      </c>
      <c r="L41" s="78">
        <f>IF($G41&lt;&gt;"",INDEX(Deltas!$E:$E,MATCH($G41,Deltas!$B:$B,0)),0)</f>
        <v>0</v>
      </c>
      <c r="M41" s="88">
        <f t="shared" si="8"/>
        <v>0</v>
      </c>
      <c r="N41" s="89" t="e">
        <f>ABS(PRODUCT($H41:$J41,$L41))/Summary!$B$4*$O$53</f>
        <v>#DIV/0!</v>
      </c>
      <c r="O41" s="79">
        <v>1</v>
      </c>
    </row>
    <row r="42" spans="7:15" x14ac:dyDescent="0.25">
      <c r="G42" s="86" t="str">
        <f>Summary!O$7</f>
        <v/>
      </c>
      <c r="H42" s="75">
        <f>IF($G42&lt;&gt;"",INDEX(Data!$G:$G,MATCH($G42,Data!$D:$D,0)),0)</f>
        <v>0</v>
      </c>
      <c r="I42" s="76">
        <f t="shared" si="9"/>
        <v>0</v>
      </c>
      <c r="J42" s="77">
        <f>IF($G42&lt;&gt;"",INDEX(Data!$M:$M,MATCH($G42,Data!$D:$D,0)),0)</f>
        <v>0</v>
      </c>
      <c r="K42" s="87">
        <f t="shared" si="7"/>
        <v>0</v>
      </c>
      <c r="L42" s="78">
        <f>IF($G42&lt;&gt;"",INDEX(Deltas!$E:$E,MATCH($G42,Deltas!$B:$B,0)),0)</f>
        <v>0</v>
      </c>
      <c r="M42" s="88">
        <f t="shared" si="8"/>
        <v>0</v>
      </c>
      <c r="N42" s="89" t="e">
        <f>ABS(PRODUCT($H42:$J42,$L42))/Summary!$B$4*$O$53</f>
        <v>#DIV/0!</v>
      </c>
      <c r="O42" s="79">
        <v>1</v>
      </c>
    </row>
    <row r="43" spans="7:15" x14ac:dyDescent="0.25">
      <c r="G43" s="86" t="str">
        <f>Summary!P$7</f>
        <v/>
      </c>
      <c r="H43" s="75">
        <f>IF($G43&lt;&gt;"",INDEX(Data!$G:$G,MATCH($G43,Data!$D:$D,0)),0)</f>
        <v>0</v>
      </c>
      <c r="I43" s="76">
        <f t="shared" si="9"/>
        <v>0</v>
      </c>
      <c r="J43" s="77">
        <f>IF($G43&lt;&gt;"",INDEX(Data!$M:$M,MATCH($G43,Data!$D:$D,0)),0)</f>
        <v>0</v>
      </c>
      <c r="K43" s="87">
        <f t="shared" si="7"/>
        <v>0</v>
      </c>
      <c r="L43" s="78">
        <f>IF($G43&lt;&gt;"",INDEX(Deltas!$E:$E,MATCH($G43,Deltas!$B:$B,0)),0)</f>
        <v>0</v>
      </c>
      <c r="M43" s="88">
        <f t="shared" si="8"/>
        <v>0</v>
      </c>
      <c r="N43" s="89" t="e">
        <f>ABS(PRODUCT($H43:$J43,$L43))/Summary!$B$4*$O$53</f>
        <v>#DIV/0!</v>
      </c>
      <c r="O43" s="79">
        <v>1</v>
      </c>
    </row>
    <row r="44" spans="7:15" x14ac:dyDescent="0.25">
      <c r="G44" s="86" t="str">
        <f>Summary!Q$7</f>
        <v/>
      </c>
      <c r="H44" s="75">
        <f>IF($G44&lt;&gt;"",INDEX(Data!$G:$G,MATCH($G44,Data!$D:$D,0)),0)</f>
        <v>0</v>
      </c>
      <c r="I44" s="76">
        <f t="shared" si="9"/>
        <v>0</v>
      </c>
      <c r="J44" s="77">
        <f>IF($G44&lt;&gt;"",INDEX(Data!$M:$M,MATCH($G44,Data!$D:$D,0)),0)</f>
        <v>0</v>
      </c>
      <c r="K44" s="87">
        <f t="shared" si="7"/>
        <v>0</v>
      </c>
      <c r="L44" s="78">
        <f>IF($G44&lt;&gt;"",INDEX(Deltas!$E:$E,MATCH($G44,Deltas!$B:$B,0)),0)</f>
        <v>0</v>
      </c>
      <c r="M44" s="88">
        <f t="shared" si="8"/>
        <v>0</v>
      </c>
      <c r="N44" s="89" t="e">
        <f>ABS(PRODUCT($H44:$J44,$L44))/Summary!$B$4*$O$53</f>
        <v>#DIV/0!</v>
      </c>
      <c r="O44" s="79">
        <v>1</v>
      </c>
    </row>
    <row r="45" spans="7:15" x14ac:dyDescent="0.25">
      <c r="G45" s="86" t="str">
        <f>Summary!R$7</f>
        <v/>
      </c>
      <c r="H45" s="75">
        <f>IF($G45&lt;&gt;"",INDEX(Data!$G:$G,MATCH($G45,Data!$D:$D,0)),0)</f>
        <v>0</v>
      </c>
      <c r="I45" s="76">
        <f t="shared" si="9"/>
        <v>0</v>
      </c>
      <c r="J45" s="77">
        <f>IF($G45&lt;&gt;"",INDEX(Data!$M:$M,MATCH($G45,Data!$D:$D,0)),0)</f>
        <v>0</v>
      </c>
      <c r="K45" s="87">
        <f t="shared" si="7"/>
        <v>0</v>
      </c>
      <c r="L45" s="78">
        <f>IF($G45&lt;&gt;"",INDEX(Deltas!$E:$E,MATCH($G45,Deltas!$B:$B,0)),0)</f>
        <v>0</v>
      </c>
      <c r="M45" s="88">
        <f t="shared" si="8"/>
        <v>0</v>
      </c>
      <c r="N45" s="89" t="e">
        <f>ABS(PRODUCT($H45:$J45,$L45))/Summary!$B$4*$O$53</f>
        <v>#DIV/0!</v>
      </c>
      <c r="O45" s="79">
        <v>1</v>
      </c>
    </row>
    <row r="46" spans="7:15" x14ac:dyDescent="0.25">
      <c r="G46" s="86" t="str">
        <f>Summary!S$7</f>
        <v/>
      </c>
      <c r="H46" s="75">
        <f>IF($G46&lt;&gt;"",INDEX(Data!$G:$G,MATCH($G46,Data!$D:$D,0)),0)</f>
        <v>0</v>
      </c>
      <c r="I46" s="76">
        <f t="shared" si="9"/>
        <v>0</v>
      </c>
      <c r="J46" s="77">
        <f>IF($G46&lt;&gt;"",INDEX(Data!$M:$M,MATCH($G46,Data!$D:$D,0)),0)</f>
        <v>0</v>
      </c>
      <c r="K46" s="87">
        <f t="shared" si="7"/>
        <v>0</v>
      </c>
      <c r="L46" s="78">
        <f>IF($G46&lt;&gt;"",INDEX(Deltas!$E:$E,MATCH($G46,Deltas!$B:$B,0)),0)</f>
        <v>0</v>
      </c>
      <c r="M46" s="88">
        <f t="shared" si="8"/>
        <v>0</v>
      </c>
      <c r="N46" s="89" t="e">
        <f>ABS(PRODUCT($H46:$J46,$L46))/Summary!$B$4*$O$53</f>
        <v>#DIV/0!</v>
      </c>
      <c r="O46" s="79">
        <v>1</v>
      </c>
    </row>
    <row r="47" spans="7:15" x14ac:dyDescent="0.25">
      <c r="G47" s="86" t="str">
        <f>Summary!T$7</f>
        <v/>
      </c>
      <c r="H47" s="75">
        <f>IF($G47&lt;&gt;"",INDEX(Data!$G:$G,MATCH($G47,Data!$D:$D,0)),0)</f>
        <v>0</v>
      </c>
      <c r="I47" s="76">
        <f t="shared" si="9"/>
        <v>0</v>
      </c>
      <c r="J47" s="77">
        <f>IF($G47&lt;&gt;"",INDEX(Data!$M:$M,MATCH($G47,Data!$D:$D,0)),0)</f>
        <v>0</v>
      </c>
      <c r="K47" s="87">
        <f t="shared" si="7"/>
        <v>0</v>
      </c>
      <c r="L47" s="78">
        <f>IF($G47&lt;&gt;"",INDEX(Deltas!$E:$E,MATCH($G47,Deltas!$B:$B,0)),0)</f>
        <v>0</v>
      </c>
      <c r="M47" s="88">
        <f t="shared" si="8"/>
        <v>0</v>
      </c>
      <c r="N47" s="89" t="e">
        <f>ABS(PRODUCT($H47:$J47,$L47))/Summary!$B$4*$O$53</f>
        <v>#DIV/0!</v>
      </c>
      <c r="O47" s="79">
        <v>1</v>
      </c>
    </row>
    <row r="48" spans="7:15" x14ac:dyDescent="0.25">
      <c r="G48" s="86" t="str">
        <f>Summary!U$7</f>
        <v/>
      </c>
      <c r="H48" s="75">
        <f>IF($G48&lt;&gt;"",INDEX(Data!$G:$G,MATCH($G48,Data!$D:$D,0)),0)</f>
        <v>0</v>
      </c>
      <c r="I48" s="76">
        <f t="shared" si="9"/>
        <v>0</v>
      </c>
      <c r="J48" s="77">
        <f>IF($G48&lt;&gt;"",INDEX(Data!$M:$M,MATCH($G48,Data!$D:$D,0)),0)</f>
        <v>0</v>
      </c>
      <c r="K48" s="87">
        <f t="shared" si="7"/>
        <v>0</v>
      </c>
      <c r="L48" s="78">
        <f>IF($G48&lt;&gt;"",INDEX(Deltas!$E:$E,MATCH($G48,Deltas!$B:$B,0)),0)</f>
        <v>0</v>
      </c>
      <c r="M48" s="88">
        <f t="shared" si="8"/>
        <v>0</v>
      </c>
      <c r="N48" s="89" t="e">
        <f>ABS(PRODUCT($H48:$J48,$L48))/Summary!$B$4*$O$53</f>
        <v>#DIV/0!</v>
      </c>
      <c r="O48" s="79">
        <v>1</v>
      </c>
    </row>
    <row r="49" spans="7:15" x14ac:dyDescent="0.25">
      <c r="G49" s="86" t="str">
        <f>Summary!V$7</f>
        <v/>
      </c>
      <c r="H49" s="75">
        <f>IF($G49&lt;&gt;"",INDEX(Data!$G:$G,MATCH($G49,Data!$D:$D,0)),0)</f>
        <v>0</v>
      </c>
      <c r="I49" s="76">
        <f t="shared" si="9"/>
        <v>0</v>
      </c>
      <c r="J49" s="77">
        <f>IF($G49&lt;&gt;"",INDEX(Data!$M:$M,MATCH($G49,Data!$D:$D,0)),0)</f>
        <v>0</v>
      </c>
      <c r="K49" s="87">
        <f t="shared" si="7"/>
        <v>0</v>
      </c>
      <c r="L49" s="78">
        <f>IF($G49&lt;&gt;"",INDEX(Deltas!$E:$E,MATCH($G49,Deltas!$B:$B,0)),0)</f>
        <v>0</v>
      </c>
      <c r="M49" s="88">
        <f t="shared" si="8"/>
        <v>0</v>
      </c>
      <c r="N49" s="89" t="e">
        <f>ABS(PRODUCT($H49:$J49,$L49))/Summary!$B$4*$O$53</f>
        <v>#DIV/0!</v>
      </c>
      <c r="O49" s="79">
        <v>1</v>
      </c>
    </row>
    <row r="50" spans="7:15" x14ac:dyDescent="0.25">
      <c r="G50" s="86" t="str">
        <f>Summary!W$7</f>
        <v/>
      </c>
      <c r="H50" s="75">
        <f>IF($G50&lt;&gt;"",INDEX(Data!$G:$G,MATCH($G50,Data!$D:$D,0)),0)</f>
        <v>0</v>
      </c>
      <c r="I50" s="76">
        <f t="shared" si="9"/>
        <v>0</v>
      </c>
      <c r="J50" s="77">
        <f>IF($G50&lt;&gt;"",INDEX(Data!$M:$M,MATCH($G50,Data!$D:$D,0)),0)</f>
        <v>0</v>
      </c>
      <c r="K50" s="87">
        <f t="shared" si="7"/>
        <v>0</v>
      </c>
      <c r="L50" s="78">
        <f>IF($G50&lt;&gt;"",INDEX(Deltas!$E:$E,MATCH($G50,Deltas!$B:$B,0)),0)</f>
        <v>0</v>
      </c>
      <c r="M50" s="88">
        <f t="shared" si="8"/>
        <v>0</v>
      </c>
      <c r="N50" s="89" t="e">
        <f>ABS(PRODUCT($H50:$J50,$L50))/Summary!$B$4*$O$53</f>
        <v>#DIV/0!</v>
      </c>
      <c r="O50" s="79">
        <v>1</v>
      </c>
    </row>
    <row r="51" spans="7:15" x14ac:dyDescent="0.25">
      <c r="G51" s="86" t="str">
        <f>Summary!X$7</f>
        <v/>
      </c>
      <c r="H51" s="75">
        <f>IF($G51&lt;&gt;"",INDEX(Data!$G:$G,MATCH($G51,Data!$D:$D,0)),0)</f>
        <v>0</v>
      </c>
      <c r="I51" s="76">
        <f t="shared" si="9"/>
        <v>0</v>
      </c>
      <c r="J51" s="77">
        <f>IF($G51&lt;&gt;"",INDEX(Data!$M:$M,MATCH($G51,Data!$D:$D,0)),0)</f>
        <v>0</v>
      </c>
      <c r="K51" s="87">
        <f t="shared" si="7"/>
        <v>0</v>
      </c>
      <c r="L51" s="78">
        <f>IF($G51&lt;&gt;"",INDEX(Deltas!$E:$E,MATCH($G51,Deltas!$B:$B,0)),0)</f>
        <v>0</v>
      </c>
      <c r="M51" s="88">
        <f t="shared" si="8"/>
        <v>0</v>
      </c>
      <c r="N51" s="89" t="e">
        <f>ABS(PRODUCT($H51:$J51,$L51))/Summary!$B$4*$O$53</f>
        <v>#DIV/0!</v>
      </c>
      <c r="O51" s="79">
        <v>1</v>
      </c>
    </row>
    <row r="52" spans="7:15" x14ac:dyDescent="0.25">
      <c r="G52" s="37" t="str" cm="1">
        <f t="array" ref="G52">"Foreign Equity Derivatives ("&amp;SUMPRODUCT((Data!$C:$C="Equity Derivatives")*(Data!$W:$W&lt;&gt;"ZAR"))&amp;")"</f>
        <v>Foreign Equity Derivatives (0)</v>
      </c>
    </row>
    <row r="53" spans="7:15" x14ac:dyDescent="0.25">
      <c r="G53" s="86" t="str">
        <f>Summary!I$4</f>
        <v/>
      </c>
      <c r="H53" s="75">
        <f>IF($G53&lt;&gt;"",INDEX(Data!$G:$G,MATCH($G53,Data!$D:$D,0)),0)</f>
        <v>0</v>
      </c>
      <c r="I53" s="76">
        <f>IF($G53&lt;&gt;"",10,0)</f>
        <v>0</v>
      </c>
      <c r="J53" s="77">
        <f>IF($G53&lt;&gt;"",INDEX(Data!$M:$M,MATCH($G53,Data!$D:$D,0)),0)</f>
        <v>0</v>
      </c>
      <c r="K53" s="87">
        <f t="shared" ref="K53:K68" si="10">PRODUCT($H53:$J53)*$O$53</f>
        <v>0</v>
      </c>
      <c r="L53" s="78">
        <f>IF($G53&lt;&gt;"",INDEX(Deltas!$E:$E,MATCH($G53,Deltas!$B:$B,0)),0)</f>
        <v>0</v>
      </c>
      <c r="M53" s="88">
        <f t="shared" ref="M53:M68" si="11">PRODUCT($H53:$J53,$L53)</f>
        <v>0</v>
      </c>
      <c r="N53" s="89" t="e">
        <f>ABS(PRODUCT($H53:$J53,$L53))/Summary!$B$4*$O$53</f>
        <v>#DIV/0!</v>
      </c>
      <c r="O53" s="79">
        <v>15.58</v>
      </c>
    </row>
    <row r="54" spans="7:15" x14ac:dyDescent="0.25">
      <c r="G54" s="86" t="str">
        <f>Summary!J$4</f>
        <v/>
      </c>
      <c r="H54" s="75">
        <f>IF($G54&lt;&gt;"",INDEX(Data!$G:$G,MATCH($G54,Data!$D:$D,0)),0)</f>
        <v>0</v>
      </c>
      <c r="I54" s="76">
        <f t="shared" ref="I54:I68" si="12">IF($G54&lt;&gt;"",10,0)</f>
        <v>0</v>
      </c>
      <c r="J54" s="77">
        <f>IF($G54&lt;&gt;"",INDEX(Data!$M:$M,MATCH($G54,Data!$D:$D,0)),0)</f>
        <v>0</v>
      </c>
      <c r="K54" s="87">
        <f t="shared" si="10"/>
        <v>0</v>
      </c>
      <c r="L54" s="78">
        <f>IF($G54&lt;&gt;"",INDEX(Deltas!$E:$E,MATCH($G54,Deltas!$B:$B,0)),0)</f>
        <v>0</v>
      </c>
      <c r="M54" s="90">
        <f t="shared" si="11"/>
        <v>0</v>
      </c>
      <c r="N54" s="89" t="e">
        <f>ABS(PRODUCT($H54:$J54,$L54))/Summary!$B$4*$O$53</f>
        <v>#DIV/0!</v>
      </c>
      <c r="O54" s="79">
        <v>15.58</v>
      </c>
    </row>
    <row r="55" spans="7:15" x14ac:dyDescent="0.25">
      <c r="G55" s="86" t="str">
        <f>Summary!K$4</f>
        <v/>
      </c>
      <c r="H55" s="75">
        <f>IF($G55&lt;&gt;"",INDEX(Data!$G:$G,MATCH($G55,Data!$D:$D,0)),0)</f>
        <v>0</v>
      </c>
      <c r="I55" s="76">
        <f t="shared" si="12"/>
        <v>0</v>
      </c>
      <c r="J55" s="77">
        <f>IF($G55&lt;&gt;"",INDEX(Data!$M:$M,MATCH($G55,Data!$D:$D,0)),0)</f>
        <v>0</v>
      </c>
      <c r="K55" s="87">
        <f t="shared" si="10"/>
        <v>0</v>
      </c>
      <c r="L55" s="78">
        <f>IF($G55&lt;&gt;"",INDEX(Deltas!$E:$E,MATCH($G55,Deltas!$B:$B,0)),0)</f>
        <v>0</v>
      </c>
      <c r="M55" s="88">
        <f t="shared" si="11"/>
        <v>0</v>
      </c>
      <c r="N55" s="89" t="e">
        <f>ABS(PRODUCT($H55:$J55,$L55))/Summary!$B$4*$O$53</f>
        <v>#DIV/0!</v>
      </c>
      <c r="O55" s="79">
        <v>15.58</v>
      </c>
    </row>
    <row r="56" spans="7:15" x14ac:dyDescent="0.25">
      <c r="G56" s="86" t="str">
        <f>Summary!L$4</f>
        <v/>
      </c>
      <c r="H56" s="75">
        <f>IF($G56&lt;&gt;"",INDEX(Data!$G:$G,MATCH($G56,Data!$D:$D,0)),0)</f>
        <v>0</v>
      </c>
      <c r="I56" s="76">
        <f t="shared" si="12"/>
        <v>0</v>
      </c>
      <c r="J56" s="77">
        <f>IF($G56&lt;&gt;"",INDEX(Data!$M:$M,MATCH($G56,Data!$D:$D,0)),0)</f>
        <v>0</v>
      </c>
      <c r="K56" s="87">
        <f t="shared" si="10"/>
        <v>0</v>
      </c>
      <c r="L56" s="78">
        <f>IF($G56&lt;&gt;"",INDEX(Deltas!$E:$E,MATCH($G56,Deltas!$B:$B,0)),0)</f>
        <v>0</v>
      </c>
      <c r="M56" s="88">
        <f t="shared" si="11"/>
        <v>0</v>
      </c>
      <c r="N56" s="89" t="e">
        <f>ABS(PRODUCT($H56:$J56,$L56))/Summary!$B$4*$O$53</f>
        <v>#DIV/0!</v>
      </c>
      <c r="O56" s="79">
        <v>15.58</v>
      </c>
    </row>
    <row r="57" spans="7:15" x14ac:dyDescent="0.25">
      <c r="G57" s="86" t="str">
        <f>Summary!M$4</f>
        <v/>
      </c>
      <c r="H57" s="75">
        <f>IF($G57&lt;&gt;"",INDEX(Data!$G:$G,MATCH($G57,Data!$D:$D,0)),0)</f>
        <v>0</v>
      </c>
      <c r="I57" s="76">
        <f t="shared" si="12"/>
        <v>0</v>
      </c>
      <c r="J57" s="77">
        <f>IF($G57&lt;&gt;"",INDEX(Data!$M:$M,MATCH($G57,Data!$D:$D,0)),0)</f>
        <v>0</v>
      </c>
      <c r="K57" s="87">
        <f t="shared" si="10"/>
        <v>0</v>
      </c>
      <c r="L57" s="78">
        <f>IF($G57&lt;&gt;"",INDEX(Deltas!$E:$E,MATCH($G57,Deltas!$B:$B,0)),0)</f>
        <v>0</v>
      </c>
      <c r="M57" s="88">
        <f t="shared" si="11"/>
        <v>0</v>
      </c>
      <c r="N57" s="89" t="e">
        <f>ABS(PRODUCT($H57:$J57,$L57))/Summary!$B$4*$O$53</f>
        <v>#DIV/0!</v>
      </c>
      <c r="O57" s="79">
        <v>15.58</v>
      </c>
    </row>
    <row r="58" spans="7:15" x14ac:dyDescent="0.25">
      <c r="G58" s="86" t="str">
        <f>Summary!N$4</f>
        <v/>
      </c>
      <c r="H58" s="75">
        <f>IF($G58&lt;&gt;"",INDEX(Data!$G:$G,MATCH($G58,Data!$D:$D,0)),0)</f>
        <v>0</v>
      </c>
      <c r="I58" s="76">
        <f t="shared" si="12"/>
        <v>0</v>
      </c>
      <c r="J58" s="77">
        <f>IF($G58&lt;&gt;"",INDEX(Data!$M:$M,MATCH($G58,Data!$D:$D,0)),0)</f>
        <v>0</v>
      </c>
      <c r="K58" s="87">
        <f t="shared" si="10"/>
        <v>0</v>
      </c>
      <c r="L58" s="78">
        <f>IF($G58&lt;&gt;"",INDEX(Deltas!$E:$E,MATCH($G58,Deltas!$B:$B,0)),0)</f>
        <v>0</v>
      </c>
      <c r="M58" s="88">
        <f t="shared" si="11"/>
        <v>0</v>
      </c>
      <c r="N58" s="89" t="e">
        <f>ABS(PRODUCT($H58:$J58,$L58))/Summary!$B$4*$O$53</f>
        <v>#DIV/0!</v>
      </c>
      <c r="O58" s="79">
        <v>15.58</v>
      </c>
    </row>
    <row r="59" spans="7:15" x14ac:dyDescent="0.25">
      <c r="G59" s="86" t="str">
        <f>Summary!O$4</f>
        <v/>
      </c>
      <c r="H59" s="75">
        <f>IF($G59&lt;&gt;"",INDEX(Data!$G:$G,MATCH($G59,Data!$D:$D,0)),0)</f>
        <v>0</v>
      </c>
      <c r="I59" s="76">
        <f t="shared" si="12"/>
        <v>0</v>
      </c>
      <c r="J59" s="77">
        <f>IF($G59&lt;&gt;"",INDEX(Data!$M:$M,MATCH($G59,Data!$D:$D,0)),0)</f>
        <v>0</v>
      </c>
      <c r="K59" s="87">
        <f t="shared" si="10"/>
        <v>0</v>
      </c>
      <c r="L59" s="78">
        <f>IF($G59&lt;&gt;"",INDEX(Deltas!$E:$E,MATCH($G59,Deltas!$B:$B,0)),0)</f>
        <v>0</v>
      </c>
      <c r="M59" s="88">
        <f t="shared" si="11"/>
        <v>0</v>
      </c>
      <c r="N59" s="89" t="e">
        <f>ABS(PRODUCT($H59:$J59,$L59))/Summary!$B$4*$O$53</f>
        <v>#DIV/0!</v>
      </c>
      <c r="O59" s="79">
        <v>15.58</v>
      </c>
    </row>
    <row r="60" spans="7:15" x14ac:dyDescent="0.25">
      <c r="G60" s="86" t="str">
        <f>Summary!P$4</f>
        <v/>
      </c>
      <c r="H60" s="75">
        <f>IF($G60&lt;&gt;"",INDEX(Data!$G:$G,MATCH($G60,Data!$D:$D,0)),0)</f>
        <v>0</v>
      </c>
      <c r="I60" s="76">
        <f t="shared" si="12"/>
        <v>0</v>
      </c>
      <c r="J60" s="77">
        <f>IF($G60&lt;&gt;"",INDEX(Data!$M:$M,MATCH($G60,Data!$D:$D,0)),0)</f>
        <v>0</v>
      </c>
      <c r="K60" s="87">
        <f t="shared" si="10"/>
        <v>0</v>
      </c>
      <c r="L60" s="78">
        <f>IF($G60&lt;&gt;"",INDEX(Deltas!$E:$E,MATCH($G60,Deltas!$B:$B,0)),0)</f>
        <v>0</v>
      </c>
      <c r="M60" s="88">
        <f t="shared" si="11"/>
        <v>0</v>
      </c>
      <c r="N60" s="89" t="e">
        <f>ABS(PRODUCT($H60:$J60,$L60))/Summary!$B$4*$O$53</f>
        <v>#DIV/0!</v>
      </c>
      <c r="O60" s="79">
        <v>15.58</v>
      </c>
    </row>
    <row r="61" spans="7:15" x14ac:dyDescent="0.25">
      <c r="G61" s="86" t="str">
        <f>Summary!Q$4</f>
        <v/>
      </c>
      <c r="H61" s="75">
        <f>IF($G61&lt;&gt;"",INDEX(Data!$G:$G,MATCH($G61,Data!$D:$D,0)),0)</f>
        <v>0</v>
      </c>
      <c r="I61" s="76">
        <f t="shared" si="12"/>
        <v>0</v>
      </c>
      <c r="J61" s="77">
        <f>IF($G61&lt;&gt;"",INDEX(Data!$M:$M,MATCH($G61,Data!$D:$D,0)),0)</f>
        <v>0</v>
      </c>
      <c r="K61" s="87">
        <f t="shared" si="10"/>
        <v>0</v>
      </c>
      <c r="L61" s="78">
        <f>IF($G61&lt;&gt;"",INDEX(Deltas!$E:$E,MATCH($G61,Deltas!$B:$B,0)),0)</f>
        <v>0</v>
      </c>
      <c r="M61" s="88">
        <f t="shared" si="11"/>
        <v>0</v>
      </c>
      <c r="N61" s="89" t="e">
        <f>ABS(PRODUCT($H61:$J61,$L61))/Summary!$B$4*$O$53</f>
        <v>#DIV/0!</v>
      </c>
      <c r="O61" s="79">
        <v>15.58</v>
      </c>
    </row>
    <row r="62" spans="7:15" x14ac:dyDescent="0.25">
      <c r="G62" s="86" t="str">
        <f>Summary!R$4</f>
        <v/>
      </c>
      <c r="H62" s="75">
        <f>IF($G62&lt;&gt;"",INDEX(Data!$G:$G,MATCH($G62,Data!$D:$D,0)),0)</f>
        <v>0</v>
      </c>
      <c r="I62" s="76">
        <f t="shared" si="12"/>
        <v>0</v>
      </c>
      <c r="J62" s="77">
        <f>IF($G62&lt;&gt;"",INDEX(Data!$M:$M,MATCH($G62,Data!$D:$D,0)),0)</f>
        <v>0</v>
      </c>
      <c r="K62" s="87">
        <f t="shared" si="10"/>
        <v>0</v>
      </c>
      <c r="L62" s="78">
        <f>IF($G62&lt;&gt;"",INDEX(Deltas!$E:$E,MATCH($G62,Deltas!$B:$B,0)),0)</f>
        <v>0</v>
      </c>
      <c r="M62" s="88">
        <f t="shared" si="11"/>
        <v>0</v>
      </c>
      <c r="N62" s="89" t="e">
        <f>ABS(PRODUCT($H62:$J62,$L62))/Summary!$B$4*$O$53</f>
        <v>#DIV/0!</v>
      </c>
      <c r="O62" s="79">
        <v>15.58</v>
      </c>
    </row>
    <row r="63" spans="7:15" x14ac:dyDescent="0.25">
      <c r="G63" s="86" t="str">
        <f>Summary!S$4</f>
        <v/>
      </c>
      <c r="H63" s="75">
        <f>IF($G63&lt;&gt;"",INDEX(Data!$G:$G,MATCH($G63,Data!$D:$D,0)),0)</f>
        <v>0</v>
      </c>
      <c r="I63" s="76">
        <f t="shared" si="12"/>
        <v>0</v>
      </c>
      <c r="J63" s="77">
        <f>IF($G63&lt;&gt;"",INDEX(Data!$M:$M,MATCH($G63,Data!$D:$D,0)),0)</f>
        <v>0</v>
      </c>
      <c r="K63" s="87">
        <f t="shared" si="10"/>
        <v>0</v>
      </c>
      <c r="L63" s="78">
        <f>IF($G63&lt;&gt;"",INDEX(Deltas!$E:$E,MATCH($G63,Deltas!$B:$B,0)),0)</f>
        <v>0</v>
      </c>
      <c r="M63" s="88">
        <f t="shared" si="11"/>
        <v>0</v>
      </c>
      <c r="N63" s="89" t="e">
        <f>ABS(PRODUCT($H63:$J63,$L63))/Summary!$B$4*$O$53</f>
        <v>#DIV/0!</v>
      </c>
      <c r="O63" s="79">
        <v>15.58</v>
      </c>
    </row>
    <row r="64" spans="7:15" x14ac:dyDescent="0.25">
      <c r="G64" s="86" t="str">
        <f>Summary!T$4</f>
        <v/>
      </c>
      <c r="H64" s="75">
        <f>IF($G64&lt;&gt;"",INDEX(Data!$G:$G,MATCH($G64,Data!$D:$D,0)),0)</f>
        <v>0</v>
      </c>
      <c r="I64" s="76">
        <f t="shared" si="12"/>
        <v>0</v>
      </c>
      <c r="J64" s="77">
        <f>IF($G64&lt;&gt;"",INDEX(Data!$M:$M,MATCH($G64,Data!$D:$D,0)),0)</f>
        <v>0</v>
      </c>
      <c r="K64" s="87">
        <f t="shared" si="10"/>
        <v>0</v>
      </c>
      <c r="L64" s="78">
        <f>IF($G64&lt;&gt;"",INDEX(Deltas!$E:$E,MATCH($G64,Deltas!$B:$B,0)),0)</f>
        <v>0</v>
      </c>
      <c r="M64" s="88">
        <f t="shared" si="11"/>
        <v>0</v>
      </c>
      <c r="N64" s="89" t="e">
        <f>ABS(PRODUCT($H64:$J64,$L64))/Summary!$B$4*$O$53</f>
        <v>#DIV/0!</v>
      </c>
      <c r="O64" s="79">
        <v>15.58</v>
      </c>
    </row>
    <row r="65" spans="7:15" x14ac:dyDescent="0.25">
      <c r="G65" s="86" t="str">
        <f>Summary!U$4</f>
        <v/>
      </c>
      <c r="H65" s="75">
        <f>IF($G65&lt;&gt;"",INDEX(Data!$G:$G,MATCH($G65,Data!$D:$D,0)),0)</f>
        <v>0</v>
      </c>
      <c r="I65" s="76">
        <f t="shared" si="12"/>
        <v>0</v>
      </c>
      <c r="J65" s="77">
        <f>IF($G65&lt;&gt;"",INDEX(Data!$M:$M,MATCH($G65,Data!$D:$D,0)),0)</f>
        <v>0</v>
      </c>
      <c r="K65" s="87">
        <f t="shared" si="10"/>
        <v>0</v>
      </c>
      <c r="L65" s="78">
        <f>IF($G65&lt;&gt;"",INDEX(Deltas!$E:$E,MATCH($G65,Deltas!$B:$B,0)),0)</f>
        <v>0</v>
      </c>
      <c r="M65" s="88">
        <f t="shared" si="11"/>
        <v>0</v>
      </c>
      <c r="N65" s="89" t="e">
        <f>ABS(PRODUCT($H65:$J65,$L65))/Summary!$B$4*$O$53</f>
        <v>#DIV/0!</v>
      </c>
      <c r="O65" s="79">
        <v>15.58</v>
      </c>
    </row>
    <row r="66" spans="7:15" x14ac:dyDescent="0.25">
      <c r="G66" s="86" t="str">
        <f>Summary!V$4</f>
        <v/>
      </c>
      <c r="H66" s="75">
        <f>IF($G66&lt;&gt;"",INDEX(Data!$G:$G,MATCH($G66,Data!$D:$D,0)),0)</f>
        <v>0</v>
      </c>
      <c r="I66" s="76">
        <f t="shared" si="12"/>
        <v>0</v>
      </c>
      <c r="J66" s="77">
        <f>IF($G66&lt;&gt;"",INDEX(Data!$M:$M,MATCH($G66,Data!$D:$D,0)),0)</f>
        <v>0</v>
      </c>
      <c r="K66" s="87">
        <f t="shared" si="10"/>
        <v>0</v>
      </c>
      <c r="L66" s="78">
        <f>IF($G66&lt;&gt;"",INDEX(Deltas!$E:$E,MATCH($G66,Deltas!$B:$B,0)),0)</f>
        <v>0</v>
      </c>
      <c r="M66" s="88">
        <f t="shared" si="11"/>
        <v>0</v>
      </c>
      <c r="N66" s="89" t="e">
        <f>ABS(PRODUCT($H66:$J66,$L66))/Summary!$B$4*$O$53</f>
        <v>#DIV/0!</v>
      </c>
      <c r="O66" s="79">
        <v>15.58</v>
      </c>
    </row>
    <row r="67" spans="7:15" x14ac:dyDescent="0.25">
      <c r="G67" s="86" t="str">
        <f>Summary!W$4</f>
        <v/>
      </c>
      <c r="H67" s="75">
        <f>IF($G67&lt;&gt;"",INDEX(Data!$G:$G,MATCH($G67,Data!$D:$D,0)),0)</f>
        <v>0</v>
      </c>
      <c r="I67" s="76">
        <f t="shared" si="12"/>
        <v>0</v>
      </c>
      <c r="J67" s="77">
        <f>IF($G67&lt;&gt;"",INDEX(Data!$M:$M,MATCH($G67,Data!$D:$D,0)),0)</f>
        <v>0</v>
      </c>
      <c r="K67" s="87">
        <f t="shared" si="10"/>
        <v>0</v>
      </c>
      <c r="L67" s="78">
        <f>IF($G67&lt;&gt;"",INDEX(Deltas!$E:$E,MATCH($G67,Deltas!$B:$B,0)),0)</f>
        <v>0</v>
      </c>
      <c r="M67" s="88">
        <f t="shared" si="11"/>
        <v>0</v>
      </c>
      <c r="N67" s="89" t="e">
        <f>ABS(PRODUCT($H67:$J67,$L67))/Summary!$B$4*$O$53</f>
        <v>#DIV/0!</v>
      </c>
      <c r="O67" s="79">
        <v>15.58</v>
      </c>
    </row>
    <row r="68" spans="7:15" x14ac:dyDescent="0.25">
      <c r="G68" s="86" t="str">
        <f>Summary!X$4</f>
        <v/>
      </c>
      <c r="H68" s="75">
        <f>IF($G68&lt;&gt;"",INDEX(Data!$G:$G,MATCH($G68,Data!$D:$D,0)),0)</f>
        <v>0</v>
      </c>
      <c r="I68" s="76">
        <f t="shared" si="12"/>
        <v>0</v>
      </c>
      <c r="J68" s="77">
        <f>IF($G68&lt;&gt;"",INDEX(Data!$M:$M,MATCH($G68,Data!$D:$D,0)),0)</f>
        <v>0</v>
      </c>
      <c r="K68" s="87">
        <f t="shared" si="10"/>
        <v>0</v>
      </c>
      <c r="L68" s="78">
        <f>IF($G68&lt;&gt;"",INDEX(Deltas!$E:$E,MATCH($G68,Deltas!$B:$B,0)),0)</f>
        <v>0</v>
      </c>
      <c r="M68" s="88">
        <f t="shared" si="11"/>
        <v>0</v>
      </c>
      <c r="N68" s="89" t="e">
        <f>ABS(PRODUCT($H68:$J68,$L68))/Summary!$B$4*$O$53</f>
        <v>#DIV/0!</v>
      </c>
      <c r="O68" s="79">
        <v>15.58</v>
      </c>
    </row>
  </sheetData>
  <conditionalFormatting sqref="D8 D11">
    <cfRule type="cellIs" dxfId="3" priority="2" operator="greaterThanOrEqual">
      <formula>0</formula>
    </cfRule>
    <cfRule type="cellIs" dxfId="2" priority="3" stopIfTrue="1" operator="lessThan">
      <formula>0</formula>
    </cfRule>
  </conditionalFormatting>
  <conditionalFormatting sqref="C8 C11">
    <cfRule type="cellIs" dxfId="1" priority="1" operator="greaterThanOrEqual">
      <formula>1</formula>
    </cfRule>
    <cfRule type="cellIs" dxfId="0" priority="4" stopIfTrue="1" operator="lessThan">
      <formula>1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C6B2-55C7-4984-9258-C279F79A7979}">
  <sheetPr codeName="shData"/>
  <dimension ref="A1:AS1680"/>
  <sheetViews>
    <sheetView zoomScaleNormal="100" workbookViewId="0">
      <pane xSplit="1" ySplit="4" topLeftCell="B44" activePane="bottomRight" state="frozen"/>
      <selection activeCell="L2" sqref="L2"/>
      <selection pane="topRight" activeCell="L2" sqref="L2"/>
      <selection pane="bottomLeft" activeCell="L2" sqref="L2"/>
      <selection pane="bottomRight" activeCell="L2" sqref="L2"/>
    </sheetView>
  </sheetViews>
  <sheetFormatPr defaultRowHeight="15" x14ac:dyDescent="0.25"/>
  <cols>
    <col min="1" max="6" width="9.140625" style="13"/>
    <col min="7" max="7" width="14.85546875" style="13" bestFit="1" customWidth="1"/>
    <col min="8" max="9" width="12.7109375" style="13" bestFit="1" customWidth="1"/>
    <col min="10" max="10" width="10.140625" style="13" bestFit="1" customWidth="1"/>
    <col min="11" max="11" width="9.28515625" style="13" bestFit="1" customWidth="1"/>
    <col min="12" max="12" width="12.7109375" style="13" bestFit="1" customWidth="1"/>
    <col min="13" max="13" width="13.28515625" style="13" bestFit="1" customWidth="1"/>
    <col min="14" max="14" width="11.5703125" style="13" bestFit="1" customWidth="1"/>
    <col min="15" max="16" width="10.7109375" style="13" bestFit="1" customWidth="1"/>
    <col min="17" max="18" width="9.28515625" style="13" bestFit="1" customWidth="1"/>
    <col min="19" max="19" width="15.7109375" style="13" bestFit="1" customWidth="1"/>
    <col min="20" max="28" width="9.140625" style="13"/>
    <col min="29" max="30" width="11.5703125" style="13" bestFit="1" customWidth="1"/>
    <col min="31" max="31" width="9.28515625" style="13" bestFit="1" customWidth="1"/>
    <col min="32" max="32" width="11.5703125" style="13" bestFit="1" customWidth="1"/>
    <col min="33" max="33" width="9.28515625" style="13" bestFit="1" customWidth="1"/>
    <col min="34" max="34" width="13.5703125" style="13" bestFit="1" customWidth="1"/>
    <col min="35" max="35" width="9.28515625" style="13" bestFit="1" customWidth="1"/>
    <col min="36" max="36" width="10.7109375" style="13" bestFit="1" customWidth="1"/>
    <col min="37" max="37" width="9.140625" style="13"/>
    <col min="38" max="40" width="9.28515625" style="13" bestFit="1" customWidth="1"/>
    <col min="41" max="43" width="9.140625" style="13"/>
    <col min="44" max="16384" width="9.140625" style="43"/>
  </cols>
  <sheetData>
    <row r="1" spans="1:45" x14ac:dyDescent="0.25">
      <c r="A1" s="188"/>
      <c r="B1" s="188" t="s">
        <v>0</v>
      </c>
      <c r="C1" s="188" t="s">
        <v>1</v>
      </c>
      <c r="D1" s="188" t="s">
        <v>2</v>
      </c>
      <c r="E1" s="188" t="s">
        <v>3</v>
      </c>
      <c r="F1" s="188" t="s">
        <v>4</v>
      </c>
      <c r="G1" s="188" t="s">
        <v>5</v>
      </c>
      <c r="H1" s="188" t="s">
        <v>6</v>
      </c>
      <c r="I1" s="188" t="s">
        <v>7</v>
      </c>
      <c r="J1" s="188" t="s">
        <v>8</v>
      </c>
      <c r="K1" s="188" t="s">
        <v>9</v>
      </c>
      <c r="L1" s="188" t="s">
        <v>10</v>
      </c>
      <c r="M1" s="188" t="s">
        <v>11</v>
      </c>
      <c r="N1" s="188" t="s">
        <v>12</v>
      </c>
      <c r="O1" s="188" t="s">
        <v>13</v>
      </c>
      <c r="P1" s="188" t="s">
        <v>14</v>
      </c>
      <c r="Q1" s="188" t="s">
        <v>15</v>
      </c>
      <c r="R1" s="188" t="s">
        <v>16</v>
      </c>
      <c r="S1" s="188" t="s">
        <v>17</v>
      </c>
      <c r="T1" s="188" t="s">
        <v>18</v>
      </c>
      <c r="U1" s="188" t="s">
        <v>19</v>
      </c>
      <c r="V1" s="188" t="s">
        <v>20</v>
      </c>
      <c r="W1" s="188" t="s">
        <v>21</v>
      </c>
      <c r="X1" s="188" t="s">
        <v>22</v>
      </c>
      <c r="Y1" s="188" t="s">
        <v>23</v>
      </c>
      <c r="Z1" s="188" t="s">
        <v>24</v>
      </c>
      <c r="AA1" s="188" t="s">
        <v>25</v>
      </c>
      <c r="AB1" s="188" t="s">
        <v>26</v>
      </c>
      <c r="AC1" s="188" t="s">
        <v>27</v>
      </c>
      <c r="AD1" s="188" t="s">
        <v>28</v>
      </c>
      <c r="AE1" s="188" t="s">
        <v>29</v>
      </c>
      <c r="AF1" s="188" t="s">
        <v>30</v>
      </c>
      <c r="AG1" s="188" t="s">
        <v>31</v>
      </c>
      <c r="AH1" s="188" t="s">
        <v>32</v>
      </c>
      <c r="AI1" s="188" t="s">
        <v>33</v>
      </c>
      <c r="AJ1" s="188" t="s">
        <v>34</v>
      </c>
      <c r="AK1" s="188" t="s">
        <v>35</v>
      </c>
      <c r="AL1" s="188" t="s">
        <v>36</v>
      </c>
      <c r="AM1" s="188" t="s">
        <v>37</v>
      </c>
      <c r="AN1" s="188" t="s">
        <v>38</v>
      </c>
      <c r="AO1" s="188" t="s">
        <v>39</v>
      </c>
      <c r="AP1" s="188" t="s">
        <v>40</v>
      </c>
      <c r="AQ1" s="188" t="s">
        <v>41</v>
      </c>
      <c r="AR1" s="43" t="s">
        <v>42</v>
      </c>
      <c r="AS1" s="43">
        <f>SUMPRODUCT((B:B = "DERIVATIVES")*(C:C = "UNKNOWN"))</f>
        <v>0</v>
      </c>
    </row>
    <row r="2" spans="1:45" customFormat="1" ht="12.75" x14ac:dyDescent="0.2">
      <c r="A2">
        <v>0</v>
      </c>
      <c r="B2" t="s">
        <v>11225</v>
      </c>
      <c r="C2" t="s">
        <v>11226</v>
      </c>
      <c r="D2" t="s">
        <v>11227</v>
      </c>
      <c r="E2" t="s">
        <v>11228</v>
      </c>
      <c r="F2" t="s">
        <v>11229</v>
      </c>
      <c r="G2" t="s">
        <v>11228</v>
      </c>
      <c r="H2">
        <v>5060000</v>
      </c>
      <c r="I2">
        <v>5188272.46</v>
      </c>
      <c r="J2">
        <v>5260376.24</v>
      </c>
      <c r="K2">
        <v>8620.16</v>
      </c>
      <c r="L2">
        <v>0</v>
      </c>
      <c r="M2">
        <v>5268996.4000000004</v>
      </c>
      <c r="N2">
        <v>7.1514579999999999</v>
      </c>
      <c r="O2">
        <v>5.0480394801809832E-2</v>
      </c>
      <c r="P2" s="5">
        <v>44757</v>
      </c>
      <c r="Q2" s="5">
        <v>45672</v>
      </c>
      <c r="R2">
        <v>8.8829999999999991</v>
      </c>
      <c r="S2">
        <v>0.22</v>
      </c>
      <c r="T2">
        <v>0.20481451323300001</v>
      </c>
      <c r="U2" t="s">
        <v>108</v>
      </c>
      <c r="V2" t="s">
        <v>108</v>
      </c>
      <c r="W2" t="s">
        <v>11230</v>
      </c>
      <c r="X2" t="s">
        <v>43</v>
      </c>
      <c r="Y2" t="s">
        <v>10960</v>
      </c>
      <c r="AB2" t="s">
        <v>10961</v>
      </c>
      <c r="AD2">
        <v>7.2793159999999997</v>
      </c>
      <c r="AE2">
        <v>7.04717986</v>
      </c>
      <c r="AF2">
        <v>7.28</v>
      </c>
      <c r="AG2">
        <v>7.04717986</v>
      </c>
      <c r="AH2">
        <v>5.1100000000000003</v>
      </c>
      <c r="AI2">
        <v>5268996.4000000004</v>
      </c>
      <c r="AJ2">
        <v>0.01</v>
      </c>
      <c r="AK2" s="5">
        <v>44676</v>
      </c>
      <c r="AL2" t="s">
        <v>11008</v>
      </c>
      <c r="AM2">
        <v>7.15</v>
      </c>
      <c r="AN2">
        <v>8.8800000000000008</v>
      </c>
      <c r="AO2">
        <v>0.2</v>
      </c>
      <c r="AP2" t="s">
        <v>11231</v>
      </c>
      <c r="AQ2" t="s">
        <v>11232</v>
      </c>
      <c r="AR2" t="s">
        <v>11229</v>
      </c>
    </row>
    <row r="3" spans="1:45" customFormat="1" ht="12.75" x14ac:dyDescent="0.2">
      <c r="A3">
        <v>1</v>
      </c>
      <c r="B3" t="s">
        <v>11225</v>
      </c>
      <c r="C3" t="s">
        <v>11226</v>
      </c>
      <c r="D3" t="s">
        <v>11233</v>
      </c>
      <c r="E3" t="s">
        <v>11234</v>
      </c>
      <c r="F3" t="s">
        <v>11235</v>
      </c>
      <c r="G3" t="s">
        <v>11234</v>
      </c>
      <c r="H3">
        <v>2067120</v>
      </c>
      <c r="I3">
        <v>2097620.65</v>
      </c>
      <c r="J3">
        <v>1942828.62</v>
      </c>
      <c r="K3">
        <v>96929.81</v>
      </c>
      <c r="L3">
        <v>0</v>
      </c>
      <c r="M3">
        <v>2039758.43</v>
      </c>
      <c r="N3">
        <v>11.88</v>
      </c>
      <c r="O3">
        <v>1.954220557955207E-2</v>
      </c>
      <c r="P3" s="5">
        <v>44697</v>
      </c>
      <c r="Q3" s="5">
        <v>46888</v>
      </c>
      <c r="R3">
        <v>10.565</v>
      </c>
      <c r="S3">
        <v>4.7300000000000004</v>
      </c>
      <c r="T3">
        <v>4.4668326030000003</v>
      </c>
      <c r="U3" t="s">
        <v>108</v>
      </c>
      <c r="V3" t="s">
        <v>108</v>
      </c>
      <c r="W3" t="s">
        <v>11236</v>
      </c>
      <c r="X3" t="s">
        <v>43</v>
      </c>
      <c r="AB3" t="s">
        <v>10946</v>
      </c>
      <c r="AD3">
        <v>12.232836000000001</v>
      </c>
      <c r="AE3">
        <v>11.596213730000001</v>
      </c>
      <c r="AF3">
        <v>12.23</v>
      </c>
      <c r="AG3">
        <v>11.596213730000001</v>
      </c>
      <c r="AH3">
        <v>1.98</v>
      </c>
      <c r="AI3">
        <v>2039758.43</v>
      </c>
      <c r="AJ3">
        <v>0</v>
      </c>
      <c r="AK3" s="5">
        <v>44676</v>
      </c>
      <c r="AL3" t="s">
        <v>11008</v>
      </c>
      <c r="AM3">
        <v>11.88</v>
      </c>
      <c r="AN3">
        <v>10.56</v>
      </c>
      <c r="AO3">
        <v>4.47</v>
      </c>
      <c r="AP3" t="s">
        <v>11237</v>
      </c>
      <c r="AQ3" t="s">
        <v>11238</v>
      </c>
      <c r="AR3" t="s">
        <v>11235</v>
      </c>
    </row>
    <row r="4" spans="1:45" customFormat="1" ht="12.75" x14ac:dyDescent="0.2">
      <c r="A4">
        <v>2</v>
      </c>
      <c r="B4" t="s">
        <v>11225</v>
      </c>
      <c r="C4" t="s">
        <v>11226</v>
      </c>
      <c r="D4" t="s">
        <v>11233</v>
      </c>
      <c r="E4" t="s">
        <v>11239</v>
      </c>
      <c r="F4" t="s">
        <v>10923</v>
      </c>
      <c r="G4" t="s">
        <v>11239</v>
      </c>
      <c r="H4">
        <v>17800000</v>
      </c>
      <c r="I4">
        <v>19872350.559999999</v>
      </c>
      <c r="J4">
        <v>19344885.140000001</v>
      </c>
      <c r="K4">
        <v>645189.04</v>
      </c>
      <c r="L4">
        <v>0</v>
      </c>
      <c r="M4">
        <v>19990074.18</v>
      </c>
      <c r="N4">
        <v>8.2149999999999999</v>
      </c>
      <c r="O4">
        <v>0.19151784516760439</v>
      </c>
      <c r="P4" s="5">
        <v>44733</v>
      </c>
      <c r="Q4" s="5">
        <v>46377</v>
      </c>
      <c r="R4">
        <v>10.5</v>
      </c>
      <c r="S4">
        <v>3.72</v>
      </c>
      <c r="T4">
        <v>3.5704067199999998</v>
      </c>
      <c r="U4" t="s">
        <v>108</v>
      </c>
      <c r="V4" t="s">
        <v>108</v>
      </c>
      <c r="W4" t="s">
        <v>11236</v>
      </c>
      <c r="X4" t="s">
        <v>43</v>
      </c>
      <c r="Y4" t="s">
        <v>11240</v>
      </c>
      <c r="AB4" t="s">
        <v>11241</v>
      </c>
      <c r="AD4">
        <v>8.3837155600000006</v>
      </c>
      <c r="AE4">
        <v>8.0778333100000008</v>
      </c>
      <c r="AF4">
        <v>8.3800000000000008</v>
      </c>
      <c r="AG4">
        <v>8.0778333100000008</v>
      </c>
      <c r="AH4">
        <v>19.39</v>
      </c>
      <c r="AI4">
        <v>19990074.18</v>
      </c>
      <c r="AJ4">
        <v>0.05</v>
      </c>
      <c r="AK4" s="5">
        <v>44676</v>
      </c>
      <c r="AL4" t="s">
        <v>11008</v>
      </c>
      <c r="AM4">
        <v>8.2100000000000009</v>
      </c>
      <c r="AN4">
        <v>10.5</v>
      </c>
      <c r="AO4">
        <v>3.57</v>
      </c>
      <c r="AP4" t="s">
        <v>11242</v>
      </c>
      <c r="AQ4" t="s">
        <v>11243</v>
      </c>
      <c r="AR4" t="s">
        <v>10923</v>
      </c>
    </row>
    <row r="5" spans="1:45" customFormat="1" ht="12.75" x14ac:dyDescent="0.2">
      <c r="A5">
        <v>3</v>
      </c>
      <c r="B5" t="s">
        <v>11225</v>
      </c>
      <c r="C5" t="s">
        <v>11226</v>
      </c>
      <c r="D5" t="s">
        <v>11233</v>
      </c>
      <c r="E5" t="s">
        <v>11244</v>
      </c>
      <c r="F5" t="s">
        <v>11245</v>
      </c>
      <c r="G5" t="s">
        <v>11244</v>
      </c>
      <c r="H5">
        <v>2130000</v>
      </c>
      <c r="I5">
        <v>2130000</v>
      </c>
      <c r="J5">
        <v>2132395.08</v>
      </c>
      <c r="K5">
        <v>9044.2099999999991</v>
      </c>
      <c r="L5">
        <v>0</v>
      </c>
      <c r="M5">
        <v>2141439.29</v>
      </c>
      <c r="N5">
        <v>8.0317019999999992</v>
      </c>
      <c r="O5">
        <v>2.051637401067637E-2</v>
      </c>
      <c r="P5" s="5">
        <v>44750</v>
      </c>
      <c r="Q5" s="5">
        <v>46485</v>
      </c>
      <c r="R5">
        <v>8.157</v>
      </c>
      <c r="S5">
        <v>0.2</v>
      </c>
      <c r="T5">
        <v>9.2570486359999996E-2</v>
      </c>
      <c r="U5" t="s">
        <v>108</v>
      </c>
      <c r="V5" t="s">
        <v>108</v>
      </c>
      <c r="W5" t="s">
        <v>11230</v>
      </c>
      <c r="X5" t="s">
        <v>43</v>
      </c>
      <c r="Y5" t="s">
        <v>10960</v>
      </c>
      <c r="AB5" t="s">
        <v>10961</v>
      </c>
      <c r="AD5">
        <v>8.1929730900000006</v>
      </c>
      <c r="AE5">
        <v>7.9005174499999997</v>
      </c>
      <c r="AF5">
        <v>8.19</v>
      </c>
      <c r="AG5">
        <v>7.9005174499999997</v>
      </c>
      <c r="AH5">
        <v>2.08</v>
      </c>
      <c r="AI5">
        <v>2141439.29</v>
      </c>
      <c r="AJ5">
        <v>0</v>
      </c>
      <c r="AK5" s="5">
        <v>44676</v>
      </c>
      <c r="AL5" t="s">
        <v>11008</v>
      </c>
      <c r="AM5">
        <v>8.0299999999999994</v>
      </c>
      <c r="AN5">
        <v>8.16</v>
      </c>
      <c r="AO5">
        <v>0.09</v>
      </c>
      <c r="AP5" t="s">
        <v>11246</v>
      </c>
      <c r="AQ5" t="s">
        <v>11247</v>
      </c>
      <c r="AR5" t="s">
        <v>11245</v>
      </c>
    </row>
    <row r="6" spans="1:45" customFormat="1" ht="12.75" x14ac:dyDescent="0.2">
      <c r="A6">
        <v>4</v>
      </c>
      <c r="B6" t="s">
        <v>11225</v>
      </c>
      <c r="C6" t="s">
        <v>11226</v>
      </c>
      <c r="D6" t="s">
        <v>11248</v>
      </c>
      <c r="E6" t="s">
        <v>11249</v>
      </c>
      <c r="F6" t="s">
        <v>11250</v>
      </c>
      <c r="G6" t="s">
        <v>11249</v>
      </c>
      <c r="H6">
        <v>2600000</v>
      </c>
      <c r="I6">
        <v>2574893.36</v>
      </c>
      <c r="J6">
        <v>2480031.58</v>
      </c>
      <c r="K6">
        <v>11219.18</v>
      </c>
      <c r="L6">
        <v>0</v>
      </c>
      <c r="M6">
        <v>2491250.7599999998</v>
      </c>
      <c r="N6">
        <v>11.361000000000001</v>
      </c>
      <c r="O6">
        <v>2.3867794237837931E-2</v>
      </c>
      <c r="P6" s="5">
        <v>44844</v>
      </c>
      <c r="Q6" s="5">
        <v>47765</v>
      </c>
      <c r="R6">
        <v>10.5</v>
      </c>
      <c r="S6">
        <v>5.71</v>
      </c>
      <c r="T6">
        <v>5.4005013550000003</v>
      </c>
      <c r="U6" t="s">
        <v>108</v>
      </c>
      <c r="V6" t="s">
        <v>108</v>
      </c>
      <c r="W6" t="s">
        <v>11236</v>
      </c>
      <c r="X6" t="s">
        <v>43</v>
      </c>
      <c r="AB6" t="s">
        <v>10946</v>
      </c>
      <c r="AD6">
        <v>11.683680799999999</v>
      </c>
      <c r="AE6">
        <v>11.10107404</v>
      </c>
      <c r="AF6">
        <v>11.68</v>
      </c>
      <c r="AG6">
        <v>11.10107404</v>
      </c>
      <c r="AH6">
        <v>2.42</v>
      </c>
      <c r="AI6">
        <v>2491250.7599999998</v>
      </c>
      <c r="AJ6">
        <v>0.01</v>
      </c>
      <c r="AK6" s="5">
        <v>44676</v>
      </c>
      <c r="AL6" t="s">
        <v>11008</v>
      </c>
      <c r="AM6">
        <v>11.36</v>
      </c>
      <c r="AN6">
        <v>10.5</v>
      </c>
      <c r="AO6">
        <v>5.4</v>
      </c>
      <c r="AP6" t="s">
        <v>11251</v>
      </c>
      <c r="AQ6" t="s">
        <v>11252</v>
      </c>
      <c r="AR6" t="s">
        <v>11250</v>
      </c>
    </row>
    <row r="7" spans="1:45" customFormat="1" ht="12.75" x14ac:dyDescent="0.2">
      <c r="A7">
        <v>5</v>
      </c>
      <c r="B7" t="s">
        <v>11225</v>
      </c>
      <c r="C7" t="s">
        <v>11226</v>
      </c>
      <c r="D7" t="s">
        <v>11253</v>
      </c>
      <c r="E7" t="s">
        <v>11254</v>
      </c>
      <c r="F7" t="s">
        <v>11255</v>
      </c>
      <c r="G7" t="s">
        <v>11254</v>
      </c>
      <c r="H7">
        <v>3600000</v>
      </c>
      <c r="I7">
        <v>2896561.42</v>
      </c>
      <c r="J7">
        <v>2944734.84</v>
      </c>
      <c r="K7">
        <v>49191.8</v>
      </c>
      <c r="L7">
        <v>0</v>
      </c>
      <c r="M7">
        <v>2993926.64</v>
      </c>
      <c r="N7">
        <v>10.86</v>
      </c>
      <c r="O7">
        <v>2.8683754423300799E-2</v>
      </c>
      <c r="P7" s="5">
        <v>44804</v>
      </c>
      <c r="Q7" s="5">
        <v>54116</v>
      </c>
      <c r="R7">
        <v>8.75</v>
      </c>
      <c r="S7">
        <v>9.19</v>
      </c>
      <c r="T7">
        <v>8.7159378380000003</v>
      </c>
      <c r="U7" t="s">
        <v>108</v>
      </c>
      <c r="V7" t="s">
        <v>108</v>
      </c>
      <c r="W7" t="s">
        <v>11236</v>
      </c>
      <c r="X7" t="s">
        <v>43</v>
      </c>
      <c r="Y7" t="s">
        <v>11240</v>
      </c>
      <c r="AB7" t="s">
        <v>11241</v>
      </c>
      <c r="AD7">
        <v>11.154849</v>
      </c>
      <c r="AE7">
        <v>10.622144799999999</v>
      </c>
      <c r="AF7">
        <v>11.15</v>
      </c>
      <c r="AG7">
        <v>10.622144799999999</v>
      </c>
      <c r="AH7">
        <v>2.9</v>
      </c>
      <c r="AI7">
        <v>2993926.64</v>
      </c>
      <c r="AJ7">
        <v>0.01</v>
      </c>
      <c r="AK7" s="5">
        <v>44676</v>
      </c>
      <c r="AL7" t="s">
        <v>11008</v>
      </c>
      <c r="AM7">
        <v>10.86</v>
      </c>
      <c r="AN7">
        <v>8.75</v>
      </c>
      <c r="AO7">
        <v>8.7200000000000006</v>
      </c>
      <c r="AP7" t="s">
        <v>11242</v>
      </c>
      <c r="AQ7" t="s">
        <v>11256</v>
      </c>
      <c r="AR7" t="s">
        <v>11255</v>
      </c>
    </row>
    <row r="8" spans="1:45" customFormat="1" ht="12.75" x14ac:dyDescent="0.2">
      <c r="A8">
        <v>6</v>
      </c>
      <c r="B8" t="s">
        <v>11225</v>
      </c>
      <c r="C8" t="s">
        <v>11226</v>
      </c>
      <c r="D8" t="s">
        <v>11253</v>
      </c>
      <c r="E8" t="s">
        <v>11257</v>
      </c>
      <c r="F8" t="s">
        <v>11258</v>
      </c>
      <c r="G8" t="s">
        <v>11257</v>
      </c>
      <c r="H8">
        <v>3250000</v>
      </c>
      <c r="I8">
        <v>2726349.02</v>
      </c>
      <c r="J8">
        <v>2706025.73</v>
      </c>
      <c r="K8">
        <v>64332.19</v>
      </c>
      <c r="L8">
        <v>0</v>
      </c>
      <c r="M8">
        <v>2770357.92</v>
      </c>
      <c r="N8">
        <v>10.79</v>
      </c>
      <c r="O8">
        <v>2.654182142616774E-2</v>
      </c>
      <c r="P8" s="5">
        <v>44774</v>
      </c>
      <c r="Q8" s="5">
        <v>50071</v>
      </c>
      <c r="R8">
        <v>8.5</v>
      </c>
      <c r="S8">
        <v>7.9</v>
      </c>
      <c r="T8">
        <v>7.4921090709999998</v>
      </c>
      <c r="U8" t="s">
        <v>108</v>
      </c>
      <c r="V8" t="s">
        <v>108</v>
      </c>
      <c r="W8" t="s">
        <v>11236</v>
      </c>
      <c r="X8" t="s">
        <v>43</v>
      </c>
      <c r="Y8" t="s">
        <v>11240</v>
      </c>
      <c r="AB8" t="s">
        <v>11241</v>
      </c>
      <c r="AD8">
        <v>11.08106025</v>
      </c>
      <c r="AE8">
        <v>10.55515306</v>
      </c>
      <c r="AF8">
        <v>11.08</v>
      </c>
      <c r="AG8">
        <v>10.55515306</v>
      </c>
      <c r="AH8">
        <v>2.69</v>
      </c>
      <c r="AI8">
        <v>2770357.92</v>
      </c>
      <c r="AJ8">
        <v>0.01</v>
      </c>
      <c r="AK8" s="5">
        <v>44676</v>
      </c>
      <c r="AL8" t="s">
        <v>11008</v>
      </c>
      <c r="AM8">
        <v>10.79</v>
      </c>
      <c r="AN8">
        <v>8.5</v>
      </c>
      <c r="AO8">
        <v>7.49</v>
      </c>
      <c r="AP8" t="s">
        <v>11242</v>
      </c>
      <c r="AQ8" t="s">
        <v>11259</v>
      </c>
      <c r="AR8" t="s">
        <v>11258</v>
      </c>
    </row>
    <row r="9" spans="1:45" customFormat="1" ht="12.75" x14ac:dyDescent="0.2">
      <c r="A9">
        <v>7</v>
      </c>
      <c r="B9" t="s">
        <v>11225</v>
      </c>
      <c r="C9" t="s">
        <v>11226</v>
      </c>
      <c r="D9" t="s">
        <v>11260</v>
      </c>
      <c r="E9" t="s">
        <v>11261</v>
      </c>
      <c r="F9" t="s">
        <v>1150</v>
      </c>
      <c r="G9" t="s">
        <v>11261</v>
      </c>
      <c r="H9">
        <v>1960000</v>
      </c>
      <c r="I9">
        <v>2524917.84</v>
      </c>
      <c r="J9">
        <v>2538315.9500000002</v>
      </c>
      <c r="K9">
        <v>16458.509999999998</v>
      </c>
      <c r="L9">
        <v>0</v>
      </c>
      <c r="M9">
        <v>2554774.46</v>
      </c>
      <c r="N9">
        <v>3.89</v>
      </c>
      <c r="O9">
        <v>2.4476392386675479E-2</v>
      </c>
      <c r="P9" s="5">
        <v>44774</v>
      </c>
      <c r="Q9" s="5">
        <v>50436</v>
      </c>
      <c r="R9">
        <v>2.25</v>
      </c>
      <c r="S9">
        <v>12.94</v>
      </c>
      <c r="T9">
        <v>12.68994436</v>
      </c>
      <c r="U9" t="s">
        <v>108</v>
      </c>
      <c r="V9" t="s">
        <v>108</v>
      </c>
      <c r="W9" t="s">
        <v>11262</v>
      </c>
      <c r="X9" t="s">
        <v>43</v>
      </c>
      <c r="Y9" t="s">
        <v>11240</v>
      </c>
      <c r="AB9" t="s">
        <v>11241</v>
      </c>
      <c r="AD9">
        <v>3.92783025</v>
      </c>
      <c r="AE9">
        <v>3.8588444200000001</v>
      </c>
      <c r="AF9">
        <v>3.93</v>
      </c>
      <c r="AG9">
        <v>3.8588444200000001</v>
      </c>
      <c r="AH9">
        <v>2.48</v>
      </c>
      <c r="AI9">
        <v>2554774.46</v>
      </c>
      <c r="AJ9">
        <v>0.01</v>
      </c>
      <c r="AK9" s="5">
        <v>44676</v>
      </c>
      <c r="AL9" t="s">
        <v>11008</v>
      </c>
      <c r="AM9">
        <v>3.89</v>
      </c>
      <c r="AN9">
        <v>2.25</v>
      </c>
      <c r="AO9">
        <v>12.69</v>
      </c>
      <c r="AP9" t="s">
        <v>11242</v>
      </c>
      <c r="AQ9" t="s">
        <v>11263</v>
      </c>
      <c r="AR9" t="s">
        <v>1150</v>
      </c>
    </row>
    <row r="10" spans="1:45" customFormat="1" ht="12.75" x14ac:dyDescent="0.2">
      <c r="A10">
        <v>8</v>
      </c>
      <c r="B10" t="s">
        <v>11225</v>
      </c>
      <c r="C10" t="s">
        <v>11226</v>
      </c>
      <c r="D10" t="s">
        <v>11260</v>
      </c>
      <c r="E10" t="s">
        <v>11264</v>
      </c>
      <c r="F10" t="s">
        <v>1187</v>
      </c>
      <c r="G10" t="s">
        <v>11264</v>
      </c>
      <c r="H10">
        <v>2140000</v>
      </c>
      <c r="I10">
        <v>2516926.11</v>
      </c>
      <c r="J10">
        <v>2532462.2400000002</v>
      </c>
      <c r="K10">
        <v>5756.35</v>
      </c>
      <c r="L10">
        <v>0</v>
      </c>
      <c r="M10">
        <v>2538218.59</v>
      </c>
      <c r="N10">
        <v>3.9</v>
      </c>
      <c r="O10">
        <v>2.4317776439644761E-2</v>
      </c>
      <c r="P10" s="5">
        <v>44834</v>
      </c>
      <c r="Q10" s="5">
        <v>53417</v>
      </c>
      <c r="R10">
        <v>2.5</v>
      </c>
      <c r="S10">
        <v>17.21</v>
      </c>
      <c r="T10">
        <v>16.883951589999999</v>
      </c>
      <c r="U10" t="s">
        <v>108</v>
      </c>
      <c r="V10" t="s">
        <v>108</v>
      </c>
      <c r="W10" t="s">
        <v>11262</v>
      </c>
      <c r="X10" t="s">
        <v>43</v>
      </c>
      <c r="Y10" t="s">
        <v>11240</v>
      </c>
      <c r="AB10" t="s">
        <v>11241</v>
      </c>
      <c r="AD10">
        <v>3.9380250000000001</v>
      </c>
      <c r="AE10">
        <v>3.8686849699999999</v>
      </c>
      <c r="AF10">
        <v>3.94</v>
      </c>
      <c r="AG10">
        <v>3.8686849699999999</v>
      </c>
      <c r="AH10">
        <v>2.46</v>
      </c>
      <c r="AI10">
        <v>2538218.59</v>
      </c>
      <c r="AJ10">
        <v>0.01</v>
      </c>
      <c r="AK10" s="5">
        <v>44676</v>
      </c>
      <c r="AL10" t="s">
        <v>11008</v>
      </c>
      <c r="AM10">
        <v>3.9</v>
      </c>
      <c r="AN10">
        <v>2.5</v>
      </c>
      <c r="AO10">
        <v>16.88</v>
      </c>
      <c r="AP10" t="s">
        <v>11242</v>
      </c>
      <c r="AQ10" t="s">
        <v>11265</v>
      </c>
      <c r="AR10" t="s">
        <v>1187</v>
      </c>
    </row>
    <row r="11" spans="1:45" customFormat="1" ht="12.75" x14ac:dyDescent="0.2">
      <c r="A11">
        <v>9</v>
      </c>
      <c r="B11" t="s">
        <v>11225</v>
      </c>
      <c r="C11" t="s">
        <v>11226</v>
      </c>
      <c r="D11" t="s">
        <v>11260</v>
      </c>
      <c r="E11" t="s">
        <v>11266</v>
      </c>
      <c r="F11" t="s">
        <v>1157</v>
      </c>
      <c r="G11" t="s">
        <v>11266</v>
      </c>
      <c r="H11">
        <v>2380000</v>
      </c>
      <c r="I11">
        <v>2870454.3</v>
      </c>
      <c r="J11">
        <v>2894730.85</v>
      </c>
      <c r="K11">
        <v>30276.69</v>
      </c>
      <c r="L11">
        <v>0</v>
      </c>
      <c r="M11">
        <v>2925007.54</v>
      </c>
      <c r="N11">
        <v>3.9</v>
      </c>
      <c r="O11">
        <v>2.8023464851384329E-2</v>
      </c>
      <c r="P11" s="5">
        <v>44742</v>
      </c>
      <c r="Q11" s="5">
        <v>55153</v>
      </c>
      <c r="R11">
        <v>2.5</v>
      </c>
      <c r="S11">
        <v>19.05</v>
      </c>
      <c r="T11">
        <v>18.68691411</v>
      </c>
      <c r="U11" t="s">
        <v>108</v>
      </c>
      <c r="V11" t="s">
        <v>108</v>
      </c>
      <c r="W11" t="s">
        <v>11262</v>
      </c>
      <c r="X11" t="s">
        <v>43</v>
      </c>
      <c r="Y11" t="s">
        <v>11240</v>
      </c>
      <c r="AB11" t="s">
        <v>11241</v>
      </c>
      <c r="AD11">
        <v>3.9380250000000001</v>
      </c>
      <c r="AE11">
        <v>3.8686849699999999</v>
      </c>
      <c r="AF11">
        <v>3.94</v>
      </c>
      <c r="AG11">
        <v>3.8686849699999999</v>
      </c>
      <c r="AH11">
        <v>2.84</v>
      </c>
      <c r="AI11">
        <v>2925007.54</v>
      </c>
      <c r="AJ11">
        <v>0.01</v>
      </c>
      <c r="AK11" s="5">
        <v>44676</v>
      </c>
      <c r="AL11" t="s">
        <v>11008</v>
      </c>
      <c r="AM11">
        <v>3.9</v>
      </c>
      <c r="AN11">
        <v>2.5</v>
      </c>
      <c r="AO11">
        <v>18.690000000000001</v>
      </c>
      <c r="AP11" t="s">
        <v>11242</v>
      </c>
      <c r="AQ11" t="s">
        <v>11267</v>
      </c>
      <c r="AR11" t="s">
        <v>1157</v>
      </c>
    </row>
    <row r="12" spans="1:45" customFormat="1" ht="12.75" x14ac:dyDescent="0.2">
      <c r="A12">
        <v>10</v>
      </c>
      <c r="B12" t="s">
        <v>11225</v>
      </c>
      <c r="C12" t="s">
        <v>11226</v>
      </c>
      <c r="D12" t="s">
        <v>11260</v>
      </c>
      <c r="E12" t="s">
        <v>11268</v>
      </c>
      <c r="F12" t="s">
        <v>1194</v>
      </c>
      <c r="G12" t="s">
        <v>11268</v>
      </c>
      <c r="H12">
        <v>2260000</v>
      </c>
      <c r="I12">
        <v>2566170.4900000002</v>
      </c>
      <c r="J12">
        <v>2558335.64</v>
      </c>
      <c r="K12">
        <v>9040.86</v>
      </c>
      <c r="L12">
        <v>0</v>
      </c>
      <c r="M12">
        <v>2567376.5</v>
      </c>
      <c r="N12">
        <v>3.82</v>
      </c>
      <c r="O12">
        <v>2.459712808399123E-2</v>
      </c>
      <c r="P12" s="5">
        <v>44804</v>
      </c>
      <c r="Q12" s="5">
        <v>48638</v>
      </c>
      <c r="R12">
        <v>1.875</v>
      </c>
      <c r="S12">
        <v>9.7100000000000009</v>
      </c>
      <c r="T12">
        <v>9.5250554209999994</v>
      </c>
      <c r="U12" t="s">
        <v>108</v>
      </c>
      <c r="V12" t="s">
        <v>108</v>
      </c>
      <c r="W12" t="s">
        <v>11262</v>
      </c>
      <c r="X12" t="s">
        <v>43</v>
      </c>
      <c r="Y12" t="s">
        <v>11240</v>
      </c>
      <c r="AB12" t="s">
        <v>11241</v>
      </c>
      <c r="AD12">
        <v>3.856481</v>
      </c>
      <c r="AE12">
        <v>3.7899492800000001</v>
      </c>
      <c r="AF12">
        <v>3.86</v>
      </c>
      <c r="AG12">
        <v>3.7899492800000001</v>
      </c>
      <c r="AH12">
        <v>2.4900000000000002</v>
      </c>
      <c r="AI12">
        <v>2567376.5</v>
      </c>
      <c r="AJ12">
        <v>0.01</v>
      </c>
      <c r="AK12" s="5">
        <v>44676</v>
      </c>
      <c r="AL12" t="s">
        <v>11008</v>
      </c>
      <c r="AM12">
        <v>3.82</v>
      </c>
      <c r="AN12">
        <v>1.88</v>
      </c>
      <c r="AO12">
        <v>9.5299999999999994</v>
      </c>
      <c r="AP12" t="s">
        <v>11242</v>
      </c>
      <c r="AQ12" t="s">
        <v>11269</v>
      </c>
      <c r="AR12" t="s">
        <v>1194</v>
      </c>
    </row>
    <row r="13" spans="1:45" customFormat="1" ht="12.75" x14ac:dyDescent="0.2">
      <c r="A13">
        <v>11</v>
      </c>
      <c r="B13" t="s">
        <v>11225</v>
      </c>
      <c r="C13" t="s">
        <v>44</v>
      </c>
      <c r="D13" t="s">
        <v>10947</v>
      </c>
      <c r="E13" t="s">
        <v>10948</v>
      </c>
      <c r="F13" t="s">
        <v>10949</v>
      </c>
      <c r="G13" t="s">
        <v>10948</v>
      </c>
      <c r="H13">
        <v>3303338.14</v>
      </c>
      <c r="I13">
        <v>3303338.1</v>
      </c>
      <c r="J13">
        <v>3303338.1</v>
      </c>
      <c r="K13">
        <v>16262.6</v>
      </c>
      <c r="L13">
        <v>0</v>
      </c>
      <c r="M13">
        <v>3319600.7</v>
      </c>
      <c r="O13">
        <v>3.1803922644616768E-2</v>
      </c>
      <c r="P13" s="5">
        <v>40756</v>
      </c>
      <c r="Q13" s="5">
        <v>73020</v>
      </c>
      <c r="R13">
        <v>0</v>
      </c>
      <c r="U13" t="s">
        <v>108</v>
      </c>
      <c r="V13" t="s">
        <v>10950</v>
      </c>
      <c r="W13" t="s">
        <v>45</v>
      </c>
      <c r="X13" t="s">
        <v>43</v>
      </c>
      <c r="AF13">
        <v>0</v>
      </c>
      <c r="AG13">
        <v>0</v>
      </c>
      <c r="AH13">
        <v>3.22</v>
      </c>
      <c r="AI13">
        <v>3319600.7</v>
      </c>
      <c r="AJ13">
        <v>0.01</v>
      </c>
      <c r="AK13" s="5">
        <v>44676</v>
      </c>
      <c r="AL13" t="s">
        <v>11008</v>
      </c>
      <c r="AM13">
        <v>0</v>
      </c>
      <c r="AN13">
        <v>0</v>
      </c>
      <c r="AO13">
        <v>0</v>
      </c>
      <c r="AQ13" t="s">
        <v>10951</v>
      </c>
      <c r="AR13" t="s">
        <v>10949</v>
      </c>
    </row>
    <row r="14" spans="1:45" customFormat="1" ht="12.75" x14ac:dyDescent="0.2">
      <c r="A14">
        <v>12</v>
      </c>
      <c r="B14" t="s">
        <v>11225</v>
      </c>
      <c r="C14" t="s">
        <v>44</v>
      </c>
      <c r="D14" t="s">
        <v>10970</v>
      </c>
      <c r="E14" t="s">
        <v>10971</v>
      </c>
      <c r="F14" t="s">
        <v>10972</v>
      </c>
      <c r="G14" t="s">
        <v>10973</v>
      </c>
      <c r="H14">
        <v>1236404</v>
      </c>
      <c r="I14">
        <v>1236404</v>
      </c>
      <c r="J14">
        <v>1236404</v>
      </c>
      <c r="K14">
        <v>5346.98</v>
      </c>
      <c r="L14">
        <v>0</v>
      </c>
      <c r="M14">
        <v>1241750.98</v>
      </c>
      <c r="N14">
        <v>6.88</v>
      </c>
      <c r="O14">
        <v>1.189677785999897E-2</v>
      </c>
      <c r="Q14" s="5">
        <v>55153</v>
      </c>
      <c r="R14">
        <v>6.88</v>
      </c>
      <c r="S14">
        <v>0.08</v>
      </c>
      <c r="T14">
        <v>2.6006750000000002E-3</v>
      </c>
      <c r="U14" t="s">
        <v>109</v>
      </c>
      <c r="V14" t="s">
        <v>45</v>
      </c>
      <c r="W14" t="s">
        <v>10974</v>
      </c>
      <c r="X14" t="s">
        <v>43</v>
      </c>
      <c r="AF14">
        <v>0</v>
      </c>
      <c r="AG14">
        <v>0</v>
      </c>
      <c r="AH14">
        <v>1.2</v>
      </c>
      <c r="AI14">
        <v>1241750.98</v>
      </c>
      <c r="AJ14">
        <v>0</v>
      </c>
      <c r="AK14" s="5">
        <v>44676</v>
      </c>
      <c r="AL14" t="s">
        <v>11008</v>
      </c>
      <c r="AM14">
        <v>0</v>
      </c>
      <c r="AN14">
        <v>6.88</v>
      </c>
      <c r="AO14">
        <v>0</v>
      </c>
      <c r="AP14" t="s">
        <v>10972</v>
      </c>
      <c r="AR14" t="s">
        <v>10972</v>
      </c>
    </row>
    <row r="15" spans="1:45" customFormat="1" ht="12.75" x14ac:dyDescent="0.2">
      <c r="A15">
        <v>13</v>
      </c>
      <c r="B15" t="s">
        <v>11225</v>
      </c>
      <c r="C15" t="s">
        <v>44</v>
      </c>
      <c r="D15" t="s">
        <v>46</v>
      </c>
      <c r="E15" t="s">
        <v>47</v>
      </c>
      <c r="F15" t="s">
        <v>48</v>
      </c>
      <c r="G15" t="s">
        <v>49</v>
      </c>
      <c r="H15">
        <v>0</v>
      </c>
      <c r="I15">
        <v>0</v>
      </c>
      <c r="J15">
        <v>0</v>
      </c>
      <c r="K15">
        <v>0</v>
      </c>
      <c r="L15">
        <v>0</v>
      </c>
      <c r="M15">
        <v>735.9</v>
      </c>
      <c r="O15">
        <v>7.050398162096268E-6</v>
      </c>
      <c r="S15">
        <v>0.08</v>
      </c>
      <c r="U15" t="s">
        <v>44</v>
      </c>
      <c r="V15" t="s">
        <v>45</v>
      </c>
      <c r="X15" t="s">
        <v>43</v>
      </c>
      <c r="AD15">
        <v>5.1163389600000002</v>
      </c>
      <c r="AE15">
        <v>5.0001424999999999</v>
      </c>
      <c r="AF15">
        <v>5.12</v>
      </c>
      <c r="AG15">
        <v>5.0001424999999999</v>
      </c>
      <c r="AH15">
        <v>0</v>
      </c>
      <c r="AI15">
        <v>735.9</v>
      </c>
      <c r="AJ15">
        <v>0</v>
      </c>
      <c r="AK15" s="5">
        <v>44676</v>
      </c>
      <c r="AL15" t="s">
        <v>11008</v>
      </c>
      <c r="AM15">
        <v>5.05</v>
      </c>
      <c r="AN15">
        <v>0</v>
      </c>
      <c r="AO15">
        <v>0</v>
      </c>
    </row>
    <row r="16" spans="1:45" customFormat="1" ht="12.75" x14ac:dyDescent="0.2">
      <c r="A16">
        <v>14</v>
      </c>
      <c r="B16" t="s">
        <v>11225</v>
      </c>
      <c r="C16" t="s">
        <v>44</v>
      </c>
      <c r="D16" t="s">
        <v>46</v>
      </c>
      <c r="E16" t="s">
        <v>50</v>
      </c>
      <c r="F16" t="s">
        <v>51</v>
      </c>
      <c r="G16" t="s">
        <v>50</v>
      </c>
      <c r="H16">
        <v>538964.94999999995</v>
      </c>
      <c r="I16">
        <v>538964.94999999995</v>
      </c>
      <c r="J16">
        <v>538964.94999999995</v>
      </c>
      <c r="K16">
        <v>0</v>
      </c>
      <c r="L16">
        <v>0</v>
      </c>
      <c r="M16">
        <v>538964.94999999995</v>
      </c>
      <c r="O16">
        <v>5.1636329568070481E-3</v>
      </c>
      <c r="S16">
        <v>0.08</v>
      </c>
      <c r="U16" t="s">
        <v>44</v>
      </c>
      <c r="V16" t="s">
        <v>52</v>
      </c>
      <c r="X16" t="s">
        <v>43</v>
      </c>
      <c r="AD16">
        <v>5.1163389600000002</v>
      </c>
      <c r="AE16">
        <v>5.0001424999999999</v>
      </c>
      <c r="AF16">
        <v>5.12</v>
      </c>
      <c r="AG16">
        <v>5.0001424999999999</v>
      </c>
      <c r="AH16">
        <v>0.52</v>
      </c>
      <c r="AI16">
        <v>538964.94999999995</v>
      </c>
      <c r="AJ16">
        <v>0</v>
      </c>
      <c r="AK16" s="5">
        <v>44676</v>
      </c>
      <c r="AL16" t="s">
        <v>11008</v>
      </c>
      <c r="AM16">
        <v>5.05</v>
      </c>
      <c r="AN16">
        <v>0</v>
      </c>
      <c r="AO16">
        <v>0</v>
      </c>
      <c r="AR16" t="s">
        <v>43</v>
      </c>
    </row>
    <row r="17" spans="1:44" customFormat="1" ht="12.75" x14ac:dyDescent="0.2">
      <c r="A17">
        <v>15</v>
      </c>
      <c r="B17" t="s">
        <v>11225</v>
      </c>
      <c r="C17" t="s">
        <v>44</v>
      </c>
      <c r="D17" t="s">
        <v>10952</v>
      </c>
      <c r="E17" t="s">
        <v>10975</v>
      </c>
      <c r="F17" t="s">
        <v>10976</v>
      </c>
      <c r="H17">
        <v>-459606.18</v>
      </c>
      <c r="I17">
        <v>-459606.18</v>
      </c>
      <c r="J17">
        <v>-459606.18</v>
      </c>
      <c r="K17">
        <v>0</v>
      </c>
      <c r="M17">
        <v>-459606.18</v>
      </c>
      <c r="O17">
        <v>-4.4033245913304613E-3</v>
      </c>
      <c r="Q17" s="5">
        <v>73051</v>
      </c>
      <c r="R17">
        <v>0</v>
      </c>
      <c r="S17">
        <v>0.08</v>
      </c>
      <c r="U17" t="s">
        <v>44</v>
      </c>
      <c r="X17" t="s">
        <v>43</v>
      </c>
      <c r="AD17">
        <v>5.1163389600000002</v>
      </c>
      <c r="AE17">
        <v>5.0001424999999999</v>
      </c>
      <c r="AF17">
        <v>5.12</v>
      </c>
      <c r="AG17">
        <v>5.0001424999999999</v>
      </c>
      <c r="AH17">
        <v>-0.45</v>
      </c>
      <c r="AI17">
        <v>-459606.18</v>
      </c>
      <c r="AJ17">
        <v>0</v>
      </c>
      <c r="AK17" s="5">
        <v>44676</v>
      </c>
      <c r="AL17" t="s">
        <v>11008</v>
      </c>
      <c r="AM17">
        <v>5.05</v>
      </c>
      <c r="AN17">
        <v>0</v>
      </c>
      <c r="AO17">
        <v>0</v>
      </c>
    </row>
    <row r="18" spans="1:44" customFormat="1" ht="12.75" x14ac:dyDescent="0.2">
      <c r="A18">
        <v>16</v>
      </c>
      <c r="B18" t="s">
        <v>11225</v>
      </c>
      <c r="C18" t="s">
        <v>10953</v>
      </c>
      <c r="D18" t="s">
        <v>54</v>
      </c>
      <c r="E18" t="s">
        <v>11270</v>
      </c>
      <c r="F18" t="s">
        <v>11270</v>
      </c>
      <c r="G18" t="s">
        <v>11270</v>
      </c>
      <c r="H18">
        <v>27</v>
      </c>
      <c r="I18">
        <v>0</v>
      </c>
      <c r="J18">
        <v>0</v>
      </c>
      <c r="K18">
        <v>0</v>
      </c>
      <c r="L18">
        <v>0</v>
      </c>
      <c r="M18">
        <v>0</v>
      </c>
      <c r="N18">
        <v>63316</v>
      </c>
      <c r="O18">
        <v>0</v>
      </c>
      <c r="Q18" s="5">
        <v>44727</v>
      </c>
      <c r="U18" t="s">
        <v>10955</v>
      </c>
      <c r="V18" t="s">
        <v>10954</v>
      </c>
      <c r="W18" t="s">
        <v>10956</v>
      </c>
      <c r="X18" t="s">
        <v>43</v>
      </c>
      <c r="AF18">
        <v>0</v>
      </c>
      <c r="AG18">
        <v>0</v>
      </c>
      <c r="AH18">
        <v>0</v>
      </c>
      <c r="AI18">
        <v>17095320</v>
      </c>
      <c r="AJ18">
        <v>0.04</v>
      </c>
      <c r="AK18" s="5">
        <v>44676</v>
      </c>
      <c r="AL18" t="s">
        <v>11008</v>
      </c>
      <c r="AM18">
        <v>0</v>
      </c>
      <c r="AN18">
        <v>0</v>
      </c>
      <c r="AO18">
        <v>0</v>
      </c>
      <c r="AQ18" t="s">
        <v>11271</v>
      </c>
      <c r="AR18" t="s">
        <v>11270</v>
      </c>
    </row>
    <row r="19" spans="1:44" customFormat="1" ht="12.75" x14ac:dyDescent="0.2">
      <c r="A19">
        <v>17</v>
      </c>
      <c r="B19" t="s">
        <v>11225</v>
      </c>
      <c r="C19" t="s">
        <v>10953</v>
      </c>
      <c r="D19" t="s">
        <v>54</v>
      </c>
      <c r="E19" t="s">
        <v>11272</v>
      </c>
      <c r="F19" t="s">
        <v>11272</v>
      </c>
      <c r="G19" t="s">
        <v>11272</v>
      </c>
      <c r="H19">
        <v>-21</v>
      </c>
      <c r="I19">
        <v>0</v>
      </c>
      <c r="J19">
        <v>0</v>
      </c>
      <c r="K19">
        <v>0</v>
      </c>
      <c r="L19">
        <v>0</v>
      </c>
      <c r="M19">
        <v>0</v>
      </c>
      <c r="N19">
        <v>63354</v>
      </c>
      <c r="O19">
        <v>0</v>
      </c>
      <c r="Q19" s="5">
        <v>44819</v>
      </c>
      <c r="U19" t="s">
        <v>10955</v>
      </c>
      <c r="V19" t="s">
        <v>10954</v>
      </c>
      <c r="W19" t="s">
        <v>10956</v>
      </c>
      <c r="X19" t="s">
        <v>43</v>
      </c>
      <c r="AF19">
        <v>0</v>
      </c>
      <c r="AG19">
        <v>0</v>
      </c>
      <c r="AH19">
        <v>0</v>
      </c>
      <c r="AI19">
        <v>-13304340</v>
      </c>
      <c r="AJ19">
        <v>-0.03</v>
      </c>
      <c r="AK19" s="5">
        <v>44676</v>
      </c>
      <c r="AL19" t="s">
        <v>11008</v>
      </c>
      <c r="AM19">
        <v>0</v>
      </c>
      <c r="AN19">
        <v>0</v>
      </c>
      <c r="AO19">
        <v>0</v>
      </c>
      <c r="AQ19" t="s">
        <v>11273</v>
      </c>
      <c r="AR19" t="s">
        <v>11272</v>
      </c>
    </row>
    <row r="20" spans="1:44" customFormat="1" ht="12.75" x14ac:dyDescent="0.2">
      <c r="A20">
        <v>18</v>
      </c>
      <c r="B20" t="s">
        <v>11225</v>
      </c>
      <c r="C20" t="s">
        <v>10953</v>
      </c>
      <c r="D20" t="s">
        <v>54</v>
      </c>
      <c r="E20" t="s">
        <v>11274</v>
      </c>
      <c r="F20" t="s">
        <v>11274</v>
      </c>
      <c r="G20" t="s">
        <v>11274</v>
      </c>
      <c r="H20">
        <v>-16</v>
      </c>
      <c r="I20">
        <v>0</v>
      </c>
      <c r="J20">
        <v>0</v>
      </c>
      <c r="K20">
        <v>0</v>
      </c>
      <c r="L20">
        <v>0</v>
      </c>
      <c r="M20">
        <v>0</v>
      </c>
      <c r="N20">
        <v>14773</v>
      </c>
      <c r="O20">
        <v>0</v>
      </c>
      <c r="Q20" s="5">
        <v>44819</v>
      </c>
      <c r="U20" t="s">
        <v>11275</v>
      </c>
      <c r="V20" t="s">
        <v>10954</v>
      </c>
      <c r="W20" t="s">
        <v>11276</v>
      </c>
      <c r="X20" t="s">
        <v>43</v>
      </c>
      <c r="AF20">
        <v>0</v>
      </c>
      <c r="AG20">
        <v>0</v>
      </c>
      <c r="AH20">
        <v>0</v>
      </c>
      <c r="AI20">
        <v>2171610.94</v>
      </c>
      <c r="AJ20">
        <v>0</v>
      </c>
      <c r="AK20" s="5">
        <v>44676</v>
      </c>
      <c r="AL20" t="s">
        <v>11008</v>
      </c>
      <c r="AM20">
        <v>0</v>
      </c>
      <c r="AN20">
        <v>0</v>
      </c>
      <c r="AO20">
        <v>0</v>
      </c>
      <c r="AQ20" t="s">
        <v>11277</v>
      </c>
      <c r="AR20" t="s">
        <v>11274</v>
      </c>
    </row>
    <row r="21" spans="1:44" customFormat="1" ht="12.75" x14ac:dyDescent="0.2">
      <c r="A21">
        <v>19</v>
      </c>
      <c r="B21" t="s">
        <v>11225</v>
      </c>
      <c r="C21" t="s">
        <v>10953</v>
      </c>
      <c r="D21" t="s">
        <v>54</v>
      </c>
      <c r="E21" t="s">
        <v>11278</v>
      </c>
      <c r="F21" t="s">
        <v>11278</v>
      </c>
      <c r="G21" t="s">
        <v>11278</v>
      </c>
      <c r="H21">
        <v>34</v>
      </c>
      <c r="I21">
        <v>0</v>
      </c>
      <c r="J21">
        <v>0</v>
      </c>
      <c r="K21">
        <v>0</v>
      </c>
      <c r="L21">
        <v>0</v>
      </c>
      <c r="M21">
        <v>0</v>
      </c>
      <c r="N21">
        <v>12029</v>
      </c>
      <c r="O21">
        <v>0</v>
      </c>
      <c r="Q21" s="5">
        <v>44819</v>
      </c>
      <c r="U21" t="s">
        <v>11275</v>
      </c>
      <c r="V21" t="s">
        <v>10954</v>
      </c>
      <c r="W21" t="s">
        <v>11276</v>
      </c>
      <c r="X21" t="s">
        <v>43</v>
      </c>
      <c r="AF21">
        <v>0</v>
      </c>
      <c r="AG21">
        <v>0</v>
      </c>
      <c r="AH21">
        <v>0</v>
      </c>
      <c r="AI21">
        <v>5739096.5499999998</v>
      </c>
      <c r="AJ21">
        <v>0.01</v>
      </c>
      <c r="AK21" s="5">
        <v>44676</v>
      </c>
      <c r="AL21" t="s">
        <v>11008</v>
      </c>
      <c r="AM21">
        <v>0</v>
      </c>
      <c r="AN21">
        <v>0</v>
      </c>
      <c r="AO21">
        <v>0</v>
      </c>
      <c r="AQ21" t="s">
        <v>11279</v>
      </c>
      <c r="AR21" t="s">
        <v>11278</v>
      </c>
    </row>
    <row r="22" spans="1:44" customFormat="1" ht="12.75" x14ac:dyDescent="0.2">
      <c r="A22">
        <v>20</v>
      </c>
      <c r="B22" t="s">
        <v>11225</v>
      </c>
      <c r="C22" t="s">
        <v>10953</v>
      </c>
      <c r="D22" t="s">
        <v>54</v>
      </c>
      <c r="E22" t="s">
        <v>11280</v>
      </c>
      <c r="F22" t="s">
        <v>11280</v>
      </c>
      <c r="G22" t="s">
        <v>11280</v>
      </c>
      <c r="H22">
        <v>34</v>
      </c>
      <c r="I22">
        <v>0</v>
      </c>
      <c r="J22">
        <v>0</v>
      </c>
      <c r="K22">
        <v>0</v>
      </c>
      <c r="L22">
        <v>0</v>
      </c>
      <c r="M22">
        <v>0</v>
      </c>
      <c r="N22">
        <v>9541</v>
      </c>
      <c r="O22">
        <v>0</v>
      </c>
      <c r="Q22" s="5">
        <v>44819</v>
      </c>
      <c r="U22" t="s">
        <v>11275</v>
      </c>
      <c r="V22" t="s">
        <v>10954</v>
      </c>
      <c r="W22" t="s">
        <v>11276</v>
      </c>
      <c r="X22" t="s">
        <v>43</v>
      </c>
      <c r="AF22">
        <v>0</v>
      </c>
      <c r="AG22">
        <v>0</v>
      </c>
      <c r="AH22">
        <v>0</v>
      </c>
      <c r="AI22">
        <v>4859479.49</v>
      </c>
      <c r="AJ22">
        <v>0.01</v>
      </c>
      <c r="AK22" s="5">
        <v>44676</v>
      </c>
      <c r="AL22" t="s">
        <v>11008</v>
      </c>
      <c r="AM22">
        <v>0</v>
      </c>
      <c r="AN22">
        <v>0</v>
      </c>
      <c r="AO22">
        <v>0</v>
      </c>
      <c r="AQ22" t="s">
        <v>11281</v>
      </c>
      <c r="AR22" t="s">
        <v>11280</v>
      </c>
    </row>
    <row r="23" spans="1:44" customFormat="1" ht="12.75" x14ac:dyDescent="0.2">
      <c r="A23">
        <v>21</v>
      </c>
      <c r="B23" t="s">
        <v>11225</v>
      </c>
      <c r="C23" t="s">
        <v>10953</v>
      </c>
      <c r="D23" t="s">
        <v>54</v>
      </c>
      <c r="E23" t="s">
        <v>11282</v>
      </c>
      <c r="F23" t="s">
        <v>11282</v>
      </c>
      <c r="G23" t="s">
        <v>11282</v>
      </c>
      <c r="H23">
        <v>-34</v>
      </c>
      <c r="I23">
        <v>0</v>
      </c>
      <c r="J23">
        <v>0</v>
      </c>
      <c r="K23">
        <v>0</v>
      </c>
      <c r="L23">
        <v>0</v>
      </c>
      <c r="M23">
        <v>0</v>
      </c>
      <c r="N23">
        <v>3904</v>
      </c>
      <c r="O23">
        <v>0</v>
      </c>
      <c r="Q23" s="5">
        <v>44819</v>
      </c>
      <c r="U23" t="s">
        <v>11275</v>
      </c>
      <c r="V23" t="s">
        <v>10954</v>
      </c>
      <c r="W23" t="s">
        <v>11276</v>
      </c>
      <c r="X23" t="s">
        <v>43</v>
      </c>
      <c r="AF23">
        <v>0</v>
      </c>
      <c r="AG23">
        <v>0</v>
      </c>
      <c r="AH23">
        <v>0</v>
      </c>
      <c r="AI23">
        <v>-2384548.0699999998</v>
      </c>
      <c r="AJ23">
        <v>-0.01</v>
      </c>
      <c r="AK23" s="5">
        <v>44676</v>
      </c>
      <c r="AL23" t="s">
        <v>11008</v>
      </c>
      <c r="AM23">
        <v>0</v>
      </c>
      <c r="AN23">
        <v>0</v>
      </c>
      <c r="AO23">
        <v>0</v>
      </c>
      <c r="AQ23" t="s">
        <v>11283</v>
      </c>
      <c r="AR23" t="s">
        <v>11282</v>
      </c>
    </row>
    <row r="24" spans="1:44" customFormat="1" ht="12.75" x14ac:dyDescent="0.2">
      <c r="A24">
        <v>22</v>
      </c>
      <c r="B24" t="s">
        <v>11225</v>
      </c>
      <c r="C24" t="s">
        <v>10962</v>
      </c>
      <c r="D24" t="s">
        <v>10980</v>
      </c>
      <c r="E24" t="s">
        <v>10981</v>
      </c>
      <c r="F24" t="s">
        <v>5752</v>
      </c>
      <c r="G24" t="s">
        <v>10981</v>
      </c>
      <c r="H24">
        <v>25682</v>
      </c>
      <c r="I24">
        <v>530631.35</v>
      </c>
      <c r="J24">
        <v>552419.81999999995</v>
      </c>
      <c r="K24">
        <v>0</v>
      </c>
      <c r="L24">
        <v>0</v>
      </c>
      <c r="M24">
        <v>552419.81999999995</v>
      </c>
      <c r="N24">
        <v>2151</v>
      </c>
      <c r="O24">
        <v>5.2925393173441377E-3</v>
      </c>
      <c r="U24" t="s">
        <v>10898</v>
      </c>
      <c r="V24" t="s">
        <v>10898</v>
      </c>
      <c r="W24" t="s">
        <v>10898</v>
      </c>
      <c r="X24" t="s">
        <v>43</v>
      </c>
      <c r="Y24" t="s">
        <v>10982</v>
      </c>
      <c r="Z24" t="s">
        <v>10983</v>
      </c>
      <c r="AA24" t="s">
        <v>10980</v>
      </c>
      <c r="AF24">
        <v>0</v>
      </c>
      <c r="AG24">
        <v>0</v>
      </c>
      <c r="AH24">
        <v>0.54</v>
      </c>
      <c r="AI24">
        <v>552419.81999999995</v>
      </c>
      <c r="AJ24">
        <v>0</v>
      </c>
      <c r="AK24" s="5">
        <v>44676</v>
      </c>
      <c r="AL24" t="s">
        <v>11008</v>
      </c>
      <c r="AM24">
        <v>0</v>
      </c>
      <c r="AN24">
        <v>0</v>
      </c>
      <c r="AO24">
        <v>0</v>
      </c>
      <c r="AQ24" t="s">
        <v>10984</v>
      </c>
      <c r="AR24" t="s">
        <v>5752</v>
      </c>
    </row>
    <row r="25" spans="1:44" customFormat="1" ht="12.75" x14ac:dyDescent="0.2">
      <c r="A25">
        <v>23</v>
      </c>
      <c r="B25" t="s">
        <v>11225</v>
      </c>
      <c r="C25" t="s">
        <v>10962</v>
      </c>
      <c r="D25" t="s">
        <v>10980</v>
      </c>
      <c r="E25" t="s">
        <v>10985</v>
      </c>
      <c r="F25" t="s">
        <v>5274</v>
      </c>
      <c r="G25" t="s">
        <v>10985</v>
      </c>
      <c r="H25">
        <v>44852</v>
      </c>
      <c r="I25">
        <v>604451.30000000005</v>
      </c>
      <c r="J25">
        <v>557958.88</v>
      </c>
      <c r="K25">
        <v>0</v>
      </c>
      <c r="L25">
        <v>0</v>
      </c>
      <c r="M25">
        <v>557958.88</v>
      </c>
      <c r="N25">
        <v>1244</v>
      </c>
      <c r="O25">
        <v>5.3456070961778674E-3</v>
      </c>
      <c r="U25" t="s">
        <v>10898</v>
      </c>
      <c r="V25" t="s">
        <v>10898</v>
      </c>
      <c r="W25" t="s">
        <v>10898</v>
      </c>
      <c r="X25" t="s">
        <v>43</v>
      </c>
      <c r="Y25" t="s">
        <v>10982</v>
      </c>
      <c r="Z25" t="s">
        <v>10983</v>
      </c>
      <c r="AA25" t="s">
        <v>10980</v>
      </c>
      <c r="AF25">
        <v>0</v>
      </c>
      <c r="AG25">
        <v>0</v>
      </c>
      <c r="AH25">
        <v>0.54</v>
      </c>
      <c r="AI25">
        <v>557958.88</v>
      </c>
      <c r="AJ25">
        <v>0</v>
      </c>
      <c r="AK25" s="5">
        <v>44676</v>
      </c>
      <c r="AL25" t="s">
        <v>11008</v>
      </c>
      <c r="AM25">
        <v>0</v>
      </c>
      <c r="AN25">
        <v>0</v>
      </c>
      <c r="AO25">
        <v>0</v>
      </c>
      <c r="AQ25" t="s">
        <v>10986</v>
      </c>
      <c r="AR25" t="s">
        <v>5274</v>
      </c>
    </row>
    <row r="26" spans="1:44" customFormat="1" ht="12.75" x14ac:dyDescent="0.2">
      <c r="A26">
        <v>24</v>
      </c>
      <c r="B26" t="s">
        <v>11225</v>
      </c>
      <c r="C26" t="s">
        <v>10962</v>
      </c>
      <c r="D26" t="s">
        <v>10980</v>
      </c>
      <c r="E26" t="s">
        <v>5985</v>
      </c>
      <c r="F26" t="s">
        <v>3142</v>
      </c>
      <c r="G26" t="s">
        <v>5985</v>
      </c>
      <c r="H26">
        <v>128047</v>
      </c>
      <c r="I26">
        <v>1771445.53</v>
      </c>
      <c r="J26">
        <v>1776011.89</v>
      </c>
      <c r="K26">
        <v>0</v>
      </c>
      <c r="L26">
        <v>0</v>
      </c>
      <c r="M26">
        <v>1776011.89</v>
      </c>
      <c r="N26">
        <v>1387</v>
      </c>
      <c r="O26">
        <v>1.7015343069869709E-2</v>
      </c>
      <c r="U26" t="s">
        <v>10898</v>
      </c>
      <c r="V26" t="s">
        <v>10898</v>
      </c>
      <c r="W26" t="s">
        <v>10898</v>
      </c>
      <c r="X26" t="s">
        <v>43</v>
      </c>
      <c r="Y26" t="s">
        <v>10982</v>
      </c>
      <c r="Z26" t="s">
        <v>10983</v>
      </c>
      <c r="AA26" t="s">
        <v>10980</v>
      </c>
      <c r="AF26">
        <v>0</v>
      </c>
      <c r="AG26">
        <v>0</v>
      </c>
      <c r="AH26">
        <v>1.72</v>
      </c>
      <c r="AI26">
        <v>1776011.89</v>
      </c>
      <c r="AJ26">
        <v>0</v>
      </c>
      <c r="AK26" s="5">
        <v>44676</v>
      </c>
      <c r="AL26" t="s">
        <v>11008</v>
      </c>
      <c r="AM26">
        <v>0</v>
      </c>
      <c r="AN26">
        <v>0</v>
      </c>
      <c r="AO26">
        <v>0</v>
      </c>
      <c r="AQ26" t="s">
        <v>11284</v>
      </c>
      <c r="AR26" t="s">
        <v>3142</v>
      </c>
    </row>
    <row r="27" spans="1:44" customFormat="1" ht="12.75" x14ac:dyDescent="0.2">
      <c r="A27">
        <v>25</v>
      </c>
      <c r="B27" t="s">
        <v>11225</v>
      </c>
      <c r="C27" t="s">
        <v>10962</v>
      </c>
      <c r="D27" t="s">
        <v>10980</v>
      </c>
      <c r="E27" t="s">
        <v>6329</v>
      </c>
      <c r="F27" t="s">
        <v>3149</v>
      </c>
      <c r="G27" t="s">
        <v>6329</v>
      </c>
      <c r="H27">
        <v>12989</v>
      </c>
      <c r="I27">
        <v>401915.55</v>
      </c>
      <c r="J27">
        <v>467604</v>
      </c>
      <c r="K27">
        <v>0</v>
      </c>
      <c r="L27">
        <v>0</v>
      </c>
      <c r="M27">
        <v>467604</v>
      </c>
      <c r="N27">
        <v>3600</v>
      </c>
      <c r="O27">
        <v>4.47994888189817E-3</v>
      </c>
      <c r="U27" t="s">
        <v>10898</v>
      </c>
      <c r="V27" t="s">
        <v>10898</v>
      </c>
      <c r="W27" t="s">
        <v>10898</v>
      </c>
      <c r="X27" t="s">
        <v>43</v>
      </c>
      <c r="Y27" t="s">
        <v>10982</v>
      </c>
      <c r="Z27" t="s">
        <v>10983</v>
      </c>
      <c r="AA27" t="s">
        <v>10980</v>
      </c>
      <c r="AF27">
        <v>0</v>
      </c>
      <c r="AG27">
        <v>0</v>
      </c>
      <c r="AH27">
        <v>0.45</v>
      </c>
      <c r="AI27">
        <v>467604</v>
      </c>
      <c r="AJ27">
        <v>0</v>
      </c>
      <c r="AK27" s="5">
        <v>44676</v>
      </c>
      <c r="AL27" t="s">
        <v>11008</v>
      </c>
      <c r="AM27">
        <v>0</v>
      </c>
      <c r="AN27">
        <v>0</v>
      </c>
      <c r="AO27">
        <v>0</v>
      </c>
      <c r="AQ27" t="s">
        <v>10987</v>
      </c>
      <c r="AR27" t="s">
        <v>3149</v>
      </c>
    </row>
    <row r="28" spans="1:44" customFormat="1" ht="12.75" x14ac:dyDescent="0.2">
      <c r="A28">
        <v>26</v>
      </c>
      <c r="B28" t="s">
        <v>11225</v>
      </c>
      <c r="C28" t="s">
        <v>10962</v>
      </c>
      <c r="D28" t="s">
        <v>10980</v>
      </c>
      <c r="E28" t="s">
        <v>11285</v>
      </c>
      <c r="F28" t="s">
        <v>5696</v>
      </c>
      <c r="G28" t="s">
        <v>11285</v>
      </c>
      <c r="H28">
        <v>16238</v>
      </c>
      <c r="I28">
        <v>301985.94</v>
      </c>
      <c r="J28">
        <v>345544.64</v>
      </c>
      <c r="K28">
        <v>0</v>
      </c>
      <c r="L28">
        <v>0</v>
      </c>
      <c r="M28">
        <v>345544.64</v>
      </c>
      <c r="N28">
        <v>2128</v>
      </c>
      <c r="O28">
        <v>3.3105412349208E-3</v>
      </c>
      <c r="U28" t="s">
        <v>10898</v>
      </c>
      <c r="V28" t="s">
        <v>10898</v>
      </c>
      <c r="W28" t="s">
        <v>10898</v>
      </c>
      <c r="X28" t="s">
        <v>43</v>
      </c>
      <c r="Y28" t="s">
        <v>10982</v>
      </c>
      <c r="Z28" t="s">
        <v>10983</v>
      </c>
      <c r="AA28" t="s">
        <v>10980</v>
      </c>
      <c r="AF28">
        <v>0</v>
      </c>
      <c r="AG28">
        <v>0</v>
      </c>
      <c r="AH28">
        <v>0.34</v>
      </c>
      <c r="AI28">
        <v>345544.64</v>
      </c>
      <c r="AJ28">
        <v>0</v>
      </c>
      <c r="AK28" s="5">
        <v>44676</v>
      </c>
      <c r="AL28" t="s">
        <v>11008</v>
      </c>
      <c r="AM28">
        <v>0</v>
      </c>
      <c r="AN28">
        <v>0</v>
      </c>
      <c r="AO28">
        <v>0</v>
      </c>
      <c r="AQ28" t="s">
        <v>11286</v>
      </c>
      <c r="AR28" t="s">
        <v>5696</v>
      </c>
    </row>
    <row r="29" spans="1:44" customFormat="1" ht="12.75" x14ac:dyDescent="0.2">
      <c r="A29">
        <v>27</v>
      </c>
      <c r="B29" t="s">
        <v>11225</v>
      </c>
      <c r="C29" t="s">
        <v>10962</v>
      </c>
      <c r="D29" t="s">
        <v>10980</v>
      </c>
      <c r="E29" t="s">
        <v>11287</v>
      </c>
      <c r="F29" t="s">
        <v>5002</v>
      </c>
      <c r="G29" t="s">
        <v>11287</v>
      </c>
      <c r="H29">
        <v>17190</v>
      </c>
      <c r="I29">
        <v>1704757.73</v>
      </c>
      <c r="J29">
        <v>1625486.4</v>
      </c>
      <c r="K29">
        <v>0</v>
      </c>
      <c r="L29">
        <v>0</v>
      </c>
      <c r="M29">
        <v>1625486.4</v>
      </c>
      <c r="N29">
        <v>9456</v>
      </c>
      <c r="O29">
        <v>1.557321147856024E-2</v>
      </c>
      <c r="U29" t="s">
        <v>10898</v>
      </c>
      <c r="V29" t="s">
        <v>10898</v>
      </c>
      <c r="W29" t="s">
        <v>10898</v>
      </c>
      <c r="X29" t="s">
        <v>43</v>
      </c>
      <c r="Y29" t="s">
        <v>10982</v>
      </c>
      <c r="Z29" t="s">
        <v>10983</v>
      </c>
      <c r="AA29" t="s">
        <v>10980</v>
      </c>
      <c r="AF29">
        <v>0</v>
      </c>
      <c r="AG29">
        <v>0</v>
      </c>
      <c r="AH29">
        <v>1.58</v>
      </c>
      <c r="AI29">
        <v>1625486.4</v>
      </c>
      <c r="AJ29">
        <v>0</v>
      </c>
      <c r="AK29" s="5">
        <v>44676</v>
      </c>
      <c r="AL29" t="s">
        <v>11008</v>
      </c>
      <c r="AM29">
        <v>0</v>
      </c>
      <c r="AN29">
        <v>0</v>
      </c>
      <c r="AO29">
        <v>0</v>
      </c>
      <c r="AQ29" t="s">
        <v>11288</v>
      </c>
      <c r="AR29" t="s">
        <v>5002</v>
      </c>
    </row>
    <row r="30" spans="1:44" customFormat="1" ht="12.75" x14ac:dyDescent="0.2">
      <c r="A30">
        <v>28</v>
      </c>
      <c r="B30" t="s">
        <v>11225</v>
      </c>
      <c r="C30" t="s">
        <v>10962</v>
      </c>
      <c r="D30" t="s">
        <v>10980</v>
      </c>
      <c r="E30" t="s">
        <v>10988</v>
      </c>
      <c r="F30" t="s">
        <v>3157</v>
      </c>
      <c r="G30" t="s">
        <v>10988</v>
      </c>
      <c r="H30">
        <v>257037</v>
      </c>
      <c r="I30">
        <v>1155086.8999999999</v>
      </c>
      <c r="J30">
        <v>1123251.69</v>
      </c>
      <c r="K30">
        <v>0</v>
      </c>
      <c r="L30">
        <v>0</v>
      </c>
      <c r="M30">
        <v>1123251.69</v>
      </c>
      <c r="N30">
        <v>437</v>
      </c>
      <c r="O30">
        <v>1.0761477987155221E-2</v>
      </c>
      <c r="U30" t="s">
        <v>10898</v>
      </c>
      <c r="V30" t="s">
        <v>10898</v>
      </c>
      <c r="W30" t="s">
        <v>10898</v>
      </c>
      <c r="X30" t="s">
        <v>43</v>
      </c>
      <c r="Y30" t="s">
        <v>10982</v>
      </c>
      <c r="Z30" t="s">
        <v>10983</v>
      </c>
      <c r="AA30" t="s">
        <v>10980</v>
      </c>
      <c r="AF30">
        <v>0</v>
      </c>
      <c r="AG30">
        <v>0</v>
      </c>
      <c r="AH30">
        <v>1.0900000000000001</v>
      </c>
      <c r="AI30">
        <v>1123251.69</v>
      </c>
      <c r="AJ30">
        <v>0</v>
      </c>
      <c r="AK30" s="5">
        <v>44676</v>
      </c>
      <c r="AL30" t="s">
        <v>11008</v>
      </c>
      <c r="AM30">
        <v>0</v>
      </c>
      <c r="AN30">
        <v>0</v>
      </c>
      <c r="AO30">
        <v>0</v>
      </c>
      <c r="AQ30" t="s">
        <v>10989</v>
      </c>
      <c r="AR30" t="s">
        <v>3157</v>
      </c>
    </row>
    <row r="31" spans="1:44" customFormat="1" ht="12.75" x14ac:dyDescent="0.2">
      <c r="A31">
        <v>29</v>
      </c>
      <c r="B31" t="s">
        <v>11225</v>
      </c>
      <c r="C31" t="s">
        <v>10962</v>
      </c>
      <c r="D31" t="s">
        <v>10980</v>
      </c>
      <c r="E31" t="s">
        <v>10990</v>
      </c>
      <c r="F31" t="s">
        <v>3164</v>
      </c>
      <c r="G31" t="s">
        <v>10991</v>
      </c>
      <c r="H31">
        <v>12294</v>
      </c>
      <c r="I31">
        <v>705313.62</v>
      </c>
      <c r="J31">
        <v>709363.8</v>
      </c>
      <c r="K31">
        <v>0</v>
      </c>
      <c r="L31">
        <v>0</v>
      </c>
      <c r="M31">
        <v>709363.8</v>
      </c>
      <c r="N31">
        <v>5770</v>
      </c>
      <c r="O31">
        <v>6.7961641959201321E-3</v>
      </c>
      <c r="U31" t="s">
        <v>10898</v>
      </c>
      <c r="V31" t="s">
        <v>10898</v>
      </c>
      <c r="W31" t="s">
        <v>10992</v>
      </c>
      <c r="X31" t="s">
        <v>43</v>
      </c>
      <c r="Y31" t="s">
        <v>10982</v>
      </c>
      <c r="Z31" t="s">
        <v>10983</v>
      </c>
      <c r="AA31" t="s">
        <v>10980</v>
      </c>
      <c r="AF31">
        <v>0</v>
      </c>
      <c r="AG31">
        <v>0</v>
      </c>
      <c r="AH31">
        <v>0.69</v>
      </c>
      <c r="AI31">
        <v>709363.8</v>
      </c>
      <c r="AJ31">
        <v>0</v>
      </c>
      <c r="AK31" s="5">
        <v>44676</v>
      </c>
      <c r="AL31" t="s">
        <v>11008</v>
      </c>
      <c r="AM31">
        <v>0</v>
      </c>
      <c r="AN31">
        <v>0</v>
      </c>
      <c r="AO31">
        <v>0</v>
      </c>
      <c r="AQ31" t="s">
        <v>10993</v>
      </c>
      <c r="AR31" t="s">
        <v>3164</v>
      </c>
    </row>
    <row r="32" spans="1:44" customFormat="1" ht="12.75" x14ac:dyDescent="0.2">
      <c r="A32">
        <v>30</v>
      </c>
      <c r="B32" t="s">
        <v>11225</v>
      </c>
      <c r="C32" t="s">
        <v>10962</v>
      </c>
      <c r="D32" t="s">
        <v>10980</v>
      </c>
      <c r="E32" t="s">
        <v>6707</v>
      </c>
      <c r="F32" t="s">
        <v>1777</v>
      </c>
      <c r="G32" t="s">
        <v>6707</v>
      </c>
      <c r="H32">
        <v>11334</v>
      </c>
      <c r="I32">
        <v>274665.3</v>
      </c>
      <c r="J32">
        <v>263855.52</v>
      </c>
      <c r="K32">
        <v>0</v>
      </c>
      <c r="L32">
        <v>0</v>
      </c>
      <c r="M32">
        <v>263855.52</v>
      </c>
      <c r="N32">
        <v>2328</v>
      </c>
      <c r="O32">
        <v>2.527906608597575E-3</v>
      </c>
      <c r="U32" t="s">
        <v>10898</v>
      </c>
      <c r="V32" t="s">
        <v>10898</v>
      </c>
      <c r="W32" t="s">
        <v>10898</v>
      </c>
      <c r="X32" t="s">
        <v>43</v>
      </c>
      <c r="Y32" t="s">
        <v>10982</v>
      </c>
      <c r="Z32" t="s">
        <v>10983</v>
      </c>
      <c r="AA32" t="s">
        <v>10980</v>
      </c>
      <c r="AF32">
        <v>0</v>
      </c>
      <c r="AG32">
        <v>0</v>
      </c>
      <c r="AH32">
        <v>0.26</v>
      </c>
      <c r="AI32">
        <v>263855.52</v>
      </c>
      <c r="AJ32">
        <v>0</v>
      </c>
      <c r="AK32" s="5">
        <v>44676</v>
      </c>
      <c r="AL32" t="s">
        <v>11008</v>
      </c>
      <c r="AM32">
        <v>0</v>
      </c>
      <c r="AN32">
        <v>0</v>
      </c>
      <c r="AO32">
        <v>0</v>
      </c>
      <c r="AQ32" t="s">
        <v>11289</v>
      </c>
      <c r="AR32" t="s">
        <v>1777</v>
      </c>
    </row>
    <row r="33" spans="1:44" customFormat="1" ht="12.75" x14ac:dyDescent="0.2">
      <c r="A33">
        <v>31</v>
      </c>
      <c r="B33" t="s">
        <v>11225</v>
      </c>
      <c r="C33" t="s">
        <v>10962</v>
      </c>
      <c r="D33" t="s">
        <v>10980</v>
      </c>
      <c r="E33" t="s">
        <v>6345</v>
      </c>
      <c r="F33" t="s">
        <v>5238</v>
      </c>
      <c r="G33" t="s">
        <v>6345</v>
      </c>
      <c r="H33">
        <v>33663</v>
      </c>
      <c r="I33">
        <v>411031.4</v>
      </c>
      <c r="J33">
        <v>447044.64</v>
      </c>
      <c r="K33">
        <v>0</v>
      </c>
      <c r="L33">
        <v>0</v>
      </c>
      <c r="M33">
        <v>447044.64</v>
      </c>
      <c r="N33">
        <v>1328</v>
      </c>
      <c r="O33">
        <v>4.2829769102201223E-3</v>
      </c>
      <c r="U33" t="s">
        <v>10898</v>
      </c>
      <c r="V33" t="s">
        <v>10898</v>
      </c>
      <c r="W33" t="s">
        <v>10898</v>
      </c>
      <c r="X33" t="s">
        <v>43</v>
      </c>
      <c r="Y33" t="s">
        <v>10982</v>
      </c>
      <c r="Z33" t="s">
        <v>10983</v>
      </c>
      <c r="AA33" t="s">
        <v>10980</v>
      </c>
      <c r="AF33">
        <v>0</v>
      </c>
      <c r="AG33">
        <v>0</v>
      </c>
      <c r="AH33">
        <v>0.43</v>
      </c>
      <c r="AI33">
        <v>447044.64</v>
      </c>
      <c r="AJ33">
        <v>0</v>
      </c>
      <c r="AK33" s="5">
        <v>44676</v>
      </c>
      <c r="AL33" t="s">
        <v>11008</v>
      </c>
      <c r="AM33">
        <v>0</v>
      </c>
      <c r="AN33">
        <v>0</v>
      </c>
      <c r="AO33">
        <v>0</v>
      </c>
      <c r="AQ33" t="s">
        <v>10994</v>
      </c>
      <c r="AR33" t="s">
        <v>5238</v>
      </c>
    </row>
    <row r="34" spans="1:44" customFormat="1" ht="12.75" x14ac:dyDescent="0.2">
      <c r="A34">
        <v>32</v>
      </c>
      <c r="B34" t="s">
        <v>11225</v>
      </c>
      <c r="C34" t="s">
        <v>11290</v>
      </c>
      <c r="D34" t="s">
        <v>11291</v>
      </c>
      <c r="E34" t="s">
        <v>11292</v>
      </c>
      <c r="F34" t="s">
        <v>11293</v>
      </c>
      <c r="G34" t="s">
        <v>11292</v>
      </c>
      <c r="H34">
        <v>6000000</v>
      </c>
      <c r="I34">
        <v>6000000</v>
      </c>
      <c r="J34">
        <v>5989479.0700000003</v>
      </c>
      <c r="K34">
        <v>61619.18</v>
      </c>
      <c r="L34">
        <v>0</v>
      </c>
      <c r="M34">
        <v>6051098.25</v>
      </c>
      <c r="N34">
        <v>6.1098939999999997</v>
      </c>
      <c r="O34">
        <v>5.7973436581687653E-2</v>
      </c>
      <c r="P34" s="5">
        <v>44979</v>
      </c>
      <c r="Q34" s="5">
        <v>44979</v>
      </c>
      <c r="R34">
        <v>5.95</v>
      </c>
      <c r="S34">
        <v>0.83</v>
      </c>
      <c r="T34">
        <v>0.78758252558999997</v>
      </c>
      <c r="U34" t="s">
        <v>108</v>
      </c>
      <c r="V34" t="s">
        <v>11294</v>
      </c>
      <c r="W34" t="s">
        <v>11295</v>
      </c>
      <c r="X34" t="s">
        <v>43</v>
      </c>
      <c r="Y34" t="s">
        <v>10960</v>
      </c>
      <c r="AB34" t="s">
        <v>10946</v>
      </c>
      <c r="AD34">
        <v>6.14169082</v>
      </c>
      <c r="AE34">
        <v>5.9752996899999999</v>
      </c>
      <c r="AF34">
        <v>6.14</v>
      </c>
      <c r="AG34">
        <v>5.9752996899999999</v>
      </c>
      <c r="AH34">
        <v>5.87</v>
      </c>
      <c r="AI34">
        <v>6051098.25</v>
      </c>
      <c r="AJ34">
        <v>0.01</v>
      </c>
      <c r="AK34" s="5">
        <v>44676</v>
      </c>
      <c r="AL34" t="s">
        <v>11008</v>
      </c>
      <c r="AM34">
        <v>6.05</v>
      </c>
      <c r="AN34">
        <v>5.95</v>
      </c>
      <c r="AO34">
        <v>0.79</v>
      </c>
      <c r="AP34" t="s">
        <v>10977</v>
      </c>
      <c r="AQ34" t="s">
        <v>11296</v>
      </c>
      <c r="AR34" t="s">
        <v>11293</v>
      </c>
    </row>
    <row r="35" spans="1:44" customFormat="1" ht="12.75" x14ac:dyDescent="0.2">
      <c r="A35">
        <v>33</v>
      </c>
      <c r="B35" t="s">
        <v>11225</v>
      </c>
      <c r="C35" t="s">
        <v>11290</v>
      </c>
      <c r="D35" t="s">
        <v>11291</v>
      </c>
      <c r="E35" t="s">
        <v>11297</v>
      </c>
      <c r="F35" t="s">
        <v>11298</v>
      </c>
      <c r="G35" t="s">
        <v>11297</v>
      </c>
      <c r="H35">
        <v>10000000</v>
      </c>
      <c r="I35">
        <v>10000000</v>
      </c>
      <c r="J35">
        <v>9987251.3300000001</v>
      </c>
      <c r="K35">
        <v>115739.73</v>
      </c>
      <c r="L35">
        <v>0</v>
      </c>
      <c r="M35">
        <v>10102991.060000001</v>
      </c>
      <c r="N35">
        <v>6.0460060000000002</v>
      </c>
      <c r="O35">
        <v>9.6793191467725276E-2</v>
      </c>
      <c r="P35" s="5">
        <v>44971</v>
      </c>
      <c r="Q35" s="5">
        <v>44971</v>
      </c>
      <c r="R35">
        <v>5.95</v>
      </c>
      <c r="S35">
        <v>0.81</v>
      </c>
      <c r="T35">
        <v>0.76807472362999996</v>
      </c>
      <c r="U35" t="s">
        <v>108</v>
      </c>
      <c r="V35" t="s">
        <v>11294</v>
      </c>
      <c r="W35" t="s">
        <v>11295</v>
      </c>
      <c r="X35" t="s">
        <v>43</v>
      </c>
      <c r="Y35" t="s">
        <v>10960</v>
      </c>
      <c r="AB35" t="s">
        <v>10961</v>
      </c>
      <c r="AD35">
        <v>6.08112998</v>
      </c>
      <c r="AE35">
        <v>5.9179439800000004</v>
      </c>
      <c r="AF35">
        <v>6.08</v>
      </c>
      <c r="AG35">
        <v>5.9179439800000004</v>
      </c>
      <c r="AH35">
        <v>9.8000000000000007</v>
      </c>
      <c r="AI35">
        <v>10102991.060000001</v>
      </c>
      <c r="AJ35">
        <v>0.02</v>
      </c>
      <c r="AK35" s="5">
        <v>44676</v>
      </c>
      <c r="AL35" t="s">
        <v>11008</v>
      </c>
      <c r="AM35">
        <v>5.99</v>
      </c>
      <c r="AN35">
        <v>5.95</v>
      </c>
      <c r="AO35">
        <v>0.77</v>
      </c>
      <c r="AP35" t="s">
        <v>11231</v>
      </c>
      <c r="AQ35" t="s">
        <v>11299</v>
      </c>
      <c r="AR35" t="s">
        <v>11298</v>
      </c>
    </row>
    <row r="36" spans="1:44" customFormat="1" ht="12.75" x14ac:dyDescent="0.2">
      <c r="A36">
        <v>34</v>
      </c>
      <c r="B36" t="s">
        <v>11225</v>
      </c>
      <c r="C36" t="s">
        <v>11290</v>
      </c>
      <c r="D36" t="s">
        <v>11291</v>
      </c>
      <c r="E36" t="s">
        <v>11300</v>
      </c>
      <c r="F36" t="s">
        <v>11301</v>
      </c>
      <c r="G36" t="s">
        <v>11300</v>
      </c>
      <c r="H36">
        <v>1000000</v>
      </c>
      <c r="I36">
        <v>1000000</v>
      </c>
      <c r="J36">
        <v>997571.49</v>
      </c>
      <c r="K36">
        <v>19403.419999999998</v>
      </c>
      <c r="L36">
        <v>0</v>
      </c>
      <c r="M36">
        <v>1016974.91</v>
      </c>
      <c r="N36">
        <v>5.6118119999999996</v>
      </c>
      <c r="O36">
        <v>9.7432776686533738E-3</v>
      </c>
      <c r="P36" s="5">
        <v>44909</v>
      </c>
      <c r="Q36" s="5">
        <v>44909</v>
      </c>
      <c r="R36">
        <v>5.3250000000000002</v>
      </c>
      <c r="S36">
        <v>0.64</v>
      </c>
      <c r="T36">
        <v>0.61372510804000002</v>
      </c>
      <c r="U36" t="s">
        <v>108</v>
      </c>
      <c r="V36" t="s">
        <v>11294</v>
      </c>
      <c r="W36" t="s">
        <v>11295</v>
      </c>
      <c r="X36" t="s">
        <v>43</v>
      </c>
      <c r="Y36" t="s">
        <v>10960</v>
      </c>
      <c r="AB36" t="s">
        <v>10946</v>
      </c>
      <c r="AD36">
        <v>5.6689015400000002</v>
      </c>
      <c r="AE36">
        <v>5.5267329700000003</v>
      </c>
      <c r="AF36">
        <v>5.67</v>
      </c>
      <c r="AG36">
        <v>5.5267329700000003</v>
      </c>
      <c r="AH36">
        <v>0.99</v>
      </c>
      <c r="AI36">
        <v>1016974.91</v>
      </c>
      <c r="AJ36">
        <v>0</v>
      </c>
      <c r="AK36" s="5">
        <v>44676</v>
      </c>
      <c r="AL36" t="s">
        <v>11008</v>
      </c>
      <c r="AM36">
        <v>5.59</v>
      </c>
      <c r="AN36">
        <v>5.33</v>
      </c>
      <c r="AO36">
        <v>0.61</v>
      </c>
      <c r="AP36" t="s">
        <v>11302</v>
      </c>
      <c r="AQ36" t="s">
        <v>11303</v>
      </c>
      <c r="AR36" t="s">
        <v>11301</v>
      </c>
    </row>
    <row r="37" spans="1:44" customFormat="1" ht="12.75" x14ac:dyDescent="0.2">
      <c r="A37">
        <v>35</v>
      </c>
      <c r="B37" t="s">
        <v>11225</v>
      </c>
      <c r="C37" t="s">
        <v>11290</v>
      </c>
      <c r="D37" t="s">
        <v>11291</v>
      </c>
      <c r="E37" t="s">
        <v>11304</v>
      </c>
      <c r="F37" t="s">
        <v>11305</v>
      </c>
      <c r="G37" t="s">
        <v>11304</v>
      </c>
      <c r="H37">
        <v>2000000</v>
      </c>
      <c r="I37">
        <v>2000000</v>
      </c>
      <c r="J37">
        <v>2000761.52</v>
      </c>
      <c r="K37">
        <v>9046.58</v>
      </c>
      <c r="L37">
        <v>0</v>
      </c>
      <c r="M37">
        <v>2009808.1</v>
      </c>
      <c r="N37">
        <v>6.2782150000000003</v>
      </c>
      <c r="O37">
        <v>1.925526203887239E-2</v>
      </c>
      <c r="P37" s="5">
        <v>45016</v>
      </c>
      <c r="Q37" s="5">
        <v>45016</v>
      </c>
      <c r="R37">
        <v>6.35</v>
      </c>
      <c r="S37">
        <v>0.93</v>
      </c>
      <c r="T37">
        <v>0.87759458494999998</v>
      </c>
      <c r="U37" t="s">
        <v>108</v>
      </c>
      <c r="V37" t="s">
        <v>11294</v>
      </c>
      <c r="W37" t="s">
        <v>11295</v>
      </c>
      <c r="X37" t="s">
        <v>43</v>
      </c>
      <c r="Y37" t="s">
        <v>10960</v>
      </c>
      <c r="AB37" t="s">
        <v>10946</v>
      </c>
      <c r="AD37">
        <v>6.2920085700000001</v>
      </c>
      <c r="AE37">
        <v>6.1175324700000004</v>
      </c>
      <c r="AF37">
        <v>6.29</v>
      </c>
      <c r="AG37">
        <v>6.1175324700000004</v>
      </c>
      <c r="AH37">
        <v>1.95</v>
      </c>
      <c r="AI37">
        <v>2009808.1</v>
      </c>
      <c r="AJ37">
        <v>0</v>
      </c>
      <c r="AK37" s="5">
        <v>44676</v>
      </c>
      <c r="AL37" t="s">
        <v>11008</v>
      </c>
      <c r="AM37">
        <v>6.2</v>
      </c>
      <c r="AN37">
        <v>6.35</v>
      </c>
      <c r="AO37">
        <v>0.88</v>
      </c>
      <c r="AP37" t="s">
        <v>11302</v>
      </c>
      <c r="AQ37" t="s">
        <v>11306</v>
      </c>
      <c r="AR37" t="s">
        <v>11305</v>
      </c>
    </row>
    <row r="38" spans="1:44" customFormat="1" ht="12.75" x14ac:dyDescent="0.2">
      <c r="A38">
        <v>36</v>
      </c>
      <c r="B38" t="s">
        <v>11225</v>
      </c>
      <c r="C38" t="s">
        <v>11290</v>
      </c>
      <c r="D38" t="s">
        <v>11307</v>
      </c>
      <c r="E38" t="s">
        <v>11308</v>
      </c>
      <c r="F38" t="s">
        <v>11309</v>
      </c>
      <c r="G38" t="s">
        <v>11308</v>
      </c>
      <c r="H38">
        <v>3000000</v>
      </c>
      <c r="I38">
        <v>3000000</v>
      </c>
      <c r="J38">
        <v>2997477.95</v>
      </c>
      <c r="K38">
        <v>7398.9</v>
      </c>
      <c r="L38">
        <v>0</v>
      </c>
      <c r="M38">
        <v>3004876.85</v>
      </c>
      <c r="N38">
        <v>6.5001829999999998</v>
      </c>
      <c r="O38">
        <v>2.878866452040444E-2</v>
      </c>
      <c r="P38" s="5">
        <v>45057</v>
      </c>
      <c r="Q38" s="5">
        <v>45057</v>
      </c>
      <c r="R38">
        <v>6.43</v>
      </c>
      <c r="S38">
        <v>1.04</v>
      </c>
      <c r="T38">
        <v>0.97510731732</v>
      </c>
      <c r="U38" t="s">
        <v>108</v>
      </c>
      <c r="V38" t="s">
        <v>11294</v>
      </c>
      <c r="W38" t="s">
        <v>11295</v>
      </c>
      <c r="X38" t="s">
        <v>43</v>
      </c>
      <c r="Y38" t="s">
        <v>10960</v>
      </c>
      <c r="AB38" t="s">
        <v>10946</v>
      </c>
      <c r="AD38">
        <v>6.4916979299999999</v>
      </c>
      <c r="AE38">
        <v>6.3061964599999998</v>
      </c>
      <c r="AF38">
        <v>6.49</v>
      </c>
      <c r="AG38">
        <v>6.3061964599999998</v>
      </c>
      <c r="AH38">
        <v>2.91</v>
      </c>
      <c r="AI38">
        <v>3004876.85</v>
      </c>
      <c r="AJ38">
        <v>0.01</v>
      </c>
      <c r="AK38" s="5">
        <v>44676</v>
      </c>
      <c r="AL38" t="s">
        <v>11008</v>
      </c>
      <c r="AM38">
        <v>6.39</v>
      </c>
      <c r="AN38">
        <v>6.43</v>
      </c>
      <c r="AO38">
        <v>0.98</v>
      </c>
      <c r="AP38" t="s">
        <v>11310</v>
      </c>
      <c r="AQ38" t="s">
        <v>11311</v>
      </c>
      <c r="AR38" t="s">
        <v>11309</v>
      </c>
    </row>
    <row r="39" spans="1:44" customFormat="1" ht="12.75" x14ac:dyDescent="0.2">
      <c r="A39">
        <v>37</v>
      </c>
      <c r="B39" t="s">
        <v>11225</v>
      </c>
      <c r="C39" t="s">
        <v>11290</v>
      </c>
      <c r="D39" t="s">
        <v>11307</v>
      </c>
      <c r="E39" t="s">
        <v>11312</v>
      </c>
      <c r="F39" t="s">
        <v>11313</v>
      </c>
      <c r="G39" t="s">
        <v>11312</v>
      </c>
      <c r="H39">
        <v>2930000</v>
      </c>
      <c r="I39">
        <v>2968440.39</v>
      </c>
      <c r="J39">
        <v>3010266.05</v>
      </c>
      <c r="K39">
        <v>47972.29</v>
      </c>
      <c r="L39">
        <v>0</v>
      </c>
      <c r="M39">
        <v>3058238.34</v>
      </c>
      <c r="N39">
        <v>7.1561589999999997</v>
      </c>
      <c r="O39">
        <v>2.9299902122011601E-2</v>
      </c>
      <c r="P39" s="5">
        <v>44693</v>
      </c>
      <c r="Q39" s="5">
        <v>45516</v>
      </c>
      <c r="R39">
        <v>8.4169999999999998</v>
      </c>
      <c r="S39">
        <v>0.04</v>
      </c>
      <c r="T39">
        <v>3.0256699211999999E-2</v>
      </c>
      <c r="U39" t="s">
        <v>108</v>
      </c>
      <c r="V39" t="s">
        <v>11294</v>
      </c>
      <c r="W39" t="s">
        <v>11230</v>
      </c>
      <c r="X39" t="s">
        <v>43</v>
      </c>
      <c r="Y39" t="s">
        <v>10960</v>
      </c>
      <c r="AB39" t="s">
        <v>10961</v>
      </c>
      <c r="AC39" t="s">
        <v>11314</v>
      </c>
      <c r="AD39">
        <v>7.4063994900000001</v>
      </c>
      <c r="AE39">
        <v>7.1662712700000002</v>
      </c>
      <c r="AF39">
        <v>7.41</v>
      </c>
      <c r="AG39">
        <v>7.1662712700000002</v>
      </c>
      <c r="AH39">
        <v>2.97</v>
      </c>
      <c r="AI39">
        <v>3058238.34</v>
      </c>
      <c r="AJ39">
        <v>0.01</v>
      </c>
      <c r="AK39" s="5">
        <v>44676</v>
      </c>
      <c r="AL39" t="s">
        <v>11008</v>
      </c>
      <c r="AM39">
        <v>7.27</v>
      </c>
      <c r="AN39">
        <v>8.42</v>
      </c>
      <c r="AO39">
        <v>0.03</v>
      </c>
      <c r="AP39" t="s">
        <v>11315</v>
      </c>
      <c r="AQ39" t="s">
        <v>11316</v>
      </c>
      <c r="AR39" t="s">
        <v>11313</v>
      </c>
    </row>
    <row r="40" spans="1:44" customFormat="1" ht="12.75" x14ac:dyDescent="0.2">
      <c r="A40">
        <v>38</v>
      </c>
      <c r="B40" t="s">
        <v>11225</v>
      </c>
      <c r="C40" t="s">
        <v>11290</v>
      </c>
      <c r="D40" t="s">
        <v>11307</v>
      </c>
      <c r="E40" t="s">
        <v>11317</v>
      </c>
      <c r="F40" t="s">
        <v>11318</v>
      </c>
      <c r="G40" t="s">
        <v>11317</v>
      </c>
      <c r="H40">
        <v>5000000</v>
      </c>
      <c r="I40">
        <v>5000000</v>
      </c>
      <c r="J40">
        <v>4949019.0199999996</v>
      </c>
      <c r="K40">
        <v>56182.19</v>
      </c>
      <c r="L40">
        <v>0</v>
      </c>
      <c r="M40">
        <v>5005201.21</v>
      </c>
      <c r="N40">
        <v>7.1072259999999998</v>
      </c>
      <c r="O40">
        <v>4.795306619364862E-2</v>
      </c>
      <c r="P40" s="5">
        <v>44795</v>
      </c>
      <c r="Q40" s="5">
        <v>45344</v>
      </c>
      <c r="R40">
        <v>6.51</v>
      </c>
      <c r="S40">
        <v>1.73</v>
      </c>
      <c r="T40">
        <v>1.67469731522</v>
      </c>
      <c r="U40" t="s">
        <v>108</v>
      </c>
      <c r="V40" t="s">
        <v>11294</v>
      </c>
      <c r="W40" t="s">
        <v>11295</v>
      </c>
      <c r="X40" t="s">
        <v>43</v>
      </c>
      <c r="AB40" t="s">
        <v>10946</v>
      </c>
      <c r="AD40">
        <v>7.2335078700000004</v>
      </c>
      <c r="AE40">
        <v>7.0042208199999996</v>
      </c>
      <c r="AF40">
        <v>7.23</v>
      </c>
      <c r="AG40">
        <v>7.0042208199999996</v>
      </c>
      <c r="AH40">
        <v>4.8600000000000003</v>
      </c>
      <c r="AI40">
        <v>5005201.21</v>
      </c>
      <c r="AJ40">
        <v>0.01</v>
      </c>
      <c r="AK40" s="5">
        <v>44676</v>
      </c>
      <c r="AL40" t="s">
        <v>11008</v>
      </c>
      <c r="AM40">
        <v>7.11</v>
      </c>
      <c r="AN40">
        <v>6.51</v>
      </c>
      <c r="AO40">
        <v>1.67</v>
      </c>
      <c r="AP40" t="s">
        <v>11302</v>
      </c>
      <c r="AQ40" t="s">
        <v>11319</v>
      </c>
      <c r="AR40" t="s">
        <v>11318</v>
      </c>
    </row>
    <row r="41" spans="1:44" customFormat="1" ht="12.75" x14ac:dyDescent="0.2">
      <c r="A41">
        <v>39</v>
      </c>
      <c r="B41" t="s">
        <v>11225</v>
      </c>
      <c r="C41" t="s">
        <v>11320</v>
      </c>
      <c r="D41" t="s">
        <v>11321</v>
      </c>
      <c r="E41" t="s">
        <v>11322</v>
      </c>
      <c r="F41" t="s">
        <v>11323</v>
      </c>
      <c r="G41" t="s">
        <v>11322</v>
      </c>
      <c r="H41">
        <v>2766</v>
      </c>
      <c r="I41">
        <v>1915569.61</v>
      </c>
      <c r="J41">
        <v>2470038</v>
      </c>
      <c r="K41">
        <v>0</v>
      </c>
      <c r="L41">
        <v>0</v>
      </c>
      <c r="M41">
        <v>2470038</v>
      </c>
      <c r="N41">
        <v>89300</v>
      </c>
      <c r="O41">
        <v>2.366456227137919E-2</v>
      </c>
      <c r="U41" t="s">
        <v>10898</v>
      </c>
      <c r="V41" t="s">
        <v>10898</v>
      </c>
      <c r="W41" t="s">
        <v>11324</v>
      </c>
      <c r="X41" t="s">
        <v>43</v>
      </c>
      <c r="AB41" t="s">
        <v>10946</v>
      </c>
      <c r="AF41">
        <v>0</v>
      </c>
      <c r="AG41">
        <v>0</v>
      </c>
      <c r="AH41">
        <v>2.4</v>
      </c>
      <c r="AI41">
        <v>2470038</v>
      </c>
      <c r="AJ41">
        <v>0.01</v>
      </c>
      <c r="AK41" s="5">
        <v>44676</v>
      </c>
      <c r="AL41" t="s">
        <v>11008</v>
      </c>
      <c r="AM41">
        <v>0</v>
      </c>
      <c r="AN41">
        <v>0</v>
      </c>
      <c r="AO41">
        <v>0</v>
      </c>
      <c r="AP41" t="s">
        <v>10977</v>
      </c>
      <c r="AQ41" t="s">
        <v>11325</v>
      </c>
      <c r="AR41" t="s">
        <v>11323</v>
      </c>
    </row>
    <row r="42" spans="1:44" customFormat="1" ht="12.75" x14ac:dyDescent="0.2">
      <c r="A42">
        <v>40</v>
      </c>
      <c r="B42" t="s">
        <v>11225</v>
      </c>
      <c r="C42" t="s">
        <v>11320</v>
      </c>
      <c r="D42" t="s">
        <v>11321</v>
      </c>
      <c r="E42" t="s">
        <v>11326</v>
      </c>
      <c r="F42" t="s">
        <v>11327</v>
      </c>
      <c r="G42" t="s">
        <v>11326</v>
      </c>
      <c r="H42">
        <v>27806</v>
      </c>
      <c r="I42">
        <v>2030935.75</v>
      </c>
      <c r="J42">
        <v>2697182</v>
      </c>
      <c r="K42">
        <v>0</v>
      </c>
      <c r="L42">
        <v>0</v>
      </c>
      <c r="M42">
        <v>2697182</v>
      </c>
      <c r="N42">
        <v>9700</v>
      </c>
      <c r="O42">
        <v>2.5840748764287449E-2</v>
      </c>
      <c r="U42" t="s">
        <v>10898</v>
      </c>
      <c r="V42" t="s">
        <v>10898</v>
      </c>
      <c r="W42" t="s">
        <v>11324</v>
      </c>
      <c r="X42" t="s">
        <v>43</v>
      </c>
      <c r="AF42">
        <v>0</v>
      </c>
      <c r="AG42">
        <v>0</v>
      </c>
      <c r="AH42">
        <v>2.62</v>
      </c>
      <c r="AI42">
        <v>2697182</v>
      </c>
      <c r="AJ42">
        <v>0.01</v>
      </c>
      <c r="AK42" s="5">
        <v>44676</v>
      </c>
      <c r="AL42" t="s">
        <v>11008</v>
      </c>
      <c r="AM42">
        <v>0</v>
      </c>
      <c r="AN42">
        <v>0</v>
      </c>
      <c r="AO42">
        <v>0</v>
      </c>
      <c r="AQ42" t="s">
        <v>11328</v>
      </c>
      <c r="AR42" t="s">
        <v>11327</v>
      </c>
    </row>
    <row r="43" spans="1:44" customFormat="1" ht="12.75" x14ac:dyDescent="0.2">
      <c r="A43">
        <v>41</v>
      </c>
      <c r="B43" t="s">
        <v>11225</v>
      </c>
      <c r="C43" t="s">
        <v>11320</v>
      </c>
      <c r="D43" t="s">
        <v>11321</v>
      </c>
      <c r="E43" t="s">
        <v>11329</v>
      </c>
      <c r="F43" t="s">
        <v>11330</v>
      </c>
      <c r="G43" t="s">
        <v>11329</v>
      </c>
      <c r="H43">
        <v>7516</v>
      </c>
      <c r="I43">
        <v>622880.84</v>
      </c>
      <c r="J43">
        <v>646376</v>
      </c>
      <c r="K43">
        <v>0</v>
      </c>
      <c r="L43">
        <v>0</v>
      </c>
      <c r="M43">
        <v>646376</v>
      </c>
      <c r="N43">
        <v>8600</v>
      </c>
      <c r="O43">
        <v>6.1927003158352189E-3</v>
      </c>
      <c r="U43" t="s">
        <v>10898</v>
      </c>
      <c r="V43" t="s">
        <v>10898</v>
      </c>
      <c r="W43" t="s">
        <v>11324</v>
      </c>
      <c r="X43" t="s">
        <v>43</v>
      </c>
      <c r="AF43">
        <v>0</v>
      </c>
      <c r="AG43">
        <v>0</v>
      </c>
      <c r="AH43">
        <v>0.63</v>
      </c>
      <c r="AI43">
        <v>646376</v>
      </c>
      <c r="AJ43">
        <v>0</v>
      </c>
      <c r="AK43" s="5">
        <v>44676</v>
      </c>
      <c r="AL43" t="s">
        <v>11008</v>
      </c>
      <c r="AM43">
        <v>0</v>
      </c>
      <c r="AN43">
        <v>0</v>
      </c>
      <c r="AO43">
        <v>0</v>
      </c>
      <c r="AQ43" t="s">
        <v>11331</v>
      </c>
      <c r="AR43" t="s">
        <v>11330</v>
      </c>
    </row>
    <row r="44" spans="1:44" customFormat="1" ht="12.75" x14ac:dyDescent="0.2">
      <c r="A44">
        <v>42</v>
      </c>
      <c r="B44" t="s">
        <v>11225</v>
      </c>
      <c r="C44" t="s">
        <v>11320</v>
      </c>
      <c r="D44" t="s">
        <v>11321</v>
      </c>
      <c r="E44" t="s">
        <v>11332</v>
      </c>
      <c r="F44" t="s">
        <v>11333</v>
      </c>
      <c r="G44" t="s">
        <v>11334</v>
      </c>
      <c r="H44">
        <v>25171</v>
      </c>
      <c r="I44">
        <v>1960392.4</v>
      </c>
      <c r="J44">
        <v>2342161.5499999998</v>
      </c>
      <c r="K44">
        <v>0</v>
      </c>
      <c r="L44">
        <v>0</v>
      </c>
      <c r="M44">
        <v>2342161.5499999998</v>
      </c>
      <c r="N44">
        <v>9305</v>
      </c>
      <c r="O44">
        <v>2.2439423138269531E-2</v>
      </c>
      <c r="U44" t="s">
        <v>10898</v>
      </c>
      <c r="V44" t="s">
        <v>10898</v>
      </c>
      <c r="W44" t="s">
        <v>11324</v>
      </c>
      <c r="X44" t="s">
        <v>43</v>
      </c>
      <c r="AB44" t="s">
        <v>10946</v>
      </c>
      <c r="AF44">
        <v>0</v>
      </c>
      <c r="AG44">
        <v>0</v>
      </c>
      <c r="AH44">
        <v>2.27</v>
      </c>
      <c r="AI44">
        <v>2342161.5499999998</v>
      </c>
      <c r="AJ44">
        <v>0.01</v>
      </c>
      <c r="AK44" s="5">
        <v>44676</v>
      </c>
      <c r="AL44" t="s">
        <v>11008</v>
      </c>
      <c r="AM44">
        <v>0</v>
      </c>
      <c r="AN44">
        <v>0</v>
      </c>
      <c r="AO44">
        <v>0</v>
      </c>
      <c r="AP44" t="s">
        <v>11302</v>
      </c>
      <c r="AQ44" t="s">
        <v>11335</v>
      </c>
      <c r="AR44" t="s">
        <v>11333</v>
      </c>
    </row>
    <row r="45" spans="1:44" customFormat="1" ht="12.75" x14ac:dyDescent="0.2">
      <c r="A45">
        <v>43</v>
      </c>
      <c r="B45" t="s">
        <v>11225</v>
      </c>
      <c r="C45" t="s">
        <v>11336</v>
      </c>
      <c r="D45" t="s">
        <v>11337</v>
      </c>
      <c r="E45" t="s">
        <v>11338</v>
      </c>
      <c r="F45" t="s">
        <v>11339</v>
      </c>
      <c r="G45" t="s">
        <v>11338</v>
      </c>
      <c r="H45">
        <v>5172176.5176999997</v>
      </c>
      <c r="I45">
        <v>5201302.75</v>
      </c>
      <c r="J45">
        <v>5180969.22</v>
      </c>
      <c r="K45">
        <v>0</v>
      </c>
      <c r="L45">
        <v>0</v>
      </c>
      <c r="M45">
        <v>5180969.22</v>
      </c>
      <c r="N45">
        <v>1.0017</v>
      </c>
      <c r="O45">
        <v>4.9637037459662102E-2</v>
      </c>
      <c r="U45" t="s">
        <v>10898</v>
      </c>
      <c r="V45" t="s">
        <v>11340</v>
      </c>
      <c r="W45" t="s">
        <v>11341</v>
      </c>
      <c r="X45" t="s">
        <v>43</v>
      </c>
      <c r="AF45">
        <v>0</v>
      </c>
      <c r="AG45">
        <v>0</v>
      </c>
      <c r="AH45">
        <v>5.03</v>
      </c>
      <c r="AI45">
        <v>5180969.22</v>
      </c>
      <c r="AJ45">
        <v>0.01</v>
      </c>
      <c r="AK45" s="5">
        <v>44676</v>
      </c>
      <c r="AL45" t="s">
        <v>11008</v>
      </c>
      <c r="AM45">
        <v>0</v>
      </c>
      <c r="AN45">
        <v>0</v>
      </c>
      <c r="AO45">
        <v>0</v>
      </c>
      <c r="AR45" t="s">
        <v>11339</v>
      </c>
    </row>
    <row r="46" spans="1:44" customFormat="1" ht="12.75" x14ac:dyDescent="0.2">
      <c r="A46">
        <v>44</v>
      </c>
      <c r="B46" t="s">
        <v>11225</v>
      </c>
      <c r="C46" t="s">
        <v>10957</v>
      </c>
      <c r="D46" t="s">
        <v>10957</v>
      </c>
      <c r="E46" t="s">
        <v>11342</v>
      </c>
      <c r="F46" t="s">
        <v>11270</v>
      </c>
      <c r="G46" t="s">
        <v>11342</v>
      </c>
      <c r="H46">
        <v>27</v>
      </c>
      <c r="J46">
        <v>0</v>
      </c>
      <c r="M46">
        <v>0</v>
      </c>
      <c r="O46">
        <v>0</v>
      </c>
      <c r="U46" t="s">
        <v>10958</v>
      </c>
      <c r="V46" t="s">
        <v>10959</v>
      </c>
      <c r="W46" t="s">
        <v>44</v>
      </c>
      <c r="X46" t="s">
        <v>43</v>
      </c>
      <c r="AF46">
        <v>0</v>
      </c>
      <c r="AG46">
        <v>0</v>
      </c>
      <c r="AH46">
        <v>0</v>
      </c>
      <c r="AI46">
        <v>-17095320</v>
      </c>
      <c r="AJ46">
        <v>-0.04</v>
      </c>
      <c r="AK46" s="5">
        <v>44676</v>
      </c>
      <c r="AL46" t="s">
        <v>11008</v>
      </c>
      <c r="AM46">
        <v>0</v>
      </c>
      <c r="AN46">
        <v>0</v>
      </c>
      <c r="AO46">
        <v>0</v>
      </c>
      <c r="AR46" t="s">
        <v>10978</v>
      </c>
    </row>
    <row r="47" spans="1:44" customFormat="1" ht="12.75" x14ac:dyDescent="0.2">
      <c r="A47">
        <v>45</v>
      </c>
      <c r="B47" t="s">
        <v>11225</v>
      </c>
      <c r="C47" t="s">
        <v>10957</v>
      </c>
      <c r="D47" t="s">
        <v>10957</v>
      </c>
      <c r="E47" t="s">
        <v>11343</v>
      </c>
      <c r="F47" t="s">
        <v>11272</v>
      </c>
      <c r="G47" t="s">
        <v>11343</v>
      </c>
      <c r="H47">
        <v>-21</v>
      </c>
      <c r="J47">
        <v>0</v>
      </c>
      <c r="M47">
        <v>0</v>
      </c>
      <c r="O47">
        <v>0</v>
      </c>
      <c r="U47" t="s">
        <v>10958</v>
      </c>
      <c r="V47" t="s">
        <v>10959</v>
      </c>
      <c r="W47" t="s">
        <v>44</v>
      </c>
      <c r="X47" t="s">
        <v>43</v>
      </c>
      <c r="AF47">
        <v>0</v>
      </c>
      <c r="AG47">
        <v>0</v>
      </c>
      <c r="AH47">
        <v>0</v>
      </c>
      <c r="AI47">
        <v>13304340</v>
      </c>
      <c r="AJ47">
        <v>0.03</v>
      </c>
      <c r="AK47" s="5">
        <v>44676</v>
      </c>
      <c r="AL47" t="s">
        <v>11008</v>
      </c>
      <c r="AM47">
        <v>0</v>
      </c>
      <c r="AN47">
        <v>0</v>
      </c>
      <c r="AO47">
        <v>0</v>
      </c>
      <c r="AR47" t="s">
        <v>10978</v>
      </c>
    </row>
    <row r="48" spans="1:44" customFormat="1" ht="12.75" x14ac:dyDescent="0.2">
      <c r="A48">
        <v>46</v>
      </c>
      <c r="B48" t="s">
        <v>11225</v>
      </c>
      <c r="C48" t="s">
        <v>10957</v>
      </c>
      <c r="D48" t="s">
        <v>10957</v>
      </c>
      <c r="E48" t="s">
        <v>11344</v>
      </c>
      <c r="F48" t="s">
        <v>11274</v>
      </c>
      <c r="G48" t="s">
        <v>11344</v>
      </c>
      <c r="H48">
        <v>-16</v>
      </c>
      <c r="J48">
        <v>0</v>
      </c>
      <c r="M48">
        <v>0</v>
      </c>
      <c r="O48">
        <v>0</v>
      </c>
      <c r="U48" t="s">
        <v>10958</v>
      </c>
      <c r="V48" t="s">
        <v>11345</v>
      </c>
      <c r="W48" t="s">
        <v>44</v>
      </c>
      <c r="X48" t="s">
        <v>43</v>
      </c>
      <c r="AF48">
        <v>0</v>
      </c>
      <c r="AG48">
        <v>0</v>
      </c>
      <c r="AH48">
        <v>0</v>
      </c>
      <c r="AI48">
        <v>-2171610.94</v>
      </c>
      <c r="AJ48">
        <v>0</v>
      </c>
      <c r="AK48" s="5">
        <v>44676</v>
      </c>
      <c r="AL48" t="s">
        <v>11008</v>
      </c>
      <c r="AM48">
        <v>0</v>
      </c>
      <c r="AN48">
        <v>0</v>
      </c>
      <c r="AO48">
        <v>0</v>
      </c>
      <c r="AR48" t="s">
        <v>10978</v>
      </c>
    </row>
    <row r="49" spans="1:44" customFormat="1" ht="12.75" x14ac:dyDescent="0.2">
      <c r="A49">
        <v>47</v>
      </c>
      <c r="B49" t="s">
        <v>11225</v>
      </c>
      <c r="C49" t="s">
        <v>10957</v>
      </c>
      <c r="D49" t="s">
        <v>10957</v>
      </c>
      <c r="E49" t="s">
        <v>11346</v>
      </c>
      <c r="F49" t="s">
        <v>11278</v>
      </c>
      <c r="G49" t="s">
        <v>11346</v>
      </c>
      <c r="H49">
        <v>34</v>
      </c>
      <c r="J49">
        <v>0</v>
      </c>
      <c r="M49">
        <v>0</v>
      </c>
      <c r="O49">
        <v>0</v>
      </c>
      <c r="U49" t="s">
        <v>10958</v>
      </c>
      <c r="V49" t="s">
        <v>11345</v>
      </c>
      <c r="W49" t="s">
        <v>44</v>
      </c>
      <c r="X49" t="s">
        <v>43</v>
      </c>
      <c r="AF49">
        <v>0</v>
      </c>
      <c r="AG49">
        <v>0</v>
      </c>
      <c r="AH49">
        <v>0</v>
      </c>
      <c r="AI49">
        <v>-5739096.5499999998</v>
      </c>
      <c r="AJ49">
        <v>-0.01</v>
      </c>
      <c r="AK49" s="5">
        <v>44676</v>
      </c>
      <c r="AL49" t="s">
        <v>11008</v>
      </c>
      <c r="AM49">
        <v>0</v>
      </c>
      <c r="AN49">
        <v>0</v>
      </c>
      <c r="AO49">
        <v>0</v>
      </c>
      <c r="AR49" t="s">
        <v>10978</v>
      </c>
    </row>
    <row r="50" spans="1:44" customFormat="1" ht="12.75" x14ac:dyDescent="0.2">
      <c r="A50">
        <v>48</v>
      </c>
      <c r="B50" t="s">
        <v>11225</v>
      </c>
      <c r="C50" t="s">
        <v>10957</v>
      </c>
      <c r="D50" t="s">
        <v>10957</v>
      </c>
      <c r="E50" t="s">
        <v>11347</v>
      </c>
      <c r="F50" t="s">
        <v>11280</v>
      </c>
      <c r="G50" t="s">
        <v>11347</v>
      </c>
      <c r="H50">
        <v>34</v>
      </c>
      <c r="J50">
        <v>0</v>
      </c>
      <c r="M50">
        <v>0</v>
      </c>
      <c r="O50">
        <v>0</v>
      </c>
      <c r="U50" t="s">
        <v>10958</v>
      </c>
      <c r="V50" t="s">
        <v>11345</v>
      </c>
      <c r="W50" t="s">
        <v>44</v>
      </c>
      <c r="X50" t="s">
        <v>43</v>
      </c>
      <c r="AF50">
        <v>0</v>
      </c>
      <c r="AG50">
        <v>0</v>
      </c>
      <c r="AH50">
        <v>0</v>
      </c>
      <c r="AI50">
        <v>-4859479.49</v>
      </c>
      <c r="AJ50">
        <v>-0.01</v>
      </c>
      <c r="AK50" s="5">
        <v>44676</v>
      </c>
      <c r="AL50" t="s">
        <v>11008</v>
      </c>
      <c r="AM50">
        <v>0</v>
      </c>
      <c r="AN50">
        <v>0</v>
      </c>
      <c r="AO50">
        <v>0</v>
      </c>
      <c r="AR50" t="s">
        <v>10978</v>
      </c>
    </row>
    <row r="51" spans="1:44" customFormat="1" ht="12.75" x14ac:dyDescent="0.2">
      <c r="A51">
        <v>49</v>
      </c>
      <c r="B51" t="s">
        <v>11225</v>
      </c>
      <c r="C51" t="s">
        <v>10957</v>
      </c>
      <c r="D51" t="s">
        <v>10957</v>
      </c>
      <c r="E51" t="s">
        <v>11348</v>
      </c>
      <c r="F51" t="s">
        <v>11282</v>
      </c>
      <c r="G51" t="s">
        <v>11348</v>
      </c>
      <c r="H51">
        <v>-34</v>
      </c>
      <c r="J51">
        <v>0</v>
      </c>
      <c r="M51">
        <v>0</v>
      </c>
      <c r="O51">
        <v>0</v>
      </c>
      <c r="U51" t="s">
        <v>10958</v>
      </c>
      <c r="V51" t="s">
        <v>11345</v>
      </c>
      <c r="W51" t="s">
        <v>44</v>
      </c>
      <c r="X51" t="s">
        <v>43</v>
      </c>
      <c r="AF51">
        <v>0</v>
      </c>
      <c r="AG51">
        <v>0</v>
      </c>
      <c r="AH51">
        <v>0</v>
      </c>
      <c r="AI51">
        <v>2384548.0699999998</v>
      </c>
      <c r="AJ51">
        <v>0.01</v>
      </c>
      <c r="AK51" s="5">
        <v>44676</v>
      </c>
      <c r="AL51" t="s">
        <v>11008</v>
      </c>
      <c r="AM51">
        <v>0</v>
      </c>
      <c r="AN51">
        <v>0</v>
      </c>
      <c r="AO51">
        <v>0</v>
      </c>
      <c r="AR51" t="s">
        <v>10978</v>
      </c>
    </row>
    <row r="52" spans="1:44" customFormat="1" ht="12.75" x14ac:dyDescent="0.2"/>
    <row r="53" spans="1:44" customFormat="1" ht="12.75" x14ac:dyDescent="0.2"/>
    <row r="54" spans="1:44" customFormat="1" ht="12.75" x14ac:dyDescent="0.2"/>
    <row r="55" spans="1:44" customFormat="1" ht="12.75" x14ac:dyDescent="0.2"/>
    <row r="56" spans="1:44" customFormat="1" ht="12.75" x14ac:dyDescent="0.2"/>
    <row r="57" spans="1:44" customFormat="1" ht="12.75" x14ac:dyDescent="0.2"/>
    <row r="58" spans="1:44" customFormat="1" ht="12.75" x14ac:dyDescent="0.2"/>
    <row r="59" spans="1:44" customFormat="1" ht="12.75" x14ac:dyDescent="0.2"/>
    <row r="60" spans="1:44" customFormat="1" ht="12.75" x14ac:dyDescent="0.2"/>
    <row r="61" spans="1:44" customFormat="1" ht="12.75" x14ac:dyDescent="0.2"/>
    <row r="62" spans="1:44" customFormat="1" ht="12.75" x14ac:dyDescent="0.2"/>
    <row r="63" spans="1:44" customFormat="1" ht="12.75" x14ac:dyDescent="0.2"/>
    <row r="64" spans="1:4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  <row r="1290" customFormat="1" ht="12.75" x14ac:dyDescent="0.2"/>
    <row r="1291" customFormat="1" ht="12.75" x14ac:dyDescent="0.2"/>
    <row r="1292" customFormat="1" ht="12.75" x14ac:dyDescent="0.2"/>
    <row r="1293" customFormat="1" ht="12.75" x14ac:dyDescent="0.2"/>
    <row r="1294" customFormat="1" ht="12.75" x14ac:dyDescent="0.2"/>
    <row r="1295" customFormat="1" ht="12.75" x14ac:dyDescent="0.2"/>
    <row r="1296" customFormat="1" ht="12.75" x14ac:dyDescent="0.2"/>
    <row r="1297" customFormat="1" ht="12.75" x14ac:dyDescent="0.2"/>
    <row r="1298" customFormat="1" ht="12.75" x14ac:dyDescent="0.2"/>
    <row r="1299" customFormat="1" ht="12.75" x14ac:dyDescent="0.2"/>
    <row r="1300" customFormat="1" ht="12.75" x14ac:dyDescent="0.2"/>
    <row r="1301" customFormat="1" ht="12.75" x14ac:dyDescent="0.2"/>
    <row r="1302" customFormat="1" ht="12.75" x14ac:dyDescent="0.2"/>
    <row r="1303" customFormat="1" ht="12.75" x14ac:dyDescent="0.2"/>
    <row r="1304" customFormat="1" ht="12.75" x14ac:dyDescent="0.2"/>
    <row r="1305" customFormat="1" ht="12.75" x14ac:dyDescent="0.2"/>
    <row r="1306" customFormat="1" ht="12.75" x14ac:dyDescent="0.2"/>
    <row r="1307" customFormat="1" ht="12.75" x14ac:dyDescent="0.2"/>
    <row r="1308" customFormat="1" ht="12.75" x14ac:dyDescent="0.2"/>
    <row r="1309" customFormat="1" ht="12.75" x14ac:dyDescent="0.2"/>
    <row r="1310" customFormat="1" ht="12.75" x14ac:dyDescent="0.2"/>
    <row r="1311" customFormat="1" ht="12.75" x14ac:dyDescent="0.2"/>
    <row r="1312" customFormat="1" ht="12.75" x14ac:dyDescent="0.2"/>
    <row r="1313" customFormat="1" ht="12.75" x14ac:dyDescent="0.2"/>
    <row r="1314" customFormat="1" ht="12.75" x14ac:dyDescent="0.2"/>
    <row r="1315" customFormat="1" ht="12.75" x14ac:dyDescent="0.2"/>
    <row r="1316" customFormat="1" ht="12.75" x14ac:dyDescent="0.2"/>
    <row r="1317" customFormat="1" ht="12.75" x14ac:dyDescent="0.2"/>
    <row r="1318" customFormat="1" ht="12.75" x14ac:dyDescent="0.2"/>
    <row r="1319" customFormat="1" ht="12.75" x14ac:dyDescent="0.2"/>
    <row r="1320" customFormat="1" ht="12.75" x14ac:dyDescent="0.2"/>
    <row r="1321" customFormat="1" ht="12.75" x14ac:dyDescent="0.2"/>
    <row r="1322" customFormat="1" ht="12.75" x14ac:dyDescent="0.2"/>
    <row r="1323" customFormat="1" ht="12.75" x14ac:dyDescent="0.2"/>
    <row r="1324" customFormat="1" ht="12.75" x14ac:dyDescent="0.2"/>
    <row r="1325" customFormat="1" ht="12.75" x14ac:dyDescent="0.2"/>
    <row r="1326" customFormat="1" ht="12.75" x14ac:dyDescent="0.2"/>
    <row r="1327" customFormat="1" ht="12.75" x14ac:dyDescent="0.2"/>
    <row r="1328" customFormat="1" ht="12.75" x14ac:dyDescent="0.2"/>
    <row r="1329" customFormat="1" ht="12.75" x14ac:dyDescent="0.2"/>
    <row r="1330" customFormat="1" ht="12.75" x14ac:dyDescent="0.2"/>
    <row r="1331" customFormat="1" ht="12.75" x14ac:dyDescent="0.2"/>
    <row r="1332" customFormat="1" ht="12.75" x14ac:dyDescent="0.2"/>
    <row r="1333" customFormat="1" ht="12.75" x14ac:dyDescent="0.2"/>
    <row r="1334" customFormat="1" ht="12.75" x14ac:dyDescent="0.2"/>
    <row r="1335" customFormat="1" ht="12.75" x14ac:dyDescent="0.2"/>
    <row r="1336" customFormat="1" ht="12.75" x14ac:dyDescent="0.2"/>
    <row r="1337" customFormat="1" ht="12.75" x14ac:dyDescent="0.2"/>
    <row r="1338" customFormat="1" ht="12.75" x14ac:dyDescent="0.2"/>
    <row r="1339" customFormat="1" ht="12.75" x14ac:dyDescent="0.2"/>
    <row r="1340" customFormat="1" ht="12.75" x14ac:dyDescent="0.2"/>
    <row r="1341" customFormat="1" ht="12.75" x14ac:dyDescent="0.2"/>
    <row r="1342" customFormat="1" ht="12.75" x14ac:dyDescent="0.2"/>
    <row r="1343" customFormat="1" ht="12.75" x14ac:dyDescent="0.2"/>
    <row r="1344" customFormat="1" ht="12.75" x14ac:dyDescent="0.2"/>
    <row r="1345" customFormat="1" ht="12.75" x14ac:dyDescent="0.2"/>
    <row r="1346" customFormat="1" ht="12.75" x14ac:dyDescent="0.2"/>
    <row r="1347" customFormat="1" ht="12.75" x14ac:dyDescent="0.2"/>
    <row r="1348" customFormat="1" ht="12.75" x14ac:dyDescent="0.2"/>
    <row r="1349" customFormat="1" ht="12.75" x14ac:dyDescent="0.2"/>
    <row r="1350" customFormat="1" ht="12.75" x14ac:dyDescent="0.2"/>
    <row r="1351" customFormat="1" ht="12.75" x14ac:dyDescent="0.2"/>
    <row r="1352" customFormat="1" ht="12.75" x14ac:dyDescent="0.2"/>
    <row r="1353" customFormat="1" ht="12.75" x14ac:dyDescent="0.2"/>
    <row r="1354" customFormat="1" ht="12.75" x14ac:dyDescent="0.2"/>
    <row r="1355" customFormat="1" ht="12.75" x14ac:dyDescent="0.2"/>
    <row r="1356" customFormat="1" ht="12.75" x14ac:dyDescent="0.2"/>
    <row r="1357" customFormat="1" ht="12.75" x14ac:dyDescent="0.2"/>
    <row r="1358" customFormat="1" ht="12.75" x14ac:dyDescent="0.2"/>
    <row r="1359" customFormat="1" ht="12.75" x14ac:dyDescent="0.2"/>
    <row r="1360" customFormat="1" ht="12.75" x14ac:dyDescent="0.2"/>
    <row r="1361" customFormat="1" ht="12.75" x14ac:dyDescent="0.2"/>
    <row r="1362" customFormat="1" ht="12.75" x14ac:dyDescent="0.2"/>
    <row r="1363" customFormat="1" ht="12.75" x14ac:dyDescent="0.2"/>
    <row r="1364" customFormat="1" ht="12.75" x14ac:dyDescent="0.2"/>
    <row r="1365" customFormat="1" ht="12.75" x14ac:dyDescent="0.2"/>
    <row r="1366" customFormat="1" ht="12.75" x14ac:dyDescent="0.2"/>
    <row r="1367" customFormat="1" ht="12.75" x14ac:dyDescent="0.2"/>
    <row r="1368" customFormat="1" ht="12.75" x14ac:dyDescent="0.2"/>
    <row r="1369" customFormat="1" ht="12.75" x14ac:dyDescent="0.2"/>
    <row r="1370" customFormat="1" ht="12.75" x14ac:dyDescent="0.2"/>
    <row r="1371" customFormat="1" ht="12.75" x14ac:dyDescent="0.2"/>
    <row r="1372" customFormat="1" ht="12.75" x14ac:dyDescent="0.2"/>
    <row r="1373" customFormat="1" ht="12.75" x14ac:dyDescent="0.2"/>
    <row r="1374" customFormat="1" ht="12.75" x14ac:dyDescent="0.2"/>
    <row r="1375" customFormat="1" ht="12.75" x14ac:dyDescent="0.2"/>
    <row r="1376" customFormat="1" ht="12.75" x14ac:dyDescent="0.2"/>
    <row r="1377" customFormat="1" ht="12.75" x14ac:dyDescent="0.2"/>
    <row r="1378" customFormat="1" ht="12.75" x14ac:dyDescent="0.2"/>
    <row r="1379" customFormat="1" ht="12.75" x14ac:dyDescent="0.2"/>
    <row r="1380" customFormat="1" ht="12.75" x14ac:dyDescent="0.2"/>
    <row r="1381" customFormat="1" ht="12.75" x14ac:dyDescent="0.2"/>
    <row r="1382" customFormat="1" ht="12.75" x14ac:dyDescent="0.2"/>
    <row r="1383" customFormat="1" ht="12.75" x14ac:dyDescent="0.2"/>
    <row r="1384" customFormat="1" ht="12.75" x14ac:dyDescent="0.2"/>
    <row r="1385" customFormat="1" ht="12.75" x14ac:dyDescent="0.2"/>
    <row r="1386" customFormat="1" ht="12.75" x14ac:dyDescent="0.2"/>
    <row r="1387" customFormat="1" ht="12.75" x14ac:dyDescent="0.2"/>
    <row r="1388" customFormat="1" ht="12.75" x14ac:dyDescent="0.2"/>
    <row r="1389" customFormat="1" ht="12.75" x14ac:dyDescent="0.2"/>
    <row r="1390" customFormat="1" ht="12.75" x14ac:dyDescent="0.2"/>
    <row r="1391" customFormat="1" ht="12.75" x14ac:dyDescent="0.2"/>
    <row r="1392" customFormat="1" ht="12.75" x14ac:dyDescent="0.2"/>
    <row r="1393" customFormat="1" ht="12.75" x14ac:dyDescent="0.2"/>
    <row r="1394" customFormat="1" ht="12.75" x14ac:dyDescent="0.2"/>
    <row r="1395" customFormat="1" ht="12.75" x14ac:dyDescent="0.2"/>
    <row r="1396" customFormat="1" ht="12.75" x14ac:dyDescent="0.2"/>
    <row r="1397" customFormat="1" ht="12.75" x14ac:dyDescent="0.2"/>
    <row r="1398" customFormat="1" ht="12.75" x14ac:dyDescent="0.2"/>
    <row r="1399" customFormat="1" ht="12.75" x14ac:dyDescent="0.2"/>
    <row r="1400" customFormat="1" ht="12.75" x14ac:dyDescent="0.2"/>
    <row r="1401" customFormat="1" ht="12.75" x14ac:dyDescent="0.2"/>
    <row r="1402" customFormat="1" ht="12.75" x14ac:dyDescent="0.2"/>
    <row r="1403" customFormat="1" ht="12.75" x14ac:dyDescent="0.2"/>
    <row r="1404" customFormat="1" ht="12.75" x14ac:dyDescent="0.2"/>
    <row r="1405" customFormat="1" ht="12.75" x14ac:dyDescent="0.2"/>
    <row r="1406" customFormat="1" ht="12.75" x14ac:dyDescent="0.2"/>
    <row r="1407" customFormat="1" ht="12.75" x14ac:dyDescent="0.2"/>
    <row r="1408" customFormat="1" ht="12.75" x14ac:dyDescent="0.2"/>
    <row r="1409" customFormat="1" ht="12.75" x14ac:dyDescent="0.2"/>
    <row r="1410" customFormat="1" ht="12.75" x14ac:dyDescent="0.2"/>
    <row r="1411" customFormat="1" ht="12.75" x14ac:dyDescent="0.2"/>
    <row r="1412" customFormat="1" ht="12.75" x14ac:dyDescent="0.2"/>
    <row r="1413" customFormat="1" ht="12.75" x14ac:dyDescent="0.2"/>
    <row r="1414" customFormat="1" ht="12.75" x14ac:dyDescent="0.2"/>
    <row r="1415" customFormat="1" ht="12.75" x14ac:dyDescent="0.2"/>
    <row r="1416" customFormat="1" ht="12.75" x14ac:dyDescent="0.2"/>
    <row r="1417" customFormat="1" ht="12.75" x14ac:dyDescent="0.2"/>
    <row r="1418" customFormat="1" ht="12.75" x14ac:dyDescent="0.2"/>
    <row r="1419" customFormat="1" ht="12.75" x14ac:dyDescent="0.2"/>
    <row r="1420" customFormat="1" ht="12.75" x14ac:dyDescent="0.2"/>
    <row r="1421" customFormat="1" ht="12.75" x14ac:dyDescent="0.2"/>
    <row r="1422" customFormat="1" ht="12.75" x14ac:dyDescent="0.2"/>
    <row r="1423" customFormat="1" ht="12.75" x14ac:dyDescent="0.2"/>
    <row r="1424" customFormat="1" ht="12.75" x14ac:dyDescent="0.2"/>
    <row r="1425" customFormat="1" ht="12.75" x14ac:dyDescent="0.2"/>
    <row r="1426" customFormat="1" ht="12.75" x14ac:dyDescent="0.2"/>
    <row r="1427" customFormat="1" ht="12.75" x14ac:dyDescent="0.2"/>
    <row r="1428" customFormat="1" ht="12.75" x14ac:dyDescent="0.2"/>
    <row r="1429" customFormat="1" ht="12.75" x14ac:dyDescent="0.2"/>
    <row r="1430" customFormat="1" ht="12.75" x14ac:dyDescent="0.2"/>
    <row r="1431" customFormat="1" ht="12.75" x14ac:dyDescent="0.2"/>
    <row r="1432" customFormat="1" ht="12.75" x14ac:dyDescent="0.2"/>
    <row r="1433" customFormat="1" ht="12.75" x14ac:dyDescent="0.2"/>
    <row r="1434" customFormat="1" ht="12.75" x14ac:dyDescent="0.2"/>
    <row r="1435" customFormat="1" ht="12.75" x14ac:dyDescent="0.2"/>
    <row r="1436" customFormat="1" ht="12.75" x14ac:dyDescent="0.2"/>
    <row r="1437" customFormat="1" ht="12.75" x14ac:dyDescent="0.2"/>
    <row r="1438" customFormat="1" ht="12.75" x14ac:dyDescent="0.2"/>
    <row r="1439" customFormat="1" ht="12.75" x14ac:dyDescent="0.2"/>
    <row r="1440" customFormat="1" ht="12.75" x14ac:dyDescent="0.2"/>
    <row r="1441" customFormat="1" ht="12.75" x14ac:dyDescent="0.2"/>
    <row r="1442" customFormat="1" ht="12.75" x14ac:dyDescent="0.2"/>
    <row r="1443" customFormat="1" ht="12.75" x14ac:dyDescent="0.2"/>
    <row r="1444" customFormat="1" ht="12.75" x14ac:dyDescent="0.2"/>
    <row r="1445" customFormat="1" ht="12.75" x14ac:dyDescent="0.2"/>
    <row r="1446" customFormat="1" ht="12.75" x14ac:dyDescent="0.2"/>
    <row r="1447" customFormat="1" ht="12.75" x14ac:dyDescent="0.2"/>
    <row r="1448" customFormat="1" ht="12.75" x14ac:dyDescent="0.2"/>
    <row r="1449" customFormat="1" ht="12.75" x14ac:dyDescent="0.2"/>
    <row r="1450" customFormat="1" ht="12.75" x14ac:dyDescent="0.2"/>
    <row r="1451" customFormat="1" ht="12.75" x14ac:dyDescent="0.2"/>
    <row r="1452" customFormat="1" ht="12.75" x14ac:dyDescent="0.2"/>
    <row r="1453" customFormat="1" ht="12.75" x14ac:dyDescent="0.2"/>
    <row r="1454" customFormat="1" ht="12.75" x14ac:dyDescent="0.2"/>
    <row r="1455" customFormat="1" ht="12.75" x14ac:dyDescent="0.2"/>
    <row r="1456" customFormat="1" ht="12.75" x14ac:dyDescent="0.2"/>
    <row r="1457" customFormat="1" ht="12.75" x14ac:dyDescent="0.2"/>
    <row r="1458" customFormat="1" ht="12.75" x14ac:dyDescent="0.2"/>
    <row r="1459" customFormat="1" ht="12.75" x14ac:dyDescent="0.2"/>
    <row r="1460" customFormat="1" ht="12.75" x14ac:dyDescent="0.2"/>
    <row r="1461" customFormat="1" ht="12.75" x14ac:dyDescent="0.2"/>
    <row r="1462" customFormat="1" ht="12.75" x14ac:dyDescent="0.2"/>
    <row r="1463" customFormat="1" ht="12.75" x14ac:dyDescent="0.2"/>
    <row r="1464" customFormat="1" ht="12.75" x14ac:dyDescent="0.2"/>
    <row r="1465" customFormat="1" ht="12.75" x14ac:dyDescent="0.2"/>
    <row r="1466" customFormat="1" ht="12.75" x14ac:dyDescent="0.2"/>
    <row r="1467" customFormat="1" ht="12.75" x14ac:dyDescent="0.2"/>
    <row r="1468" customFormat="1" ht="12.75" x14ac:dyDescent="0.2"/>
    <row r="1469" customFormat="1" ht="12.75" x14ac:dyDescent="0.2"/>
    <row r="1470" customFormat="1" ht="12.75" x14ac:dyDescent="0.2"/>
    <row r="1471" customFormat="1" ht="12.75" x14ac:dyDescent="0.2"/>
    <row r="1472" customFormat="1" ht="12.75" x14ac:dyDescent="0.2"/>
    <row r="1473" customFormat="1" ht="12.75" x14ac:dyDescent="0.2"/>
    <row r="1474" customFormat="1" ht="12.75" x14ac:dyDescent="0.2"/>
    <row r="1475" customFormat="1" ht="12.75" x14ac:dyDescent="0.2"/>
    <row r="1476" customFormat="1" ht="12.75" x14ac:dyDescent="0.2"/>
    <row r="1477" customFormat="1" ht="12.75" x14ac:dyDescent="0.2"/>
    <row r="1478" customFormat="1" ht="12.75" x14ac:dyDescent="0.2"/>
    <row r="1479" customFormat="1" ht="12.75" x14ac:dyDescent="0.2"/>
    <row r="1480" customFormat="1" ht="12.75" x14ac:dyDescent="0.2"/>
    <row r="1481" customFormat="1" ht="12.75" x14ac:dyDescent="0.2"/>
    <row r="1482" customFormat="1" ht="12.75" x14ac:dyDescent="0.2"/>
    <row r="1483" customFormat="1" ht="12.75" x14ac:dyDescent="0.2"/>
    <row r="1484" customFormat="1" ht="12.75" x14ac:dyDescent="0.2"/>
    <row r="1485" customFormat="1" ht="12.75" x14ac:dyDescent="0.2"/>
    <row r="1486" customFormat="1" ht="12.75" x14ac:dyDescent="0.2"/>
    <row r="1487" customFormat="1" ht="12.75" x14ac:dyDescent="0.2"/>
    <row r="1488" customFormat="1" ht="12.75" x14ac:dyDescent="0.2"/>
    <row r="1489" customFormat="1" ht="12.75" x14ac:dyDescent="0.2"/>
    <row r="1490" customFormat="1" ht="12.75" x14ac:dyDescent="0.2"/>
    <row r="1491" customFormat="1" ht="12.75" x14ac:dyDescent="0.2"/>
    <row r="1492" customFormat="1" ht="12.75" x14ac:dyDescent="0.2"/>
    <row r="1493" customFormat="1" ht="12.75" x14ac:dyDescent="0.2"/>
    <row r="1494" customFormat="1" ht="12.75" x14ac:dyDescent="0.2"/>
    <row r="1495" customFormat="1" ht="12.75" x14ac:dyDescent="0.2"/>
    <row r="1496" customFormat="1" ht="12.75" x14ac:dyDescent="0.2"/>
    <row r="1497" customFormat="1" ht="12.75" x14ac:dyDescent="0.2"/>
    <row r="1498" customFormat="1" ht="12.75" x14ac:dyDescent="0.2"/>
    <row r="1499" customFormat="1" ht="12.75" x14ac:dyDescent="0.2"/>
    <row r="1500" customFormat="1" ht="12.75" x14ac:dyDescent="0.2"/>
    <row r="1501" customFormat="1" ht="12.75" x14ac:dyDescent="0.2"/>
    <row r="1502" customFormat="1" ht="12.75" x14ac:dyDescent="0.2"/>
    <row r="1503" customFormat="1" ht="12.75" x14ac:dyDescent="0.2"/>
    <row r="1504" customFormat="1" ht="12.75" x14ac:dyDescent="0.2"/>
    <row r="1505" customFormat="1" ht="12.75" x14ac:dyDescent="0.2"/>
    <row r="1506" customFormat="1" ht="12.75" x14ac:dyDescent="0.2"/>
    <row r="1507" customFormat="1" ht="12.75" x14ac:dyDescent="0.2"/>
    <row r="1508" customFormat="1" ht="12.75" x14ac:dyDescent="0.2"/>
    <row r="1509" customFormat="1" ht="12.75" x14ac:dyDescent="0.2"/>
    <row r="1510" customFormat="1" ht="12.75" x14ac:dyDescent="0.2"/>
    <row r="1511" customFormat="1" ht="12.75" x14ac:dyDescent="0.2"/>
    <row r="1512" customFormat="1" ht="12.75" x14ac:dyDescent="0.2"/>
    <row r="1513" customFormat="1" ht="12.75" x14ac:dyDescent="0.2"/>
    <row r="1514" customFormat="1" ht="12.75" x14ac:dyDescent="0.2"/>
    <row r="1515" customFormat="1" ht="12.75" x14ac:dyDescent="0.2"/>
    <row r="1516" customFormat="1" ht="12.75" x14ac:dyDescent="0.2"/>
    <row r="1517" customFormat="1" ht="12.75" x14ac:dyDescent="0.2"/>
    <row r="1518" customFormat="1" ht="12.75" x14ac:dyDescent="0.2"/>
    <row r="1519" customFormat="1" ht="12.75" x14ac:dyDescent="0.2"/>
    <row r="1520" customFormat="1" ht="12.75" x14ac:dyDescent="0.2"/>
    <row r="1521" customFormat="1" ht="12.75" x14ac:dyDescent="0.2"/>
    <row r="1522" customFormat="1" ht="12.75" x14ac:dyDescent="0.2"/>
    <row r="1523" customFormat="1" ht="12.75" x14ac:dyDescent="0.2"/>
    <row r="1524" customFormat="1" ht="12.75" x14ac:dyDescent="0.2"/>
    <row r="1525" customFormat="1" ht="12.75" x14ac:dyDescent="0.2"/>
    <row r="1526" customFormat="1" ht="12.75" x14ac:dyDescent="0.2"/>
    <row r="1527" customFormat="1" ht="12.75" x14ac:dyDescent="0.2"/>
    <row r="1528" customFormat="1" ht="12.75" x14ac:dyDescent="0.2"/>
    <row r="1529" customFormat="1" ht="12.75" x14ac:dyDescent="0.2"/>
    <row r="1530" customFormat="1" ht="12.75" x14ac:dyDescent="0.2"/>
    <row r="1531" customFormat="1" ht="12.75" x14ac:dyDescent="0.2"/>
    <row r="1532" customFormat="1" ht="12.75" x14ac:dyDescent="0.2"/>
    <row r="1533" customFormat="1" ht="12.75" x14ac:dyDescent="0.2"/>
    <row r="1534" customFormat="1" ht="12.75" x14ac:dyDescent="0.2"/>
    <row r="1535" customFormat="1" ht="12.75" x14ac:dyDescent="0.2"/>
    <row r="1536" customFormat="1" ht="12.75" x14ac:dyDescent="0.2"/>
    <row r="1537" customFormat="1" ht="12.75" x14ac:dyDescent="0.2"/>
    <row r="1538" customFormat="1" ht="12.75" x14ac:dyDescent="0.2"/>
    <row r="1539" customFormat="1" ht="12.75" x14ac:dyDescent="0.2"/>
    <row r="1540" customFormat="1" ht="12.75" x14ac:dyDescent="0.2"/>
    <row r="1541" customFormat="1" ht="12.75" x14ac:dyDescent="0.2"/>
    <row r="1542" customFormat="1" ht="12.75" x14ac:dyDescent="0.2"/>
    <row r="1543" customFormat="1" ht="12.75" x14ac:dyDescent="0.2"/>
    <row r="1544" customFormat="1" ht="12.75" x14ac:dyDescent="0.2"/>
    <row r="1545" customFormat="1" ht="12.75" x14ac:dyDescent="0.2"/>
    <row r="1546" customFormat="1" ht="12.75" x14ac:dyDescent="0.2"/>
    <row r="1547" customFormat="1" ht="12.75" x14ac:dyDescent="0.2"/>
    <row r="1548" customFormat="1" ht="12.75" x14ac:dyDescent="0.2"/>
    <row r="1549" customFormat="1" ht="12.75" x14ac:dyDescent="0.2"/>
    <row r="1550" customFormat="1" ht="12.75" x14ac:dyDescent="0.2"/>
    <row r="1551" customFormat="1" ht="12.75" x14ac:dyDescent="0.2"/>
    <row r="1552" customFormat="1" ht="12.75" x14ac:dyDescent="0.2"/>
    <row r="1553" customFormat="1" ht="12.75" x14ac:dyDescent="0.2"/>
    <row r="1554" customFormat="1" ht="12.75" x14ac:dyDescent="0.2"/>
    <row r="1555" customFormat="1" ht="12.75" x14ac:dyDescent="0.2"/>
    <row r="1556" customFormat="1" ht="12.75" x14ac:dyDescent="0.2"/>
    <row r="1557" customFormat="1" ht="12.75" x14ac:dyDescent="0.2"/>
    <row r="1558" customFormat="1" ht="12.75" x14ac:dyDescent="0.2"/>
    <row r="1559" customFormat="1" ht="12.75" x14ac:dyDescent="0.2"/>
    <row r="1560" customFormat="1" ht="12.75" x14ac:dyDescent="0.2"/>
    <row r="1561" customFormat="1" ht="12.75" x14ac:dyDescent="0.2"/>
    <row r="1562" customFormat="1" ht="12.75" x14ac:dyDescent="0.2"/>
    <row r="1563" customFormat="1" ht="12.75" x14ac:dyDescent="0.2"/>
    <row r="1564" customFormat="1" ht="12.75" x14ac:dyDescent="0.2"/>
    <row r="1565" customFormat="1" ht="12.75" x14ac:dyDescent="0.2"/>
    <row r="1566" customFormat="1" ht="12.75" x14ac:dyDescent="0.2"/>
    <row r="1567" customFormat="1" ht="12.75" x14ac:dyDescent="0.2"/>
    <row r="1568" customFormat="1" ht="12.75" x14ac:dyDescent="0.2"/>
    <row r="1569" customFormat="1" ht="12.75" x14ac:dyDescent="0.2"/>
    <row r="1570" customFormat="1" ht="12.75" x14ac:dyDescent="0.2"/>
    <row r="1571" customFormat="1" ht="12.75" x14ac:dyDescent="0.2"/>
    <row r="1572" customFormat="1" ht="12.75" x14ac:dyDescent="0.2"/>
    <row r="1573" customFormat="1" ht="12.75" x14ac:dyDescent="0.2"/>
    <row r="1574" customFormat="1" ht="12.75" x14ac:dyDescent="0.2"/>
    <row r="1575" customFormat="1" ht="12.75" x14ac:dyDescent="0.2"/>
    <row r="1576" customFormat="1" ht="12.75" x14ac:dyDescent="0.2"/>
    <row r="1577" customFormat="1" ht="12.75" x14ac:dyDescent="0.2"/>
    <row r="1578" customFormat="1" ht="12.75" x14ac:dyDescent="0.2"/>
    <row r="1579" customFormat="1" ht="12.75" x14ac:dyDescent="0.2"/>
    <row r="1580" customFormat="1" ht="12.75" x14ac:dyDescent="0.2"/>
    <row r="1581" customFormat="1" ht="12.75" x14ac:dyDescent="0.2"/>
    <row r="1582" customFormat="1" ht="12.75" x14ac:dyDescent="0.2"/>
    <row r="1583" customFormat="1" ht="12.75" x14ac:dyDescent="0.2"/>
    <row r="1584" customFormat="1" ht="12.75" x14ac:dyDescent="0.2"/>
    <row r="1585" customFormat="1" ht="12.75" x14ac:dyDescent="0.2"/>
    <row r="1586" customFormat="1" ht="12.75" x14ac:dyDescent="0.2"/>
    <row r="1587" customFormat="1" ht="12.75" x14ac:dyDescent="0.2"/>
    <row r="1588" customFormat="1" ht="12.75" x14ac:dyDescent="0.2"/>
    <row r="1589" customFormat="1" ht="12.75" x14ac:dyDescent="0.2"/>
    <row r="1590" customFormat="1" ht="12.75" x14ac:dyDescent="0.2"/>
    <row r="1591" customFormat="1" ht="12.75" x14ac:dyDescent="0.2"/>
    <row r="1592" customFormat="1" ht="12.75" x14ac:dyDescent="0.2"/>
    <row r="1593" customFormat="1" ht="12.75" x14ac:dyDescent="0.2"/>
    <row r="1594" customFormat="1" ht="12.75" x14ac:dyDescent="0.2"/>
    <row r="1595" customFormat="1" ht="12.75" x14ac:dyDescent="0.2"/>
    <row r="1596" customFormat="1" ht="12.75" x14ac:dyDescent="0.2"/>
    <row r="1597" customFormat="1" ht="12.75" x14ac:dyDescent="0.2"/>
    <row r="1598" customFormat="1" ht="12.75" x14ac:dyDescent="0.2"/>
    <row r="1599" customFormat="1" ht="12.75" x14ac:dyDescent="0.2"/>
    <row r="1600" customFormat="1" ht="12.75" x14ac:dyDescent="0.2"/>
    <row r="1601" customFormat="1" ht="12.75" x14ac:dyDescent="0.2"/>
    <row r="1602" customFormat="1" ht="12.75" x14ac:dyDescent="0.2"/>
    <row r="1603" customFormat="1" ht="12.75" x14ac:dyDescent="0.2"/>
    <row r="1604" customFormat="1" ht="12.75" x14ac:dyDescent="0.2"/>
    <row r="1605" customFormat="1" ht="12.75" x14ac:dyDescent="0.2"/>
    <row r="1606" customFormat="1" ht="12.75" x14ac:dyDescent="0.2"/>
    <row r="1607" customFormat="1" ht="12.75" x14ac:dyDescent="0.2"/>
    <row r="1608" customFormat="1" ht="12.75" x14ac:dyDescent="0.2"/>
    <row r="1609" customFormat="1" ht="12.75" x14ac:dyDescent="0.2"/>
    <row r="1610" customFormat="1" ht="12.75" x14ac:dyDescent="0.2"/>
    <row r="1611" customFormat="1" ht="12.75" x14ac:dyDescent="0.2"/>
    <row r="1612" customFormat="1" ht="12.75" x14ac:dyDescent="0.2"/>
    <row r="1613" customFormat="1" ht="12.75" x14ac:dyDescent="0.2"/>
    <row r="1614" customFormat="1" ht="12.75" x14ac:dyDescent="0.2"/>
    <row r="1615" customFormat="1" ht="12.75" x14ac:dyDescent="0.2"/>
    <row r="1616" customFormat="1" ht="12.75" x14ac:dyDescent="0.2"/>
    <row r="1617" customFormat="1" ht="12.75" x14ac:dyDescent="0.2"/>
    <row r="1618" customFormat="1" ht="12.75" x14ac:dyDescent="0.2"/>
    <row r="1619" customFormat="1" ht="12.75" x14ac:dyDescent="0.2"/>
    <row r="1620" customFormat="1" ht="12.75" x14ac:dyDescent="0.2"/>
    <row r="1621" customFormat="1" ht="12.75" x14ac:dyDescent="0.2"/>
    <row r="1622" customFormat="1" ht="12.75" x14ac:dyDescent="0.2"/>
    <row r="1623" customFormat="1" ht="12.75" x14ac:dyDescent="0.2"/>
    <row r="1624" customFormat="1" ht="12.75" x14ac:dyDescent="0.2"/>
    <row r="1625" customFormat="1" ht="12.75" x14ac:dyDescent="0.2"/>
    <row r="1626" customFormat="1" ht="12.75" x14ac:dyDescent="0.2"/>
    <row r="1627" customFormat="1" ht="12.75" x14ac:dyDescent="0.2"/>
    <row r="1628" customFormat="1" ht="12.75" x14ac:dyDescent="0.2"/>
    <row r="1629" customFormat="1" ht="12.75" x14ac:dyDescent="0.2"/>
    <row r="1630" customFormat="1" ht="12.75" x14ac:dyDescent="0.2"/>
    <row r="1631" customFormat="1" ht="12.75" x14ac:dyDescent="0.2"/>
    <row r="1632" customFormat="1" ht="12.75" x14ac:dyDescent="0.2"/>
    <row r="1633" customFormat="1" ht="12.75" x14ac:dyDescent="0.2"/>
    <row r="1634" customFormat="1" ht="12.75" x14ac:dyDescent="0.2"/>
    <row r="1635" customFormat="1" ht="12.75" x14ac:dyDescent="0.2"/>
    <row r="1636" customFormat="1" ht="12.75" x14ac:dyDescent="0.2"/>
    <row r="1637" customFormat="1" ht="12.75" x14ac:dyDescent="0.2"/>
    <row r="1638" customFormat="1" ht="12.75" x14ac:dyDescent="0.2"/>
    <row r="1639" customFormat="1" ht="12.75" x14ac:dyDescent="0.2"/>
    <row r="1640" customFormat="1" ht="12.75" x14ac:dyDescent="0.2"/>
    <row r="1641" customFormat="1" ht="12.75" x14ac:dyDescent="0.2"/>
    <row r="1642" customFormat="1" ht="12.75" x14ac:dyDescent="0.2"/>
    <row r="1643" customFormat="1" ht="12.75" x14ac:dyDescent="0.2"/>
    <row r="1644" customFormat="1" ht="12.75" x14ac:dyDescent="0.2"/>
    <row r="1645" customFormat="1" ht="12.75" x14ac:dyDescent="0.2"/>
    <row r="1646" customFormat="1" ht="12.75" x14ac:dyDescent="0.2"/>
    <row r="1647" customFormat="1" ht="12.75" x14ac:dyDescent="0.2"/>
    <row r="1648" customFormat="1" ht="12.75" x14ac:dyDescent="0.2"/>
    <row r="1649" customFormat="1" ht="12.75" x14ac:dyDescent="0.2"/>
    <row r="1650" customFormat="1" ht="12.75" x14ac:dyDescent="0.2"/>
    <row r="1651" customFormat="1" ht="12.75" x14ac:dyDescent="0.2"/>
    <row r="1652" customFormat="1" ht="12.75" x14ac:dyDescent="0.2"/>
    <row r="1653" customFormat="1" ht="12.75" x14ac:dyDescent="0.2"/>
    <row r="1654" customFormat="1" ht="12.75" x14ac:dyDescent="0.2"/>
    <row r="1655" customFormat="1" ht="12.75" x14ac:dyDescent="0.2"/>
    <row r="1656" customFormat="1" ht="12.75" x14ac:dyDescent="0.2"/>
    <row r="1657" customFormat="1" ht="12.75" x14ac:dyDescent="0.2"/>
    <row r="1658" customFormat="1" ht="12.75" x14ac:dyDescent="0.2"/>
    <row r="1659" customFormat="1" ht="12.75" x14ac:dyDescent="0.2"/>
    <row r="1660" customFormat="1" ht="12.75" x14ac:dyDescent="0.2"/>
    <row r="1661" customFormat="1" ht="12.75" x14ac:dyDescent="0.2"/>
    <row r="1662" customFormat="1" ht="12.75" x14ac:dyDescent="0.2"/>
    <row r="1663" customFormat="1" ht="12.75" x14ac:dyDescent="0.2"/>
    <row r="1664" customFormat="1" ht="12.75" x14ac:dyDescent="0.2"/>
    <row r="1665" customFormat="1" ht="12.75" x14ac:dyDescent="0.2"/>
    <row r="1666" customFormat="1" ht="12.75" x14ac:dyDescent="0.2"/>
    <row r="1667" customFormat="1" ht="12.75" x14ac:dyDescent="0.2"/>
    <row r="1668" customFormat="1" ht="12.75" x14ac:dyDescent="0.2"/>
    <row r="1669" customFormat="1" ht="12.75" x14ac:dyDescent="0.2"/>
    <row r="1670" customFormat="1" ht="12.75" x14ac:dyDescent="0.2"/>
    <row r="1671" customFormat="1" ht="12.75" x14ac:dyDescent="0.2"/>
    <row r="1672" customFormat="1" ht="12.75" x14ac:dyDescent="0.2"/>
    <row r="1673" customFormat="1" ht="12.75" x14ac:dyDescent="0.2"/>
    <row r="1674" customFormat="1" ht="12.75" x14ac:dyDescent="0.2"/>
    <row r="1675" customFormat="1" ht="12.75" x14ac:dyDescent="0.2"/>
    <row r="1676" customFormat="1" ht="12.75" x14ac:dyDescent="0.2"/>
    <row r="1677" customFormat="1" ht="12.75" x14ac:dyDescent="0.2"/>
    <row r="1678" customFormat="1" ht="12.75" x14ac:dyDescent="0.2"/>
    <row r="1679" customFormat="1" ht="12.75" x14ac:dyDescent="0.2"/>
    <row r="1680" customFormat="1" ht="12.75" x14ac:dyDescent="0.2"/>
  </sheetData>
  <sortState xmlns:xlrd2="http://schemas.microsoft.com/office/spreadsheetml/2017/richdata2" ref="A2:AQ38">
    <sortCondition ref="B1"/>
    <sortCondition ref="C1"/>
  </sortState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9A79-6BBF-4856-B53D-1EFD02B17386}">
  <sheetPr codeName="shDeltas"/>
  <dimension ref="A1:H1680"/>
  <sheetViews>
    <sheetView tabSelected="1" workbookViewId="0">
      <selection activeCell="I28" sqref="I28"/>
    </sheetView>
  </sheetViews>
  <sheetFormatPr defaultColWidth="9.140625" defaultRowHeight="15" x14ac:dyDescent="0.25"/>
  <cols>
    <col min="1" max="3" width="9.140625" style="13"/>
    <col min="4" max="6" width="9.28515625" style="13" bestFit="1" customWidth="1"/>
    <col min="7" max="7" width="13.5703125" style="13" bestFit="1" customWidth="1"/>
    <col min="8" max="16384" width="9.140625" style="13"/>
  </cols>
  <sheetData>
    <row r="1" spans="1:8" x14ac:dyDescent="0.25">
      <c r="A1" s="187"/>
      <c r="B1" s="187" t="s">
        <v>0</v>
      </c>
      <c r="C1" s="187" t="s">
        <v>3</v>
      </c>
      <c r="D1" s="187" t="s">
        <v>53</v>
      </c>
      <c r="E1" s="187" t="s">
        <v>10897</v>
      </c>
      <c r="F1" s="187" t="s">
        <v>55</v>
      </c>
      <c r="G1" s="187" t="s">
        <v>56</v>
      </c>
      <c r="H1" s="13" t="s">
        <v>57</v>
      </c>
    </row>
    <row r="2" spans="1:8" customFormat="1" ht="12.75" x14ac:dyDescent="0.2">
      <c r="A2">
        <v>0</v>
      </c>
      <c r="B2" t="s">
        <v>11225</v>
      </c>
      <c r="C2" t="s">
        <v>11270</v>
      </c>
      <c r="D2" t="s">
        <v>11270</v>
      </c>
      <c r="E2">
        <v>27</v>
      </c>
      <c r="F2">
        <v>1</v>
      </c>
      <c r="G2">
        <v>0</v>
      </c>
      <c r="H2">
        <v>17095320</v>
      </c>
    </row>
    <row r="3" spans="1:8" customFormat="1" ht="12.75" x14ac:dyDescent="0.2">
      <c r="A3">
        <v>1</v>
      </c>
      <c r="B3" t="s">
        <v>11225</v>
      </c>
      <c r="C3" t="s">
        <v>11272</v>
      </c>
      <c r="D3" t="s">
        <v>11272</v>
      </c>
      <c r="E3">
        <v>-21</v>
      </c>
      <c r="F3">
        <v>1</v>
      </c>
      <c r="G3">
        <v>0</v>
      </c>
      <c r="H3">
        <v>-13304340</v>
      </c>
    </row>
    <row r="4" spans="1:8" customFormat="1" ht="12.75" x14ac:dyDescent="0.2">
      <c r="A4">
        <v>2</v>
      </c>
      <c r="B4" t="s">
        <v>11225</v>
      </c>
      <c r="C4" t="s">
        <v>11274</v>
      </c>
      <c r="D4" t="s">
        <v>11274</v>
      </c>
      <c r="E4">
        <v>-16</v>
      </c>
      <c r="F4">
        <v>-0.21423</v>
      </c>
      <c r="G4">
        <v>0</v>
      </c>
      <c r="H4">
        <v>2171610.94</v>
      </c>
    </row>
    <row r="5" spans="1:8" customFormat="1" ht="12.75" x14ac:dyDescent="0.2">
      <c r="A5">
        <v>3</v>
      </c>
      <c r="B5" t="s">
        <v>11225</v>
      </c>
      <c r="C5" t="s">
        <v>11278</v>
      </c>
      <c r="D5" t="s">
        <v>11278</v>
      </c>
      <c r="E5">
        <v>34</v>
      </c>
      <c r="F5">
        <v>0.26643</v>
      </c>
      <c r="G5">
        <v>0</v>
      </c>
      <c r="H5">
        <v>5739096.5499999998</v>
      </c>
    </row>
    <row r="6" spans="1:8" customFormat="1" ht="12.75" x14ac:dyDescent="0.2">
      <c r="A6">
        <v>4</v>
      </c>
      <c r="B6" t="s">
        <v>11225</v>
      </c>
      <c r="C6" t="s">
        <v>11280</v>
      </c>
      <c r="D6" t="s">
        <v>11280</v>
      </c>
      <c r="E6">
        <v>34</v>
      </c>
      <c r="F6">
        <v>0.22559999999999999</v>
      </c>
      <c r="G6">
        <v>0</v>
      </c>
      <c r="H6">
        <v>4859479.49</v>
      </c>
    </row>
    <row r="7" spans="1:8" customFormat="1" ht="12.75" x14ac:dyDescent="0.2">
      <c r="A7">
        <v>5</v>
      </c>
      <c r="B7" t="s">
        <v>11225</v>
      </c>
      <c r="C7" t="s">
        <v>11282</v>
      </c>
      <c r="D7" t="s">
        <v>11282</v>
      </c>
      <c r="E7">
        <v>-34</v>
      </c>
      <c r="F7">
        <v>0.11070000000000001</v>
      </c>
      <c r="G7">
        <v>0</v>
      </c>
      <c r="H7">
        <v>-2384548.0699999998</v>
      </c>
    </row>
    <row r="8" spans="1:8" customFormat="1" ht="12.75" x14ac:dyDescent="0.2"/>
    <row r="9" spans="1:8" customFormat="1" ht="12.75" x14ac:dyDescent="0.2"/>
    <row r="10" spans="1:8" customFormat="1" ht="12.75" x14ac:dyDescent="0.2"/>
    <row r="11" spans="1:8" customFormat="1" ht="12.75" x14ac:dyDescent="0.2"/>
    <row r="12" spans="1:8" customFormat="1" ht="12.75" x14ac:dyDescent="0.2"/>
    <row r="13" spans="1:8" customFormat="1" ht="12.75" x14ac:dyDescent="0.2"/>
    <row r="14" spans="1:8" customFormat="1" ht="12.75" x14ac:dyDescent="0.2"/>
    <row r="15" spans="1:8" customFormat="1" ht="12.75" x14ac:dyDescent="0.2"/>
    <row r="16" spans="1:8" customFormat="1" ht="12.75" x14ac:dyDescent="0.2"/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  <row r="1290" customFormat="1" ht="12.75" x14ac:dyDescent="0.2"/>
    <row r="1291" customFormat="1" ht="12.75" x14ac:dyDescent="0.2"/>
    <row r="1292" customFormat="1" ht="12.75" x14ac:dyDescent="0.2"/>
    <row r="1293" customFormat="1" ht="12.75" x14ac:dyDescent="0.2"/>
    <row r="1294" customFormat="1" ht="12.75" x14ac:dyDescent="0.2"/>
    <row r="1295" customFormat="1" ht="12.75" x14ac:dyDescent="0.2"/>
    <row r="1296" customFormat="1" ht="12.75" x14ac:dyDescent="0.2"/>
    <row r="1297" customFormat="1" ht="12.75" x14ac:dyDescent="0.2"/>
    <row r="1298" customFormat="1" ht="12.75" x14ac:dyDescent="0.2"/>
    <row r="1299" customFormat="1" ht="12.75" x14ac:dyDescent="0.2"/>
    <row r="1300" customFormat="1" ht="12.75" x14ac:dyDescent="0.2"/>
    <row r="1301" customFormat="1" ht="12.75" x14ac:dyDescent="0.2"/>
    <row r="1302" customFormat="1" ht="12.75" x14ac:dyDescent="0.2"/>
    <row r="1303" customFormat="1" ht="12.75" x14ac:dyDescent="0.2"/>
    <row r="1304" customFormat="1" ht="12.75" x14ac:dyDescent="0.2"/>
    <row r="1305" customFormat="1" ht="12.75" x14ac:dyDescent="0.2"/>
    <row r="1306" customFormat="1" ht="12.75" x14ac:dyDescent="0.2"/>
    <row r="1307" customFormat="1" ht="12.75" x14ac:dyDescent="0.2"/>
    <row r="1308" customFormat="1" ht="12.75" x14ac:dyDescent="0.2"/>
    <row r="1309" customFormat="1" ht="12.75" x14ac:dyDescent="0.2"/>
    <row r="1310" customFormat="1" ht="12.75" x14ac:dyDescent="0.2"/>
    <row r="1311" customFormat="1" ht="12.75" x14ac:dyDescent="0.2"/>
    <row r="1312" customFormat="1" ht="12.75" x14ac:dyDescent="0.2"/>
    <row r="1313" customFormat="1" ht="12.75" x14ac:dyDescent="0.2"/>
    <row r="1314" customFormat="1" ht="12.75" x14ac:dyDescent="0.2"/>
    <row r="1315" customFormat="1" ht="12.75" x14ac:dyDescent="0.2"/>
    <row r="1316" customFormat="1" ht="12.75" x14ac:dyDescent="0.2"/>
    <row r="1317" customFormat="1" ht="12.75" x14ac:dyDescent="0.2"/>
    <row r="1318" customFormat="1" ht="12.75" x14ac:dyDescent="0.2"/>
    <row r="1319" customFormat="1" ht="12.75" x14ac:dyDescent="0.2"/>
    <row r="1320" customFormat="1" ht="12.75" x14ac:dyDescent="0.2"/>
    <row r="1321" customFormat="1" ht="12.75" x14ac:dyDescent="0.2"/>
    <row r="1322" customFormat="1" ht="12.75" x14ac:dyDescent="0.2"/>
    <row r="1323" customFormat="1" ht="12.75" x14ac:dyDescent="0.2"/>
    <row r="1324" customFormat="1" ht="12.75" x14ac:dyDescent="0.2"/>
    <row r="1325" customFormat="1" ht="12.75" x14ac:dyDescent="0.2"/>
    <row r="1326" customFormat="1" ht="12.75" x14ac:dyDescent="0.2"/>
    <row r="1327" customFormat="1" ht="12.75" x14ac:dyDescent="0.2"/>
    <row r="1328" customFormat="1" ht="12.75" x14ac:dyDescent="0.2"/>
    <row r="1329" customFormat="1" ht="12.75" x14ac:dyDescent="0.2"/>
    <row r="1330" customFormat="1" ht="12.75" x14ac:dyDescent="0.2"/>
    <row r="1331" customFormat="1" ht="12.75" x14ac:dyDescent="0.2"/>
    <row r="1332" customFormat="1" ht="12.75" x14ac:dyDescent="0.2"/>
    <row r="1333" customFormat="1" ht="12.75" x14ac:dyDescent="0.2"/>
    <row r="1334" customFormat="1" ht="12.75" x14ac:dyDescent="0.2"/>
    <row r="1335" customFormat="1" ht="12.75" x14ac:dyDescent="0.2"/>
    <row r="1336" customFormat="1" ht="12.75" x14ac:dyDescent="0.2"/>
    <row r="1337" customFormat="1" ht="12.75" x14ac:dyDescent="0.2"/>
    <row r="1338" customFormat="1" ht="12.75" x14ac:dyDescent="0.2"/>
    <row r="1339" customFormat="1" ht="12.75" x14ac:dyDescent="0.2"/>
    <row r="1340" customFormat="1" ht="12.75" x14ac:dyDescent="0.2"/>
    <row r="1341" customFormat="1" ht="12.75" x14ac:dyDescent="0.2"/>
    <row r="1342" customFormat="1" ht="12.75" x14ac:dyDescent="0.2"/>
    <row r="1343" customFormat="1" ht="12.75" x14ac:dyDescent="0.2"/>
    <row r="1344" customFormat="1" ht="12.75" x14ac:dyDescent="0.2"/>
    <row r="1345" customFormat="1" ht="12.75" x14ac:dyDescent="0.2"/>
    <row r="1346" customFormat="1" ht="12.75" x14ac:dyDescent="0.2"/>
    <row r="1347" customFormat="1" ht="12.75" x14ac:dyDescent="0.2"/>
    <row r="1348" customFormat="1" ht="12.75" x14ac:dyDescent="0.2"/>
    <row r="1349" customFormat="1" ht="12.75" x14ac:dyDescent="0.2"/>
    <row r="1350" customFormat="1" ht="12.75" x14ac:dyDescent="0.2"/>
    <row r="1351" customFormat="1" ht="12.75" x14ac:dyDescent="0.2"/>
    <row r="1352" customFormat="1" ht="12.75" x14ac:dyDescent="0.2"/>
    <row r="1353" customFormat="1" ht="12.75" x14ac:dyDescent="0.2"/>
    <row r="1354" customFormat="1" ht="12.75" x14ac:dyDescent="0.2"/>
    <row r="1355" customFormat="1" ht="12.75" x14ac:dyDescent="0.2"/>
    <row r="1356" customFormat="1" ht="12.75" x14ac:dyDescent="0.2"/>
    <row r="1357" customFormat="1" ht="12.75" x14ac:dyDescent="0.2"/>
    <row r="1358" customFormat="1" ht="12.75" x14ac:dyDescent="0.2"/>
    <row r="1359" customFormat="1" ht="12.75" x14ac:dyDescent="0.2"/>
    <row r="1360" customFormat="1" ht="12.75" x14ac:dyDescent="0.2"/>
    <row r="1361" customFormat="1" ht="12.75" x14ac:dyDescent="0.2"/>
    <row r="1362" customFormat="1" ht="12.75" x14ac:dyDescent="0.2"/>
    <row r="1363" customFormat="1" ht="12.75" x14ac:dyDescent="0.2"/>
    <row r="1364" customFormat="1" ht="12.75" x14ac:dyDescent="0.2"/>
    <row r="1365" customFormat="1" ht="12.75" x14ac:dyDescent="0.2"/>
    <row r="1366" customFormat="1" ht="12.75" x14ac:dyDescent="0.2"/>
    <row r="1367" customFormat="1" ht="12.75" x14ac:dyDescent="0.2"/>
    <row r="1368" customFormat="1" ht="12.75" x14ac:dyDescent="0.2"/>
    <row r="1369" customFormat="1" ht="12.75" x14ac:dyDescent="0.2"/>
    <row r="1370" customFormat="1" ht="12.75" x14ac:dyDescent="0.2"/>
    <row r="1371" customFormat="1" ht="12.75" x14ac:dyDescent="0.2"/>
    <row r="1372" customFormat="1" ht="12.75" x14ac:dyDescent="0.2"/>
    <row r="1373" customFormat="1" ht="12.75" x14ac:dyDescent="0.2"/>
    <row r="1374" customFormat="1" ht="12.75" x14ac:dyDescent="0.2"/>
    <row r="1375" customFormat="1" ht="12.75" x14ac:dyDescent="0.2"/>
    <row r="1376" customFormat="1" ht="12.75" x14ac:dyDescent="0.2"/>
    <row r="1377" customFormat="1" ht="12.75" x14ac:dyDescent="0.2"/>
    <row r="1378" customFormat="1" ht="12.75" x14ac:dyDescent="0.2"/>
    <row r="1379" customFormat="1" ht="12.75" x14ac:dyDescent="0.2"/>
    <row r="1380" customFormat="1" ht="12.75" x14ac:dyDescent="0.2"/>
    <row r="1381" customFormat="1" ht="12.75" x14ac:dyDescent="0.2"/>
    <row r="1382" customFormat="1" ht="12.75" x14ac:dyDescent="0.2"/>
    <row r="1383" customFormat="1" ht="12.75" x14ac:dyDescent="0.2"/>
    <row r="1384" customFormat="1" ht="12.75" x14ac:dyDescent="0.2"/>
    <row r="1385" customFormat="1" ht="12.75" x14ac:dyDescent="0.2"/>
    <row r="1386" customFormat="1" ht="12.75" x14ac:dyDescent="0.2"/>
    <row r="1387" customFormat="1" ht="12.75" x14ac:dyDescent="0.2"/>
    <row r="1388" customFormat="1" ht="12.75" x14ac:dyDescent="0.2"/>
    <row r="1389" customFormat="1" ht="12.75" x14ac:dyDescent="0.2"/>
    <row r="1390" customFormat="1" ht="12.75" x14ac:dyDescent="0.2"/>
    <row r="1391" customFormat="1" ht="12.75" x14ac:dyDescent="0.2"/>
    <row r="1392" customFormat="1" ht="12.75" x14ac:dyDescent="0.2"/>
    <row r="1393" customFormat="1" ht="12.75" x14ac:dyDescent="0.2"/>
    <row r="1394" customFormat="1" ht="12.75" x14ac:dyDescent="0.2"/>
    <row r="1395" customFormat="1" ht="12.75" x14ac:dyDescent="0.2"/>
    <row r="1396" customFormat="1" ht="12.75" x14ac:dyDescent="0.2"/>
    <row r="1397" customFormat="1" ht="12.75" x14ac:dyDescent="0.2"/>
    <row r="1398" customFormat="1" ht="12.75" x14ac:dyDescent="0.2"/>
    <row r="1399" customFormat="1" ht="12.75" x14ac:dyDescent="0.2"/>
    <row r="1400" customFormat="1" ht="12.75" x14ac:dyDescent="0.2"/>
    <row r="1401" customFormat="1" ht="12.75" x14ac:dyDescent="0.2"/>
    <row r="1402" customFormat="1" ht="12.75" x14ac:dyDescent="0.2"/>
    <row r="1403" customFormat="1" ht="12.75" x14ac:dyDescent="0.2"/>
    <row r="1404" customFormat="1" ht="12.75" x14ac:dyDescent="0.2"/>
    <row r="1405" customFormat="1" ht="12.75" x14ac:dyDescent="0.2"/>
    <row r="1406" customFormat="1" ht="12.75" x14ac:dyDescent="0.2"/>
    <row r="1407" customFormat="1" ht="12.75" x14ac:dyDescent="0.2"/>
    <row r="1408" customFormat="1" ht="12.75" x14ac:dyDescent="0.2"/>
    <row r="1409" customFormat="1" ht="12.75" x14ac:dyDescent="0.2"/>
    <row r="1410" customFormat="1" ht="12.75" x14ac:dyDescent="0.2"/>
    <row r="1411" customFormat="1" ht="12.75" x14ac:dyDescent="0.2"/>
    <row r="1412" customFormat="1" ht="12.75" x14ac:dyDescent="0.2"/>
    <row r="1413" customFormat="1" ht="12.75" x14ac:dyDescent="0.2"/>
    <row r="1414" customFormat="1" ht="12.75" x14ac:dyDescent="0.2"/>
    <row r="1415" customFormat="1" ht="12.75" x14ac:dyDescent="0.2"/>
    <row r="1416" customFormat="1" ht="12.75" x14ac:dyDescent="0.2"/>
    <row r="1417" customFormat="1" ht="12.75" x14ac:dyDescent="0.2"/>
    <row r="1418" customFormat="1" ht="12.75" x14ac:dyDescent="0.2"/>
    <row r="1419" customFormat="1" ht="12.75" x14ac:dyDescent="0.2"/>
    <row r="1420" customFormat="1" ht="12.75" x14ac:dyDescent="0.2"/>
    <row r="1421" customFormat="1" ht="12.75" x14ac:dyDescent="0.2"/>
    <row r="1422" customFormat="1" ht="12.75" x14ac:dyDescent="0.2"/>
    <row r="1423" customFormat="1" ht="12.75" x14ac:dyDescent="0.2"/>
    <row r="1424" customFormat="1" ht="12.75" x14ac:dyDescent="0.2"/>
    <row r="1425" customFormat="1" ht="12.75" x14ac:dyDescent="0.2"/>
    <row r="1426" customFormat="1" ht="12.75" x14ac:dyDescent="0.2"/>
    <row r="1427" customFormat="1" ht="12.75" x14ac:dyDescent="0.2"/>
    <row r="1428" customFormat="1" ht="12.75" x14ac:dyDescent="0.2"/>
    <row r="1429" customFormat="1" ht="12.75" x14ac:dyDescent="0.2"/>
    <row r="1430" customFormat="1" ht="12.75" x14ac:dyDescent="0.2"/>
    <row r="1431" customFormat="1" ht="12.75" x14ac:dyDescent="0.2"/>
    <row r="1432" customFormat="1" ht="12.75" x14ac:dyDescent="0.2"/>
    <row r="1433" customFormat="1" ht="12.75" x14ac:dyDescent="0.2"/>
    <row r="1434" customFormat="1" ht="12.75" x14ac:dyDescent="0.2"/>
    <row r="1435" customFormat="1" ht="12.75" x14ac:dyDescent="0.2"/>
    <row r="1436" customFormat="1" ht="12.75" x14ac:dyDescent="0.2"/>
    <row r="1437" customFormat="1" ht="12.75" x14ac:dyDescent="0.2"/>
    <row r="1438" customFormat="1" ht="12.75" x14ac:dyDescent="0.2"/>
    <row r="1439" customFormat="1" ht="12.75" x14ac:dyDescent="0.2"/>
    <row r="1440" customFormat="1" ht="12.75" x14ac:dyDescent="0.2"/>
    <row r="1441" customFormat="1" ht="12.75" x14ac:dyDescent="0.2"/>
    <row r="1442" customFormat="1" ht="12.75" x14ac:dyDescent="0.2"/>
    <row r="1443" customFormat="1" ht="12.75" x14ac:dyDescent="0.2"/>
    <row r="1444" customFormat="1" ht="12.75" x14ac:dyDescent="0.2"/>
    <row r="1445" customFormat="1" ht="12.75" x14ac:dyDescent="0.2"/>
    <row r="1446" customFormat="1" ht="12.75" x14ac:dyDescent="0.2"/>
    <row r="1447" customFormat="1" ht="12.75" x14ac:dyDescent="0.2"/>
    <row r="1448" customFormat="1" ht="12.75" x14ac:dyDescent="0.2"/>
    <row r="1449" customFormat="1" ht="12.75" x14ac:dyDescent="0.2"/>
    <row r="1450" customFormat="1" ht="12.75" x14ac:dyDescent="0.2"/>
    <row r="1451" customFormat="1" ht="12.75" x14ac:dyDescent="0.2"/>
    <row r="1452" customFormat="1" ht="12.75" x14ac:dyDescent="0.2"/>
    <row r="1453" customFormat="1" ht="12.75" x14ac:dyDescent="0.2"/>
    <row r="1454" customFormat="1" ht="12.75" x14ac:dyDescent="0.2"/>
    <row r="1455" customFormat="1" ht="12.75" x14ac:dyDescent="0.2"/>
    <row r="1456" customFormat="1" ht="12.75" x14ac:dyDescent="0.2"/>
    <row r="1457" customFormat="1" ht="12.75" x14ac:dyDescent="0.2"/>
    <row r="1458" customFormat="1" ht="12.75" x14ac:dyDescent="0.2"/>
    <row r="1459" customFormat="1" ht="12.75" x14ac:dyDescent="0.2"/>
    <row r="1460" customFormat="1" ht="12.75" x14ac:dyDescent="0.2"/>
    <row r="1461" customFormat="1" ht="12.75" x14ac:dyDescent="0.2"/>
    <row r="1462" customFormat="1" ht="12.75" x14ac:dyDescent="0.2"/>
    <row r="1463" customFormat="1" ht="12.75" x14ac:dyDescent="0.2"/>
    <row r="1464" customFormat="1" ht="12.75" x14ac:dyDescent="0.2"/>
    <row r="1465" customFormat="1" ht="12.75" x14ac:dyDescent="0.2"/>
    <row r="1466" customFormat="1" ht="12.75" x14ac:dyDescent="0.2"/>
    <row r="1467" customFormat="1" ht="12.75" x14ac:dyDescent="0.2"/>
    <row r="1468" customFormat="1" ht="12.75" x14ac:dyDescent="0.2"/>
    <row r="1469" customFormat="1" ht="12.75" x14ac:dyDescent="0.2"/>
    <row r="1470" customFormat="1" ht="12.75" x14ac:dyDescent="0.2"/>
    <row r="1471" customFormat="1" ht="12.75" x14ac:dyDescent="0.2"/>
    <row r="1472" customFormat="1" ht="12.75" x14ac:dyDescent="0.2"/>
    <row r="1473" customFormat="1" ht="12.75" x14ac:dyDescent="0.2"/>
    <row r="1474" customFormat="1" ht="12.75" x14ac:dyDescent="0.2"/>
    <row r="1475" customFormat="1" ht="12.75" x14ac:dyDescent="0.2"/>
    <row r="1476" customFormat="1" ht="12.75" x14ac:dyDescent="0.2"/>
    <row r="1477" customFormat="1" ht="12.75" x14ac:dyDescent="0.2"/>
    <row r="1478" customFormat="1" ht="12.75" x14ac:dyDescent="0.2"/>
    <row r="1479" customFormat="1" ht="12.75" x14ac:dyDescent="0.2"/>
    <row r="1480" customFormat="1" ht="12.75" x14ac:dyDescent="0.2"/>
    <row r="1481" customFormat="1" ht="12.75" x14ac:dyDescent="0.2"/>
    <row r="1482" customFormat="1" ht="12.75" x14ac:dyDescent="0.2"/>
    <row r="1483" customFormat="1" ht="12.75" x14ac:dyDescent="0.2"/>
    <row r="1484" customFormat="1" ht="12.75" x14ac:dyDescent="0.2"/>
    <row r="1485" customFormat="1" ht="12.75" x14ac:dyDescent="0.2"/>
    <row r="1486" customFormat="1" ht="12.75" x14ac:dyDescent="0.2"/>
    <row r="1487" customFormat="1" ht="12.75" x14ac:dyDescent="0.2"/>
    <row r="1488" customFormat="1" ht="12.75" x14ac:dyDescent="0.2"/>
    <row r="1489" customFormat="1" ht="12.75" x14ac:dyDescent="0.2"/>
    <row r="1490" customFormat="1" ht="12.75" x14ac:dyDescent="0.2"/>
    <row r="1491" customFormat="1" ht="12.75" x14ac:dyDescent="0.2"/>
    <row r="1492" customFormat="1" ht="12.75" x14ac:dyDescent="0.2"/>
    <row r="1493" customFormat="1" ht="12.75" x14ac:dyDescent="0.2"/>
    <row r="1494" customFormat="1" ht="12.75" x14ac:dyDescent="0.2"/>
    <row r="1495" customFormat="1" ht="12.75" x14ac:dyDescent="0.2"/>
    <row r="1496" customFormat="1" ht="12.75" x14ac:dyDescent="0.2"/>
    <row r="1497" customFormat="1" ht="12.75" x14ac:dyDescent="0.2"/>
    <row r="1498" customFormat="1" ht="12.75" x14ac:dyDescent="0.2"/>
    <row r="1499" customFormat="1" ht="12.75" x14ac:dyDescent="0.2"/>
    <row r="1500" customFormat="1" ht="12.75" x14ac:dyDescent="0.2"/>
    <row r="1501" customFormat="1" ht="12.75" x14ac:dyDescent="0.2"/>
    <row r="1502" customFormat="1" ht="12.75" x14ac:dyDescent="0.2"/>
    <row r="1503" customFormat="1" ht="12.75" x14ac:dyDescent="0.2"/>
    <row r="1504" customFormat="1" ht="12.75" x14ac:dyDescent="0.2"/>
    <row r="1505" customFormat="1" ht="12.75" x14ac:dyDescent="0.2"/>
    <row r="1506" customFormat="1" ht="12.75" x14ac:dyDescent="0.2"/>
    <row r="1507" customFormat="1" ht="12.75" x14ac:dyDescent="0.2"/>
    <row r="1508" customFormat="1" ht="12.75" x14ac:dyDescent="0.2"/>
    <row r="1509" customFormat="1" ht="12.75" x14ac:dyDescent="0.2"/>
    <row r="1510" customFormat="1" ht="12.75" x14ac:dyDescent="0.2"/>
    <row r="1511" customFormat="1" ht="12.75" x14ac:dyDescent="0.2"/>
    <row r="1512" customFormat="1" ht="12.75" x14ac:dyDescent="0.2"/>
    <row r="1513" customFormat="1" ht="12.75" x14ac:dyDescent="0.2"/>
    <row r="1514" customFormat="1" ht="12.75" x14ac:dyDescent="0.2"/>
    <row r="1515" customFormat="1" ht="12.75" x14ac:dyDescent="0.2"/>
    <row r="1516" customFormat="1" ht="12.75" x14ac:dyDescent="0.2"/>
    <row r="1517" customFormat="1" ht="12.75" x14ac:dyDescent="0.2"/>
    <row r="1518" customFormat="1" ht="12.75" x14ac:dyDescent="0.2"/>
    <row r="1519" customFormat="1" ht="12.75" x14ac:dyDescent="0.2"/>
    <row r="1520" customFormat="1" ht="12.75" x14ac:dyDescent="0.2"/>
    <row r="1521" customFormat="1" ht="12.75" x14ac:dyDescent="0.2"/>
    <row r="1522" customFormat="1" ht="12.75" x14ac:dyDescent="0.2"/>
    <row r="1523" customFormat="1" ht="12.75" x14ac:dyDescent="0.2"/>
    <row r="1524" customFormat="1" ht="12.75" x14ac:dyDescent="0.2"/>
    <row r="1525" customFormat="1" ht="12.75" x14ac:dyDescent="0.2"/>
    <row r="1526" customFormat="1" ht="12.75" x14ac:dyDescent="0.2"/>
    <row r="1527" customFormat="1" ht="12.75" x14ac:dyDescent="0.2"/>
    <row r="1528" customFormat="1" ht="12.75" x14ac:dyDescent="0.2"/>
    <row r="1529" customFormat="1" ht="12.75" x14ac:dyDescent="0.2"/>
    <row r="1530" customFormat="1" ht="12.75" x14ac:dyDescent="0.2"/>
    <row r="1531" customFormat="1" ht="12.75" x14ac:dyDescent="0.2"/>
    <row r="1532" customFormat="1" ht="12.75" x14ac:dyDescent="0.2"/>
    <row r="1533" customFormat="1" ht="12.75" x14ac:dyDescent="0.2"/>
    <row r="1534" customFormat="1" ht="12.75" x14ac:dyDescent="0.2"/>
    <row r="1535" customFormat="1" ht="12.75" x14ac:dyDescent="0.2"/>
    <row r="1536" customFormat="1" ht="12.75" x14ac:dyDescent="0.2"/>
    <row r="1537" customFormat="1" ht="12.75" x14ac:dyDescent="0.2"/>
    <row r="1538" customFormat="1" ht="12.75" x14ac:dyDescent="0.2"/>
    <row r="1539" customFormat="1" ht="12.75" x14ac:dyDescent="0.2"/>
    <row r="1540" customFormat="1" ht="12.75" x14ac:dyDescent="0.2"/>
    <row r="1541" customFormat="1" ht="12.75" x14ac:dyDescent="0.2"/>
    <row r="1542" customFormat="1" ht="12.75" x14ac:dyDescent="0.2"/>
    <row r="1543" customFormat="1" ht="12.75" x14ac:dyDescent="0.2"/>
    <row r="1544" customFormat="1" ht="12.75" x14ac:dyDescent="0.2"/>
    <row r="1545" customFormat="1" ht="12.75" x14ac:dyDescent="0.2"/>
    <row r="1546" customFormat="1" ht="12.75" x14ac:dyDescent="0.2"/>
    <row r="1547" customFormat="1" ht="12.75" x14ac:dyDescent="0.2"/>
    <row r="1548" customFormat="1" ht="12.75" x14ac:dyDescent="0.2"/>
    <row r="1549" customFormat="1" ht="12.75" x14ac:dyDescent="0.2"/>
    <row r="1550" customFormat="1" ht="12.75" x14ac:dyDescent="0.2"/>
    <row r="1551" customFormat="1" ht="12.75" x14ac:dyDescent="0.2"/>
    <row r="1552" customFormat="1" ht="12.75" x14ac:dyDescent="0.2"/>
    <row r="1553" customFormat="1" ht="12.75" x14ac:dyDescent="0.2"/>
    <row r="1554" customFormat="1" ht="12.75" x14ac:dyDescent="0.2"/>
    <row r="1555" customFormat="1" ht="12.75" x14ac:dyDescent="0.2"/>
    <row r="1556" customFormat="1" ht="12.75" x14ac:dyDescent="0.2"/>
    <row r="1557" customFormat="1" ht="12.75" x14ac:dyDescent="0.2"/>
    <row r="1558" customFormat="1" ht="12.75" x14ac:dyDescent="0.2"/>
    <row r="1559" customFormat="1" ht="12.75" x14ac:dyDescent="0.2"/>
    <row r="1560" customFormat="1" ht="12.75" x14ac:dyDescent="0.2"/>
    <row r="1561" customFormat="1" ht="12.75" x14ac:dyDescent="0.2"/>
    <row r="1562" customFormat="1" ht="12.75" x14ac:dyDescent="0.2"/>
    <row r="1563" customFormat="1" ht="12.75" x14ac:dyDescent="0.2"/>
    <row r="1564" customFormat="1" ht="12.75" x14ac:dyDescent="0.2"/>
    <row r="1565" customFormat="1" ht="12.75" x14ac:dyDescent="0.2"/>
    <row r="1566" customFormat="1" ht="12.75" x14ac:dyDescent="0.2"/>
    <row r="1567" customFormat="1" ht="12.75" x14ac:dyDescent="0.2"/>
    <row r="1568" customFormat="1" ht="12.75" x14ac:dyDescent="0.2"/>
    <row r="1569" customFormat="1" ht="12.75" x14ac:dyDescent="0.2"/>
    <row r="1570" customFormat="1" ht="12.75" x14ac:dyDescent="0.2"/>
    <row r="1571" customFormat="1" ht="12.75" x14ac:dyDescent="0.2"/>
    <row r="1572" customFormat="1" ht="12.75" x14ac:dyDescent="0.2"/>
    <row r="1573" customFormat="1" ht="12.75" x14ac:dyDescent="0.2"/>
    <row r="1574" customFormat="1" ht="12.75" x14ac:dyDescent="0.2"/>
    <row r="1575" customFormat="1" ht="12.75" x14ac:dyDescent="0.2"/>
    <row r="1576" customFormat="1" ht="12.75" x14ac:dyDescent="0.2"/>
    <row r="1577" customFormat="1" ht="12.75" x14ac:dyDescent="0.2"/>
    <row r="1578" customFormat="1" ht="12.75" x14ac:dyDescent="0.2"/>
    <row r="1579" customFormat="1" ht="12.75" x14ac:dyDescent="0.2"/>
    <row r="1580" customFormat="1" ht="12.75" x14ac:dyDescent="0.2"/>
    <row r="1581" customFormat="1" ht="12.75" x14ac:dyDescent="0.2"/>
    <row r="1582" customFormat="1" ht="12.75" x14ac:dyDescent="0.2"/>
    <row r="1583" customFormat="1" ht="12.75" x14ac:dyDescent="0.2"/>
    <row r="1584" customFormat="1" ht="12.75" x14ac:dyDescent="0.2"/>
    <row r="1585" customFormat="1" ht="12.75" x14ac:dyDescent="0.2"/>
    <row r="1586" customFormat="1" ht="12.75" x14ac:dyDescent="0.2"/>
    <row r="1587" customFormat="1" ht="12.75" x14ac:dyDescent="0.2"/>
    <row r="1588" customFormat="1" ht="12.75" x14ac:dyDescent="0.2"/>
    <row r="1589" customFormat="1" ht="12.75" x14ac:dyDescent="0.2"/>
    <row r="1590" customFormat="1" ht="12.75" x14ac:dyDescent="0.2"/>
    <row r="1591" customFormat="1" ht="12.75" x14ac:dyDescent="0.2"/>
    <row r="1592" customFormat="1" ht="12.75" x14ac:dyDescent="0.2"/>
    <row r="1593" customFormat="1" ht="12.75" x14ac:dyDescent="0.2"/>
    <row r="1594" customFormat="1" ht="12.75" x14ac:dyDescent="0.2"/>
    <row r="1595" customFormat="1" ht="12.75" x14ac:dyDescent="0.2"/>
    <row r="1596" customFormat="1" ht="12.75" x14ac:dyDescent="0.2"/>
    <row r="1597" customFormat="1" ht="12.75" x14ac:dyDescent="0.2"/>
    <row r="1598" customFormat="1" ht="12.75" x14ac:dyDescent="0.2"/>
    <row r="1599" customFormat="1" ht="12.75" x14ac:dyDescent="0.2"/>
    <row r="1600" customFormat="1" ht="12.75" x14ac:dyDescent="0.2"/>
    <row r="1601" customFormat="1" ht="12.75" x14ac:dyDescent="0.2"/>
    <row r="1602" customFormat="1" ht="12.75" x14ac:dyDescent="0.2"/>
    <row r="1603" customFormat="1" ht="12.75" x14ac:dyDescent="0.2"/>
    <row r="1604" customFormat="1" ht="12.75" x14ac:dyDescent="0.2"/>
    <row r="1605" customFormat="1" ht="12.75" x14ac:dyDescent="0.2"/>
    <row r="1606" customFormat="1" ht="12.75" x14ac:dyDescent="0.2"/>
    <row r="1607" customFormat="1" ht="12.75" x14ac:dyDescent="0.2"/>
    <row r="1608" customFormat="1" ht="12.75" x14ac:dyDescent="0.2"/>
    <row r="1609" customFormat="1" ht="12.75" x14ac:dyDescent="0.2"/>
    <row r="1610" customFormat="1" ht="12.75" x14ac:dyDescent="0.2"/>
    <row r="1611" customFormat="1" ht="12.75" x14ac:dyDescent="0.2"/>
    <row r="1612" customFormat="1" ht="12.75" x14ac:dyDescent="0.2"/>
    <row r="1613" customFormat="1" ht="12.75" x14ac:dyDescent="0.2"/>
    <row r="1614" customFormat="1" ht="12.75" x14ac:dyDescent="0.2"/>
    <row r="1615" customFormat="1" ht="12.75" x14ac:dyDescent="0.2"/>
    <row r="1616" customFormat="1" ht="12.75" x14ac:dyDescent="0.2"/>
    <row r="1617" customFormat="1" ht="12.75" x14ac:dyDescent="0.2"/>
    <row r="1618" customFormat="1" ht="12.75" x14ac:dyDescent="0.2"/>
    <row r="1619" customFormat="1" ht="12.75" x14ac:dyDescent="0.2"/>
    <row r="1620" customFormat="1" ht="12.75" x14ac:dyDescent="0.2"/>
    <row r="1621" customFormat="1" ht="12.75" x14ac:dyDescent="0.2"/>
    <row r="1622" customFormat="1" ht="12.75" x14ac:dyDescent="0.2"/>
    <row r="1623" customFormat="1" ht="12.75" x14ac:dyDescent="0.2"/>
    <row r="1624" customFormat="1" ht="12.75" x14ac:dyDescent="0.2"/>
    <row r="1625" customFormat="1" ht="12.75" x14ac:dyDescent="0.2"/>
    <row r="1626" customFormat="1" ht="12.75" x14ac:dyDescent="0.2"/>
    <row r="1627" customFormat="1" ht="12.75" x14ac:dyDescent="0.2"/>
    <row r="1628" customFormat="1" ht="12.75" x14ac:dyDescent="0.2"/>
    <row r="1629" customFormat="1" ht="12.75" x14ac:dyDescent="0.2"/>
    <row r="1630" customFormat="1" ht="12.75" x14ac:dyDescent="0.2"/>
    <row r="1631" customFormat="1" ht="12.75" x14ac:dyDescent="0.2"/>
    <row r="1632" customFormat="1" ht="12.75" x14ac:dyDescent="0.2"/>
    <row r="1633" customFormat="1" ht="12.75" x14ac:dyDescent="0.2"/>
    <row r="1634" customFormat="1" ht="12.75" x14ac:dyDescent="0.2"/>
    <row r="1635" customFormat="1" ht="12.75" x14ac:dyDescent="0.2"/>
    <row r="1636" customFormat="1" ht="12.75" x14ac:dyDescent="0.2"/>
    <row r="1637" customFormat="1" ht="12.75" x14ac:dyDescent="0.2"/>
    <row r="1638" customFormat="1" ht="12.75" x14ac:dyDescent="0.2"/>
    <row r="1639" customFormat="1" ht="12.75" x14ac:dyDescent="0.2"/>
    <row r="1640" customFormat="1" ht="12.75" x14ac:dyDescent="0.2"/>
    <row r="1641" customFormat="1" ht="12.75" x14ac:dyDescent="0.2"/>
    <row r="1642" customFormat="1" ht="12.75" x14ac:dyDescent="0.2"/>
    <row r="1643" customFormat="1" ht="12.75" x14ac:dyDescent="0.2"/>
    <row r="1644" customFormat="1" ht="12.75" x14ac:dyDescent="0.2"/>
    <row r="1645" customFormat="1" ht="12.75" x14ac:dyDescent="0.2"/>
    <row r="1646" customFormat="1" ht="12.75" x14ac:dyDescent="0.2"/>
    <row r="1647" customFormat="1" ht="12.75" x14ac:dyDescent="0.2"/>
    <row r="1648" customFormat="1" ht="12.75" x14ac:dyDescent="0.2"/>
    <row r="1649" customFormat="1" ht="12.75" x14ac:dyDescent="0.2"/>
    <row r="1650" customFormat="1" ht="12.75" x14ac:dyDescent="0.2"/>
    <row r="1651" customFormat="1" ht="12.75" x14ac:dyDescent="0.2"/>
    <row r="1652" customFormat="1" ht="12.75" x14ac:dyDescent="0.2"/>
    <row r="1653" customFormat="1" ht="12.75" x14ac:dyDescent="0.2"/>
    <row r="1654" customFormat="1" ht="12.75" x14ac:dyDescent="0.2"/>
    <row r="1655" customFormat="1" ht="12.75" x14ac:dyDescent="0.2"/>
    <row r="1656" customFormat="1" ht="12.75" x14ac:dyDescent="0.2"/>
    <row r="1657" customFormat="1" ht="12.75" x14ac:dyDescent="0.2"/>
    <row r="1658" customFormat="1" ht="12.75" x14ac:dyDescent="0.2"/>
    <row r="1659" customFormat="1" ht="12.75" x14ac:dyDescent="0.2"/>
    <row r="1660" customFormat="1" ht="12.75" x14ac:dyDescent="0.2"/>
    <row r="1661" customFormat="1" ht="12.75" x14ac:dyDescent="0.2"/>
    <row r="1662" customFormat="1" ht="12.75" x14ac:dyDescent="0.2"/>
    <row r="1663" customFormat="1" ht="12.75" x14ac:dyDescent="0.2"/>
    <row r="1664" customFormat="1" ht="12.75" x14ac:dyDescent="0.2"/>
    <row r="1665" customFormat="1" ht="12.75" x14ac:dyDescent="0.2"/>
    <row r="1666" customFormat="1" ht="12.75" x14ac:dyDescent="0.2"/>
    <row r="1667" customFormat="1" ht="12.75" x14ac:dyDescent="0.2"/>
    <row r="1668" customFormat="1" ht="12.75" x14ac:dyDescent="0.2"/>
    <row r="1669" customFormat="1" ht="12.75" x14ac:dyDescent="0.2"/>
    <row r="1670" customFormat="1" ht="12.75" x14ac:dyDescent="0.2"/>
    <row r="1671" customFormat="1" ht="12.75" x14ac:dyDescent="0.2"/>
    <row r="1672" customFormat="1" ht="12.75" x14ac:dyDescent="0.2"/>
    <row r="1673" customFormat="1" ht="12.75" x14ac:dyDescent="0.2"/>
    <row r="1674" customFormat="1" ht="12.75" x14ac:dyDescent="0.2"/>
    <row r="1675" customFormat="1" ht="12.75" x14ac:dyDescent="0.2"/>
    <row r="1676" customFormat="1" ht="12.75" x14ac:dyDescent="0.2"/>
    <row r="1677" customFormat="1" ht="12.75" x14ac:dyDescent="0.2"/>
    <row r="1678" customFormat="1" ht="12.75" x14ac:dyDescent="0.2"/>
    <row r="1679" customFormat="1" ht="12.75" x14ac:dyDescent="0.2"/>
    <row r="1680" customFormat="1" ht="12.75" x14ac:dyDescent="0.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B8CC-5D5B-4F30-9A7C-0F26A4A53542}">
  <sheetPr codeName="shBM"/>
  <dimension ref="A1:X2647"/>
  <sheetViews>
    <sheetView workbookViewId="0">
      <selection activeCell="V4" sqref="V4"/>
    </sheetView>
  </sheetViews>
  <sheetFormatPr defaultColWidth="9.140625" defaultRowHeight="15" x14ac:dyDescent="0.25"/>
  <cols>
    <col min="1" max="4" width="7.42578125" style="46" customWidth="1"/>
    <col min="5" max="5" width="7.5703125" style="47" bestFit="1" customWidth="1"/>
    <col min="6" max="8" width="9.140625" style="43"/>
    <col min="9" max="24" width="9.140625" style="13"/>
    <col min="25" max="16384" width="9.140625" style="43"/>
  </cols>
  <sheetData>
    <row r="1" spans="1:22" x14ac:dyDescent="0.25">
      <c r="A1" s="46" t="s">
        <v>113</v>
      </c>
      <c r="B1" s="46" t="s">
        <v>114</v>
      </c>
      <c r="C1" s="46" t="s">
        <v>115</v>
      </c>
      <c r="D1" s="46" t="s">
        <v>116</v>
      </c>
      <c r="I1" s="13" t="s">
        <v>117</v>
      </c>
      <c r="J1" s="13" t="s">
        <v>118</v>
      </c>
      <c r="U1" s="48" t="str">
        <f>HYPERLINK("https://www.ishares.com/de/privatanleger/de/produkte/251882/ishares-msci-world-ucits-etf-acc-fund/1478358465952.ajax?fileType=csv&amp;fileName=EUNL_holdings&amp;dataType=fund","MSCI ACWI source data")</f>
        <v>MSCI ACWI source data</v>
      </c>
    </row>
    <row r="2" spans="1:22" x14ac:dyDescent="0.25">
      <c r="A2" s="46" t="s">
        <v>119</v>
      </c>
      <c r="B2" s="46" t="s">
        <v>120</v>
      </c>
      <c r="C2" s="49">
        <v>186</v>
      </c>
      <c r="D2" s="46">
        <v>16.4894</v>
      </c>
      <c r="E2" s="47">
        <f>SUMIF(Data!$E:$E,$C2,Data!$AI:$AI)</f>
        <v>0</v>
      </c>
      <c r="I2" s="13" t="s">
        <v>121</v>
      </c>
    </row>
    <row r="3" spans="1:22" x14ac:dyDescent="0.25">
      <c r="A3" s="46" t="s">
        <v>119</v>
      </c>
      <c r="B3" s="46" t="s">
        <v>120</v>
      </c>
      <c r="C3" s="49">
        <v>207</v>
      </c>
      <c r="D3" s="46">
        <v>3.4931999999999999</v>
      </c>
      <c r="E3" s="47">
        <f>SUMIF(Data!$E:$E,$C3,Data!$AI:$AI)</f>
        <v>0</v>
      </c>
      <c r="I3" s="13" t="s">
        <v>122</v>
      </c>
      <c r="J3" s="13" t="s">
        <v>123</v>
      </c>
      <c r="K3" s="13" t="s">
        <v>124</v>
      </c>
      <c r="L3" s="13" t="s">
        <v>125</v>
      </c>
      <c r="M3" s="13" t="s">
        <v>126</v>
      </c>
      <c r="N3" s="13" t="s">
        <v>127</v>
      </c>
      <c r="O3" s="13" t="s">
        <v>128</v>
      </c>
      <c r="P3" s="13" t="s">
        <v>129</v>
      </c>
      <c r="Q3" s="13" t="s">
        <v>130</v>
      </c>
      <c r="R3" s="13" t="s">
        <v>131</v>
      </c>
      <c r="S3" s="13" t="s">
        <v>132</v>
      </c>
      <c r="T3" s="13" t="s">
        <v>133</v>
      </c>
      <c r="U3" s="13" t="s">
        <v>134</v>
      </c>
    </row>
    <row r="4" spans="1:22" x14ac:dyDescent="0.25">
      <c r="A4" s="46" t="s">
        <v>119</v>
      </c>
      <c r="B4" s="46" t="s">
        <v>120</v>
      </c>
      <c r="C4" s="49">
        <v>209</v>
      </c>
      <c r="D4" s="46">
        <v>5.2779999999999996</v>
      </c>
      <c r="E4" s="47">
        <f>SUMIF(Data!$E:$E,$C4,Data!$AI:$AI)</f>
        <v>0</v>
      </c>
      <c r="I4" s="13" t="s">
        <v>135</v>
      </c>
      <c r="J4" s="13" t="s">
        <v>136</v>
      </c>
      <c r="K4" s="13" t="s">
        <v>137</v>
      </c>
      <c r="L4" s="13" t="s">
        <v>138</v>
      </c>
      <c r="M4" s="13" t="s">
        <v>139</v>
      </c>
      <c r="N4" s="13" t="s">
        <v>140</v>
      </c>
      <c r="O4" s="13" t="s">
        <v>141</v>
      </c>
      <c r="P4" s="13" t="s">
        <v>142</v>
      </c>
      <c r="Q4" s="13" t="s">
        <v>143</v>
      </c>
      <c r="R4" s="13" t="s">
        <v>144</v>
      </c>
      <c r="S4" s="13" t="s">
        <v>145</v>
      </c>
      <c r="T4" s="13" t="s">
        <v>146</v>
      </c>
      <c r="U4" s="13" t="s">
        <v>110</v>
      </c>
      <c r="V4" s="47">
        <f>SUMIF(Data!$E:$E,$I4,Data!$AI:$AI)</f>
        <v>0</v>
      </c>
    </row>
    <row r="5" spans="1:22" x14ac:dyDescent="0.25">
      <c r="A5" s="46" t="s">
        <v>119</v>
      </c>
      <c r="B5" s="46" t="s">
        <v>120</v>
      </c>
      <c r="C5" s="49">
        <v>208</v>
      </c>
      <c r="D5" s="46">
        <v>3.7744</v>
      </c>
      <c r="E5" s="47">
        <f>SUMIF(Data!$E:$E,$C5,Data!$AI:$AI)</f>
        <v>0</v>
      </c>
      <c r="I5" s="13" t="s">
        <v>147</v>
      </c>
      <c r="J5" s="13" t="s">
        <v>148</v>
      </c>
      <c r="K5" s="13" t="s">
        <v>137</v>
      </c>
      <c r="L5" s="13" t="s">
        <v>149</v>
      </c>
      <c r="M5" s="13" t="s">
        <v>150</v>
      </c>
      <c r="N5" s="13" t="s">
        <v>151</v>
      </c>
      <c r="O5" s="13" t="s">
        <v>152</v>
      </c>
      <c r="P5" s="13" t="s">
        <v>153</v>
      </c>
      <c r="Q5" s="13" t="s">
        <v>143</v>
      </c>
      <c r="R5" s="13" t="s">
        <v>154</v>
      </c>
      <c r="S5" s="13" t="s">
        <v>145</v>
      </c>
      <c r="T5" s="13" t="s">
        <v>146</v>
      </c>
      <c r="U5" s="13" t="s">
        <v>110</v>
      </c>
      <c r="V5" s="47">
        <f>SUMIF(Data!$E:$E,$I5,Data!$AI:$AI)</f>
        <v>0</v>
      </c>
    </row>
    <row r="6" spans="1:22" x14ac:dyDescent="0.25">
      <c r="A6" s="46" t="s">
        <v>119</v>
      </c>
      <c r="B6" s="46" t="s">
        <v>120</v>
      </c>
      <c r="C6" s="46" t="s">
        <v>155</v>
      </c>
      <c r="D6" s="46">
        <v>0.65990000000000004</v>
      </c>
      <c r="E6" s="47">
        <f>SUMIF(Data!$E:$E,$C6,Data!$AI:$AI)</f>
        <v>0</v>
      </c>
      <c r="I6" s="13" t="s">
        <v>156</v>
      </c>
      <c r="J6" s="13" t="s">
        <v>157</v>
      </c>
      <c r="K6" s="13" t="s">
        <v>137</v>
      </c>
      <c r="L6" s="13" t="s">
        <v>158</v>
      </c>
      <c r="M6" s="13" t="s">
        <v>159</v>
      </c>
      <c r="N6" s="13">
        <v>225.34200000000001</v>
      </c>
      <c r="O6" s="13" t="s">
        <v>160</v>
      </c>
      <c r="P6" s="13" t="s">
        <v>161</v>
      </c>
      <c r="Q6" s="13" t="s">
        <v>162</v>
      </c>
      <c r="R6" s="13" t="s">
        <v>163</v>
      </c>
      <c r="S6" s="13" t="s">
        <v>145</v>
      </c>
      <c r="T6" s="13" t="s">
        <v>146</v>
      </c>
      <c r="U6" s="13" t="s">
        <v>110</v>
      </c>
      <c r="V6" s="47">
        <f>SUMIF(Data!$E:$E,$I6,Data!$AI:$AI)</f>
        <v>0</v>
      </c>
    </row>
    <row r="7" spans="1:22" x14ac:dyDescent="0.25">
      <c r="A7" s="46" t="s">
        <v>119</v>
      </c>
      <c r="B7" s="46" t="s">
        <v>120</v>
      </c>
      <c r="C7" s="46" t="s">
        <v>164</v>
      </c>
      <c r="D7" s="46">
        <v>0.68910000000000005</v>
      </c>
      <c r="E7" s="47">
        <f>SUMIF(Data!$E:$E,$C7,Data!$AI:$AI)</f>
        <v>0</v>
      </c>
      <c r="I7" s="13" t="s">
        <v>165</v>
      </c>
      <c r="J7" s="13" t="s">
        <v>166</v>
      </c>
      <c r="K7" s="13" t="s">
        <v>137</v>
      </c>
      <c r="L7" s="13" t="s">
        <v>167</v>
      </c>
      <c r="M7" s="13" t="s">
        <v>168</v>
      </c>
      <c r="N7" s="13" t="s">
        <v>169</v>
      </c>
      <c r="O7" s="13" t="s">
        <v>170</v>
      </c>
      <c r="P7" s="13" t="s">
        <v>171</v>
      </c>
      <c r="Q7" s="13" t="s">
        <v>172</v>
      </c>
      <c r="R7" s="13" t="s">
        <v>173</v>
      </c>
      <c r="S7" s="13" t="s">
        <v>145</v>
      </c>
      <c r="T7" s="13" t="s">
        <v>146</v>
      </c>
      <c r="U7" s="13" t="s">
        <v>110</v>
      </c>
      <c r="V7" s="47">
        <f>SUMIF(Data!$E:$E,$I7,Data!$AI:$AI)</f>
        <v>0</v>
      </c>
    </row>
    <row r="8" spans="1:22" x14ac:dyDescent="0.25">
      <c r="A8" s="46" t="s">
        <v>119</v>
      </c>
      <c r="B8" s="46" t="s">
        <v>120</v>
      </c>
      <c r="C8" s="46" t="s">
        <v>174</v>
      </c>
      <c r="D8" s="46">
        <v>1.5447</v>
      </c>
      <c r="E8" s="47">
        <f>SUMIF(Data!$E:$E,$C8,Data!$AI:$AI)</f>
        <v>0</v>
      </c>
      <c r="I8" s="13" t="s">
        <v>175</v>
      </c>
      <c r="J8" s="13" t="s">
        <v>176</v>
      </c>
      <c r="K8" s="13" t="s">
        <v>137</v>
      </c>
      <c r="L8" s="13" t="s">
        <v>177</v>
      </c>
      <c r="M8" s="13" t="s">
        <v>178</v>
      </c>
      <c r="N8" s="13">
        <v>168.38200000000001</v>
      </c>
      <c r="O8" s="13" t="s">
        <v>179</v>
      </c>
      <c r="P8" s="13" t="s">
        <v>180</v>
      </c>
      <c r="Q8" s="13" t="s">
        <v>172</v>
      </c>
      <c r="R8" s="13" t="s">
        <v>181</v>
      </c>
      <c r="S8" s="13" t="s">
        <v>145</v>
      </c>
      <c r="T8" s="13" t="s">
        <v>146</v>
      </c>
      <c r="U8" s="13" t="s">
        <v>110</v>
      </c>
      <c r="V8" s="47">
        <f>SUMIF(Data!$E:$E,$I8,Data!$AI:$AI)</f>
        <v>0</v>
      </c>
    </row>
    <row r="9" spans="1:22" x14ac:dyDescent="0.25">
      <c r="A9" s="46" t="s">
        <v>119</v>
      </c>
      <c r="B9" s="46" t="s">
        <v>120</v>
      </c>
      <c r="C9" s="46" t="s">
        <v>182</v>
      </c>
      <c r="D9" s="46">
        <v>1.6880999999999999</v>
      </c>
      <c r="E9" s="47">
        <f>SUMIF(Data!$E:$E,$C9,Data!$AI:$AI)</f>
        <v>0</v>
      </c>
      <c r="I9" s="13" t="s">
        <v>183</v>
      </c>
      <c r="J9" s="13" t="s">
        <v>184</v>
      </c>
      <c r="K9" s="13" t="s">
        <v>137</v>
      </c>
      <c r="L9" s="13" t="s">
        <v>185</v>
      </c>
      <c r="M9" s="13" t="s">
        <v>186</v>
      </c>
      <c r="N9" s="13" t="s">
        <v>187</v>
      </c>
      <c r="O9" s="13" t="s">
        <v>188</v>
      </c>
      <c r="P9" s="13" t="s">
        <v>189</v>
      </c>
      <c r="Q9" s="13" t="s">
        <v>190</v>
      </c>
      <c r="R9" s="13" t="s">
        <v>191</v>
      </c>
      <c r="S9" s="13" t="s">
        <v>192</v>
      </c>
      <c r="T9" s="13" t="s">
        <v>146</v>
      </c>
      <c r="U9" s="13" t="s">
        <v>110</v>
      </c>
      <c r="V9" s="47">
        <f>SUMIF(Data!$E:$E,$I9,Data!$AI:$AI)</f>
        <v>0</v>
      </c>
    </row>
    <row r="10" spans="1:22" x14ac:dyDescent="0.25">
      <c r="A10" s="46" t="s">
        <v>119</v>
      </c>
      <c r="B10" s="46" t="s">
        <v>120</v>
      </c>
      <c r="C10" s="46" t="s">
        <v>193</v>
      </c>
      <c r="D10" s="46">
        <v>1.2485999999999999</v>
      </c>
      <c r="E10" s="47">
        <f>SUMIF(Data!$E:$E,$C10,Data!$AI:$AI)</f>
        <v>0</v>
      </c>
      <c r="I10" s="13" t="s">
        <v>194</v>
      </c>
      <c r="J10" s="13" t="s">
        <v>195</v>
      </c>
      <c r="K10" s="13" t="s">
        <v>137</v>
      </c>
      <c r="L10" s="13" t="s">
        <v>196</v>
      </c>
      <c r="M10" s="13" t="s">
        <v>197</v>
      </c>
      <c r="N10" s="13">
        <v>160.28899999999999</v>
      </c>
      <c r="O10" s="13" t="s">
        <v>198</v>
      </c>
      <c r="P10" s="13" t="s">
        <v>199</v>
      </c>
      <c r="Q10" s="13" t="s">
        <v>172</v>
      </c>
      <c r="R10" s="13" t="s">
        <v>200</v>
      </c>
      <c r="S10" s="13" t="s">
        <v>145</v>
      </c>
      <c r="T10" s="13" t="s">
        <v>146</v>
      </c>
      <c r="U10" s="13" t="s">
        <v>110</v>
      </c>
      <c r="V10" s="47">
        <f>SUMIF(Data!$E:$E,$I10,Data!$AI:$AI)</f>
        <v>0</v>
      </c>
    </row>
    <row r="11" spans="1:22" x14ac:dyDescent="0.25">
      <c r="A11" s="46" t="s">
        <v>119</v>
      </c>
      <c r="B11" s="46" t="s">
        <v>120</v>
      </c>
      <c r="C11" s="49">
        <v>213</v>
      </c>
      <c r="D11" s="46">
        <v>6.4352</v>
      </c>
      <c r="E11" s="47">
        <f>SUMIF(Data!$E:$E,$C11,Data!$AI:$AI)</f>
        <v>0</v>
      </c>
      <c r="I11" s="13" t="s">
        <v>201</v>
      </c>
      <c r="J11" s="13" t="s">
        <v>202</v>
      </c>
      <c r="K11" s="13" t="s">
        <v>137</v>
      </c>
      <c r="L11" s="13" t="s">
        <v>203</v>
      </c>
      <c r="M11" s="13" t="s">
        <v>204</v>
      </c>
      <c r="N11" s="13" t="s">
        <v>205</v>
      </c>
      <c r="O11" s="13" t="s">
        <v>206</v>
      </c>
      <c r="P11" s="13" t="s">
        <v>207</v>
      </c>
      <c r="Q11" s="13" t="s">
        <v>208</v>
      </c>
      <c r="R11" s="13" t="s">
        <v>209</v>
      </c>
      <c r="S11" s="13" t="s">
        <v>192</v>
      </c>
      <c r="T11" s="13" t="s">
        <v>146</v>
      </c>
      <c r="U11" s="13" t="s">
        <v>110</v>
      </c>
      <c r="V11" s="47">
        <f>SUMIF(Data!$E:$E,$I11,Data!$AI:$AI)</f>
        <v>0</v>
      </c>
    </row>
    <row r="12" spans="1:22" x14ac:dyDescent="0.25">
      <c r="A12" s="46" t="s">
        <v>119</v>
      </c>
      <c r="B12" s="46" t="s">
        <v>120</v>
      </c>
      <c r="C12" s="49">
        <v>214</v>
      </c>
      <c r="D12" s="46">
        <v>4.6957000000000004</v>
      </c>
      <c r="E12" s="47">
        <f>SUMIF(Data!$E:$E,$C12,Data!$AI:$AI)</f>
        <v>0</v>
      </c>
      <c r="I12" s="13" t="s">
        <v>210</v>
      </c>
      <c r="J12" s="13" t="s">
        <v>211</v>
      </c>
      <c r="K12" s="13" t="s">
        <v>137</v>
      </c>
      <c r="L12" s="13" t="s">
        <v>212</v>
      </c>
      <c r="M12" s="13" t="s">
        <v>213</v>
      </c>
      <c r="N12" s="13">
        <v>935.11699999999996</v>
      </c>
      <c r="O12" s="13" t="s">
        <v>214</v>
      </c>
      <c r="P12" s="13" t="s">
        <v>215</v>
      </c>
      <c r="Q12" s="13" t="s">
        <v>143</v>
      </c>
      <c r="R12" s="13" t="s">
        <v>216</v>
      </c>
      <c r="S12" s="13" t="s">
        <v>192</v>
      </c>
      <c r="T12" s="13" t="s">
        <v>146</v>
      </c>
      <c r="U12" s="13" t="s">
        <v>110</v>
      </c>
      <c r="V12" s="47">
        <f>SUMIF(Data!$E:$E,$I12,Data!$AI:$AI)</f>
        <v>0</v>
      </c>
    </row>
    <row r="13" spans="1:22" x14ac:dyDescent="0.25">
      <c r="A13" s="46" t="s">
        <v>119</v>
      </c>
      <c r="B13" s="46" t="s">
        <v>120</v>
      </c>
      <c r="C13" s="49">
        <v>2023</v>
      </c>
      <c r="D13" s="46">
        <v>5.1942000000000004</v>
      </c>
      <c r="E13" s="47">
        <f>SUMIF(Data!$E:$E,$C13,Data!$AI:$AI)</f>
        <v>0</v>
      </c>
      <c r="I13" s="13" t="s">
        <v>217</v>
      </c>
      <c r="J13" s="13" t="s">
        <v>218</v>
      </c>
      <c r="K13" s="13" t="s">
        <v>137</v>
      </c>
      <c r="L13" s="13" t="s">
        <v>219</v>
      </c>
      <c r="M13" s="13" t="s">
        <v>220</v>
      </c>
      <c r="N13" s="13" t="s">
        <v>221</v>
      </c>
      <c r="O13" s="13" t="s">
        <v>222</v>
      </c>
      <c r="P13" s="13" t="s">
        <v>223</v>
      </c>
      <c r="Q13" s="13" t="s">
        <v>224</v>
      </c>
      <c r="R13" s="13" t="s">
        <v>225</v>
      </c>
      <c r="S13" s="13" t="s">
        <v>226</v>
      </c>
      <c r="T13" s="13" t="s">
        <v>227</v>
      </c>
      <c r="U13" s="13" t="s">
        <v>228</v>
      </c>
      <c r="V13" s="47">
        <f>SUMIF(Data!$E:$E,$I13,Data!$AI:$AI)</f>
        <v>0</v>
      </c>
    </row>
    <row r="14" spans="1:22" x14ac:dyDescent="0.25">
      <c r="A14" s="46" t="s">
        <v>119</v>
      </c>
      <c r="B14" s="46" t="s">
        <v>120</v>
      </c>
      <c r="C14" s="49">
        <v>2048</v>
      </c>
      <c r="D14" s="46">
        <v>11.422499999999999</v>
      </c>
      <c r="E14" s="47">
        <f>SUMIF(Data!$E:$E,$C14,Data!$AI:$AI)</f>
        <v>0</v>
      </c>
      <c r="I14" s="13" t="s">
        <v>229</v>
      </c>
      <c r="J14" s="13" t="s">
        <v>230</v>
      </c>
      <c r="K14" s="13" t="s">
        <v>137</v>
      </c>
      <c r="L14" s="13" t="s">
        <v>231</v>
      </c>
      <c r="M14" s="13" t="s">
        <v>232</v>
      </c>
      <c r="N14" s="13" t="s">
        <v>233</v>
      </c>
      <c r="O14" s="13" t="s">
        <v>234</v>
      </c>
      <c r="P14" s="13" t="s">
        <v>235</v>
      </c>
      <c r="Q14" s="13" t="s">
        <v>224</v>
      </c>
      <c r="R14" s="13" t="s">
        <v>236</v>
      </c>
      <c r="S14" s="13" t="s">
        <v>192</v>
      </c>
      <c r="T14" s="13" t="s">
        <v>146</v>
      </c>
      <c r="U14" s="13" t="s">
        <v>110</v>
      </c>
      <c r="V14" s="47">
        <f>SUMIF(Data!$E:$E,$I14,Data!$AI:$AI)</f>
        <v>0</v>
      </c>
    </row>
    <row r="15" spans="1:22" x14ac:dyDescent="0.25">
      <c r="A15" s="46" t="s">
        <v>119</v>
      </c>
      <c r="B15" s="46" t="s">
        <v>120</v>
      </c>
      <c r="C15" s="49">
        <v>2037</v>
      </c>
      <c r="D15" s="46">
        <v>7.0557999999999996</v>
      </c>
      <c r="E15" s="47">
        <f>SUMIF(Data!$E:$E,$C15,Data!$AI:$AI)</f>
        <v>0</v>
      </c>
      <c r="I15" s="13" t="s">
        <v>237</v>
      </c>
      <c r="J15" s="13" t="s">
        <v>238</v>
      </c>
      <c r="K15" s="13" t="s">
        <v>137</v>
      </c>
      <c r="L15" s="13" t="s">
        <v>239</v>
      </c>
      <c r="M15" s="13" t="s">
        <v>240</v>
      </c>
      <c r="N15" s="13" t="s">
        <v>241</v>
      </c>
      <c r="O15" s="13" t="s">
        <v>242</v>
      </c>
      <c r="P15" s="13" t="s">
        <v>243</v>
      </c>
      <c r="Q15" s="13" t="s">
        <v>190</v>
      </c>
      <c r="R15" s="13" t="s">
        <v>244</v>
      </c>
      <c r="S15" s="13" t="s">
        <v>192</v>
      </c>
      <c r="T15" s="13" t="s">
        <v>146</v>
      </c>
      <c r="U15" s="13" t="s">
        <v>110</v>
      </c>
      <c r="V15" s="47">
        <f>SUMIF(Data!$E:$E,$I15,Data!$AI:$AI)</f>
        <v>0</v>
      </c>
    </row>
    <row r="16" spans="1:22" x14ac:dyDescent="0.25">
      <c r="A16" s="46" t="s">
        <v>119</v>
      </c>
      <c r="B16" s="46" t="s">
        <v>120</v>
      </c>
      <c r="C16" s="49">
        <v>2030</v>
      </c>
      <c r="D16" s="46">
        <v>7.1749000000000001</v>
      </c>
      <c r="E16" s="47">
        <f>SUMIF(Data!$E:$E,$C16,Data!$AI:$AI)</f>
        <v>0</v>
      </c>
      <c r="I16" s="13" t="s">
        <v>245</v>
      </c>
      <c r="J16" s="13" t="s">
        <v>246</v>
      </c>
      <c r="K16" s="13" t="s">
        <v>137</v>
      </c>
      <c r="L16" s="13" t="s">
        <v>247</v>
      </c>
      <c r="M16" s="13" t="s">
        <v>248</v>
      </c>
      <c r="N16" s="13">
        <v>698.78700000000003</v>
      </c>
      <c r="O16" s="13" t="s">
        <v>249</v>
      </c>
      <c r="P16" s="13" t="s">
        <v>250</v>
      </c>
      <c r="Q16" s="13" t="s">
        <v>190</v>
      </c>
      <c r="R16" s="13" t="s">
        <v>251</v>
      </c>
      <c r="S16" s="13" t="s">
        <v>192</v>
      </c>
      <c r="T16" s="13" t="s">
        <v>146</v>
      </c>
      <c r="U16" s="13" t="s">
        <v>110</v>
      </c>
      <c r="V16" s="47">
        <f>SUMIF(Data!$E:$E,$I16,Data!$AI:$AI)</f>
        <v>0</v>
      </c>
    </row>
    <row r="17" spans="1:22" x14ac:dyDescent="0.25">
      <c r="A17" s="46" t="s">
        <v>119</v>
      </c>
      <c r="B17" s="46" t="s">
        <v>120</v>
      </c>
      <c r="C17" s="46" t="s">
        <v>252</v>
      </c>
      <c r="D17" s="46">
        <v>0.8266</v>
      </c>
      <c r="E17" s="47">
        <f>SUMIF(Data!$E:$E,$C17,Data!$AI:$AI)</f>
        <v>0</v>
      </c>
      <c r="I17" s="13" t="s">
        <v>253</v>
      </c>
      <c r="J17" s="13" t="s">
        <v>254</v>
      </c>
      <c r="K17" s="13" t="s">
        <v>137</v>
      </c>
      <c r="L17" s="13" t="s">
        <v>255</v>
      </c>
      <c r="M17" s="13" t="s">
        <v>256</v>
      </c>
      <c r="N17" s="13" t="s">
        <v>257</v>
      </c>
      <c r="O17" s="13" t="s">
        <v>258</v>
      </c>
      <c r="P17" s="13" t="s">
        <v>259</v>
      </c>
      <c r="Q17" s="13" t="s">
        <v>260</v>
      </c>
      <c r="R17" s="13" t="s">
        <v>261</v>
      </c>
      <c r="S17" s="13" t="s">
        <v>192</v>
      </c>
      <c r="T17" s="13" t="s">
        <v>146</v>
      </c>
      <c r="U17" s="13" t="s">
        <v>110</v>
      </c>
      <c r="V17" s="47">
        <f>SUMIF(Data!$E:$E,$I17,Data!$AI:$AI)</f>
        <v>0</v>
      </c>
    </row>
    <row r="18" spans="1:22" x14ac:dyDescent="0.25">
      <c r="A18" s="46" t="s">
        <v>119</v>
      </c>
      <c r="B18" s="46" t="s">
        <v>120</v>
      </c>
      <c r="C18" s="49">
        <v>2032</v>
      </c>
      <c r="D18" s="46">
        <v>6.1326000000000001</v>
      </c>
      <c r="E18" s="47">
        <f>SUMIF(Data!$E:$E,$C18,Data!$AI:$AI)</f>
        <v>0</v>
      </c>
      <c r="I18" s="13" t="s">
        <v>262</v>
      </c>
      <c r="J18" s="13" t="s">
        <v>263</v>
      </c>
      <c r="K18" s="13" t="s">
        <v>137</v>
      </c>
      <c r="L18" s="13" t="s">
        <v>264</v>
      </c>
      <c r="M18" s="13" t="s">
        <v>265</v>
      </c>
      <c r="N18" s="13">
        <v>491.048</v>
      </c>
      <c r="O18" s="13" t="s">
        <v>266</v>
      </c>
      <c r="P18" s="13" t="s">
        <v>267</v>
      </c>
      <c r="Q18" s="13" t="s">
        <v>143</v>
      </c>
      <c r="R18" s="13" t="s">
        <v>268</v>
      </c>
      <c r="S18" s="13" t="s">
        <v>192</v>
      </c>
      <c r="T18" s="13" t="s">
        <v>146</v>
      </c>
      <c r="U18" s="13" t="s">
        <v>110</v>
      </c>
      <c r="V18" s="47">
        <f>SUMIF(Data!$E:$E,$I18,Data!$AI:$AI)</f>
        <v>0</v>
      </c>
    </row>
    <row r="19" spans="1:22" x14ac:dyDescent="0.25">
      <c r="A19" s="46" t="s">
        <v>119</v>
      </c>
      <c r="B19" s="46" t="s">
        <v>120</v>
      </c>
      <c r="C19" s="49">
        <v>2044</v>
      </c>
      <c r="D19" s="46">
        <v>7.0827999999999998</v>
      </c>
      <c r="E19" s="47">
        <f>SUMIF(Data!$E:$E,$C19,Data!$AI:$AI)</f>
        <v>0</v>
      </c>
      <c r="I19" s="13" t="s">
        <v>269</v>
      </c>
      <c r="J19" s="13" t="s">
        <v>270</v>
      </c>
      <c r="K19" s="13" t="s">
        <v>137</v>
      </c>
      <c r="L19" s="13" t="s">
        <v>271</v>
      </c>
      <c r="M19" s="13" t="s">
        <v>272</v>
      </c>
      <c r="N19" s="13">
        <v>511.20600000000002</v>
      </c>
      <c r="O19" s="13" t="s">
        <v>273</v>
      </c>
      <c r="P19" s="13" t="s">
        <v>274</v>
      </c>
      <c r="Q19" s="13" t="s">
        <v>208</v>
      </c>
      <c r="R19" s="13" t="s">
        <v>275</v>
      </c>
      <c r="S19" s="13" t="s">
        <v>192</v>
      </c>
      <c r="T19" s="13" t="s">
        <v>146</v>
      </c>
      <c r="U19" s="13" t="s">
        <v>110</v>
      </c>
      <c r="V19" s="47">
        <f>SUMIF(Data!$E:$E,$I19,Data!$AI:$AI)</f>
        <v>0</v>
      </c>
    </row>
    <row r="20" spans="1:22" x14ac:dyDescent="0.25">
      <c r="A20" s="46" t="s">
        <v>119</v>
      </c>
      <c r="B20" s="46" t="s">
        <v>120</v>
      </c>
      <c r="C20" s="49">
        <v>2035</v>
      </c>
      <c r="D20" s="46">
        <v>4.7552000000000003</v>
      </c>
      <c r="E20" s="47">
        <f>SUMIF(Data!$E:$E,$C20,Data!$AI:$AI)</f>
        <v>0</v>
      </c>
      <c r="I20" s="13" t="s">
        <v>276</v>
      </c>
      <c r="J20" s="13" t="s">
        <v>277</v>
      </c>
      <c r="K20" s="13" t="s">
        <v>137</v>
      </c>
      <c r="L20" s="13" t="s">
        <v>278</v>
      </c>
      <c r="M20" s="13" t="s">
        <v>279</v>
      </c>
      <c r="N20" s="13" t="s">
        <v>280</v>
      </c>
      <c r="O20" s="13" t="s">
        <v>281</v>
      </c>
      <c r="P20" s="13" t="s">
        <v>282</v>
      </c>
      <c r="Q20" s="13" t="s">
        <v>172</v>
      </c>
      <c r="R20" s="13" t="s">
        <v>283</v>
      </c>
      <c r="S20" s="13" t="s">
        <v>192</v>
      </c>
      <c r="T20" s="13" t="s">
        <v>146</v>
      </c>
      <c r="U20" s="13" t="s">
        <v>110</v>
      </c>
      <c r="V20" s="47">
        <f>SUMIF(Data!$E:$E,$I20,Data!$AI:$AI)</f>
        <v>0</v>
      </c>
    </row>
    <row r="21" spans="1:22" x14ac:dyDescent="0.25">
      <c r="A21" s="46" t="s">
        <v>119</v>
      </c>
      <c r="B21" s="46" t="s">
        <v>120</v>
      </c>
      <c r="C21" s="49">
        <v>2040</v>
      </c>
      <c r="D21" s="46">
        <v>4.3581000000000003</v>
      </c>
      <c r="E21" s="47">
        <f>SUMIF(Data!$E:$E,$C21,Data!$AI:$AI)</f>
        <v>0</v>
      </c>
      <c r="I21" s="13" t="s">
        <v>284</v>
      </c>
      <c r="J21" s="13" t="s">
        <v>285</v>
      </c>
      <c r="K21" s="13" t="s">
        <v>137</v>
      </c>
      <c r="L21" s="13" t="s">
        <v>286</v>
      </c>
      <c r="M21" s="13" t="s">
        <v>287</v>
      </c>
      <c r="N21" s="13" t="s">
        <v>288</v>
      </c>
      <c r="O21" s="13" t="s">
        <v>289</v>
      </c>
      <c r="P21" s="13" t="s">
        <v>290</v>
      </c>
      <c r="Q21" s="13" t="s">
        <v>143</v>
      </c>
      <c r="R21" s="13" t="s">
        <v>291</v>
      </c>
      <c r="S21" s="13" t="s">
        <v>145</v>
      </c>
      <c r="T21" s="13" t="s">
        <v>146</v>
      </c>
      <c r="U21" s="13" t="s">
        <v>110</v>
      </c>
      <c r="V21" s="47">
        <f>SUMIF(Data!$E:$E,$I21,Data!$AI:$AI)</f>
        <v>0</v>
      </c>
    </row>
    <row r="22" spans="1:22" x14ac:dyDescent="0.25">
      <c r="A22" s="46" t="s">
        <v>119</v>
      </c>
      <c r="B22" s="46" t="s">
        <v>120</v>
      </c>
      <c r="C22" s="46" t="s">
        <v>292</v>
      </c>
      <c r="D22" s="46">
        <v>0</v>
      </c>
      <c r="E22" s="47">
        <f>SUMIF(Data!$E:$E,$C22,Data!$AI:$AI)</f>
        <v>0</v>
      </c>
      <c r="I22" s="13" t="s">
        <v>293</v>
      </c>
      <c r="J22" s="13" t="s">
        <v>294</v>
      </c>
      <c r="K22" s="13" t="s">
        <v>137</v>
      </c>
      <c r="L22" s="13" t="s">
        <v>286</v>
      </c>
      <c r="M22" s="13" t="s">
        <v>295</v>
      </c>
      <c r="N22" s="13">
        <v>969.29200000000003</v>
      </c>
      <c r="O22" s="13" t="s">
        <v>296</v>
      </c>
      <c r="P22" s="13" t="s">
        <v>297</v>
      </c>
      <c r="Q22" s="13" t="s">
        <v>172</v>
      </c>
      <c r="R22" s="13" t="s">
        <v>298</v>
      </c>
      <c r="S22" s="13" t="s">
        <v>192</v>
      </c>
      <c r="T22" s="13" t="s">
        <v>146</v>
      </c>
      <c r="U22" s="13" t="s">
        <v>110</v>
      </c>
      <c r="V22" s="47">
        <f>SUMIF(Data!$E:$E,$I22,Data!$AI:$AI)</f>
        <v>0</v>
      </c>
    </row>
    <row r="23" spans="1:22" x14ac:dyDescent="0.25">
      <c r="A23" s="46" t="s">
        <v>299</v>
      </c>
      <c r="B23" s="46" t="s">
        <v>120</v>
      </c>
      <c r="C23" s="49">
        <v>204</v>
      </c>
      <c r="D23" s="46">
        <v>44.087299999999999</v>
      </c>
      <c r="E23" s="47">
        <f>SUMIF(Data!$E:$E,$C23,Data!$AI:$AI)</f>
        <v>0</v>
      </c>
      <c r="I23" s="13" t="s">
        <v>300</v>
      </c>
      <c r="J23" s="13" t="s">
        <v>301</v>
      </c>
      <c r="K23" s="13" t="s">
        <v>137</v>
      </c>
      <c r="L23" s="13" t="s">
        <v>302</v>
      </c>
      <c r="M23" s="13" t="s">
        <v>303</v>
      </c>
      <c r="N23" s="13">
        <v>591.29899999999998</v>
      </c>
      <c r="O23" s="13" t="s">
        <v>304</v>
      </c>
      <c r="P23" s="13" t="s">
        <v>305</v>
      </c>
      <c r="Q23" s="13" t="s">
        <v>162</v>
      </c>
      <c r="R23" s="13" t="s">
        <v>306</v>
      </c>
      <c r="S23" s="13" t="s">
        <v>192</v>
      </c>
      <c r="T23" s="13" t="s">
        <v>146</v>
      </c>
      <c r="U23" s="13" t="s">
        <v>110</v>
      </c>
      <c r="V23" s="47">
        <f>SUMIF(Data!$E:$E,$I23,Data!$AI:$AI)</f>
        <v>0</v>
      </c>
    </row>
    <row r="24" spans="1:22" x14ac:dyDescent="0.25">
      <c r="A24" s="46" t="s">
        <v>299</v>
      </c>
      <c r="B24" s="46" t="s">
        <v>120</v>
      </c>
      <c r="C24" s="49">
        <v>207</v>
      </c>
      <c r="D24" s="46">
        <v>55.912599999999998</v>
      </c>
      <c r="E24" s="47">
        <f>SUMIF(Data!$E:$E,$C24,Data!$AI:$AI)</f>
        <v>0</v>
      </c>
      <c r="I24" s="13" t="s">
        <v>307</v>
      </c>
      <c r="J24" s="13" t="s">
        <v>308</v>
      </c>
      <c r="K24" s="13" t="s">
        <v>137</v>
      </c>
      <c r="L24" s="13" t="s">
        <v>309</v>
      </c>
      <c r="M24" s="13" t="s">
        <v>310</v>
      </c>
      <c r="N24" s="13" t="s">
        <v>311</v>
      </c>
      <c r="O24" s="13" t="s">
        <v>312</v>
      </c>
      <c r="P24" s="13" t="s">
        <v>313</v>
      </c>
      <c r="Q24" s="13" t="s">
        <v>172</v>
      </c>
      <c r="R24" s="13" t="s">
        <v>314</v>
      </c>
      <c r="S24" s="13" t="s">
        <v>192</v>
      </c>
      <c r="T24" s="13" t="s">
        <v>146</v>
      </c>
      <c r="U24" s="13" t="s">
        <v>110</v>
      </c>
      <c r="V24" s="47">
        <f>SUMIF(Data!$E:$E,$I24,Data!$AI:$AI)</f>
        <v>0</v>
      </c>
    </row>
    <row r="25" spans="1:22" x14ac:dyDescent="0.25">
      <c r="A25" s="46" t="s">
        <v>299</v>
      </c>
      <c r="B25" s="46" t="s">
        <v>120</v>
      </c>
      <c r="C25" s="46" t="s">
        <v>292</v>
      </c>
      <c r="D25" s="46">
        <v>0</v>
      </c>
      <c r="E25" s="47">
        <f>SUMIF(Data!$E:$E,$C25,Data!$AI:$AI)</f>
        <v>0</v>
      </c>
      <c r="I25" s="13" t="s">
        <v>315</v>
      </c>
      <c r="J25" s="13" t="s">
        <v>316</v>
      </c>
      <c r="K25" s="13" t="s">
        <v>137</v>
      </c>
      <c r="L25" s="13" t="s">
        <v>317</v>
      </c>
      <c r="M25" s="13" t="s">
        <v>318</v>
      </c>
      <c r="N25" s="13">
        <v>375.67200000000003</v>
      </c>
      <c r="O25" s="13" t="s">
        <v>319</v>
      </c>
      <c r="P25" s="13" t="s">
        <v>320</v>
      </c>
      <c r="Q25" s="13" t="s">
        <v>208</v>
      </c>
      <c r="R25" s="13" t="s">
        <v>321</v>
      </c>
      <c r="S25" s="13" t="s">
        <v>226</v>
      </c>
      <c r="T25" s="13" t="s">
        <v>227</v>
      </c>
      <c r="U25" s="13" t="s">
        <v>228</v>
      </c>
      <c r="V25" s="47">
        <f>SUMIF(Data!$E:$E,$I25,Data!$AI:$AI)</f>
        <v>0</v>
      </c>
    </row>
    <row r="26" spans="1:22" x14ac:dyDescent="0.25">
      <c r="A26" s="46" t="s">
        <v>322</v>
      </c>
      <c r="B26" s="46" t="s">
        <v>120</v>
      </c>
      <c r="C26" s="46" t="s">
        <v>323</v>
      </c>
      <c r="D26" s="46">
        <v>5.8087</v>
      </c>
      <c r="E26" s="47">
        <f>SUMIF(Data!$E:$E,$C26,Data!$AI:$AI)</f>
        <v>0</v>
      </c>
      <c r="I26" s="13" t="s">
        <v>324</v>
      </c>
      <c r="J26" s="13" t="s">
        <v>325</v>
      </c>
      <c r="K26" s="13" t="s">
        <v>137</v>
      </c>
      <c r="L26" s="13" t="s">
        <v>317</v>
      </c>
      <c r="M26" s="13" t="s">
        <v>326</v>
      </c>
      <c r="N26" s="13" t="s">
        <v>327</v>
      </c>
      <c r="O26" s="13" t="s">
        <v>328</v>
      </c>
      <c r="P26" s="13" t="s">
        <v>329</v>
      </c>
      <c r="Q26" s="13" t="s">
        <v>208</v>
      </c>
      <c r="R26" s="13" t="s">
        <v>330</v>
      </c>
      <c r="S26" s="13" t="s">
        <v>192</v>
      </c>
      <c r="T26" s="13" t="s">
        <v>146</v>
      </c>
      <c r="U26" s="13" t="s">
        <v>110</v>
      </c>
      <c r="V26" s="47">
        <f>SUMIF(Data!$E:$E,$I26,Data!$AI:$AI)</f>
        <v>0</v>
      </c>
    </row>
    <row r="27" spans="1:22" x14ac:dyDescent="0.25">
      <c r="A27" s="46" t="s">
        <v>322</v>
      </c>
      <c r="B27" s="46" t="s">
        <v>120</v>
      </c>
      <c r="C27" s="46" t="s">
        <v>331</v>
      </c>
      <c r="D27" s="46">
        <v>0.7944</v>
      </c>
      <c r="E27" s="47">
        <f>SUMIF(Data!$E:$E,$C27,Data!$AI:$AI)</f>
        <v>0</v>
      </c>
      <c r="I27" s="13" t="s">
        <v>332</v>
      </c>
      <c r="J27" s="13" t="s">
        <v>333</v>
      </c>
      <c r="K27" s="13" t="s">
        <v>137</v>
      </c>
      <c r="L27" s="13" t="s">
        <v>334</v>
      </c>
      <c r="M27" s="13" t="s">
        <v>335</v>
      </c>
      <c r="N27" s="13" t="s">
        <v>336</v>
      </c>
      <c r="O27" s="13" t="s">
        <v>337</v>
      </c>
      <c r="P27" s="13" t="s">
        <v>338</v>
      </c>
      <c r="Q27" s="13" t="s">
        <v>224</v>
      </c>
      <c r="R27" s="13" t="s">
        <v>339</v>
      </c>
      <c r="S27" s="13" t="s">
        <v>192</v>
      </c>
      <c r="T27" s="13" t="s">
        <v>146</v>
      </c>
      <c r="U27" s="13" t="s">
        <v>110</v>
      </c>
      <c r="V27" s="47">
        <f>SUMIF(Data!$E:$E,$I27,Data!$AI:$AI)</f>
        <v>0</v>
      </c>
    </row>
    <row r="28" spans="1:22" x14ac:dyDescent="0.25">
      <c r="A28" s="46" t="s">
        <v>322</v>
      </c>
      <c r="B28" s="46" t="s">
        <v>120</v>
      </c>
      <c r="C28" s="46" t="s">
        <v>340</v>
      </c>
      <c r="D28" s="46">
        <v>5.2252000000000001</v>
      </c>
      <c r="E28" s="47">
        <f>SUMIF(Data!$E:$E,$C28,Data!$AI:$AI)</f>
        <v>0</v>
      </c>
      <c r="I28" s="13" t="s">
        <v>341</v>
      </c>
      <c r="J28" s="13" t="s">
        <v>342</v>
      </c>
      <c r="K28" s="13" t="s">
        <v>137</v>
      </c>
      <c r="L28" s="13" t="s">
        <v>343</v>
      </c>
      <c r="M28" s="13" t="s">
        <v>344</v>
      </c>
      <c r="N28" s="13" t="s">
        <v>345</v>
      </c>
      <c r="O28" s="13" t="s">
        <v>346</v>
      </c>
      <c r="P28" s="13" t="s">
        <v>347</v>
      </c>
      <c r="Q28" s="13" t="s">
        <v>190</v>
      </c>
      <c r="R28" s="13" t="s">
        <v>348</v>
      </c>
      <c r="S28" s="13" t="s">
        <v>192</v>
      </c>
      <c r="T28" s="13" t="s">
        <v>146</v>
      </c>
      <c r="U28" s="13" t="s">
        <v>110</v>
      </c>
      <c r="V28" s="47">
        <f>SUMIF(Data!$E:$E,$I28,Data!$AI:$AI)</f>
        <v>0</v>
      </c>
    </row>
    <row r="29" spans="1:22" x14ac:dyDescent="0.25">
      <c r="A29" s="46" t="s">
        <v>322</v>
      </c>
      <c r="B29" s="46" t="s">
        <v>120</v>
      </c>
      <c r="C29" s="46" t="s">
        <v>349</v>
      </c>
      <c r="D29" s="46">
        <v>0.85370000000000001</v>
      </c>
      <c r="E29" s="47">
        <f>SUMIF(Data!$E:$E,$C29,Data!$AI:$AI)</f>
        <v>0</v>
      </c>
      <c r="I29" s="13" t="s">
        <v>350</v>
      </c>
      <c r="J29" s="13" t="s">
        <v>351</v>
      </c>
      <c r="K29" s="13" t="s">
        <v>137</v>
      </c>
      <c r="L29" s="13" t="s">
        <v>343</v>
      </c>
      <c r="M29" s="13" t="s">
        <v>352</v>
      </c>
      <c r="N29" s="13" t="s">
        <v>353</v>
      </c>
      <c r="O29" s="13" t="s">
        <v>354</v>
      </c>
      <c r="P29" s="13" t="s">
        <v>355</v>
      </c>
      <c r="Q29" s="13" t="s">
        <v>260</v>
      </c>
      <c r="R29" s="13" t="s">
        <v>356</v>
      </c>
      <c r="S29" s="13" t="s">
        <v>192</v>
      </c>
      <c r="T29" s="13" t="s">
        <v>146</v>
      </c>
      <c r="U29" s="13" t="s">
        <v>110</v>
      </c>
      <c r="V29" s="47">
        <f>SUMIF(Data!$E:$E,$I29,Data!$AI:$AI)</f>
        <v>0</v>
      </c>
    </row>
    <row r="30" spans="1:22" x14ac:dyDescent="0.25">
      <c r="A30" s="46" t="s">
        <v>322</v>
      </c>
      <c r="B30" s="46" t="s">
        <v>120</v>
      </c>
      <c r="C30" s="46" t="s">
        <v>357</v>
      </c>
      <c r="D30" s="46">
        <v>4.3754</v>
      </c>
      <c r="E30" s="47">
        <f>SUMIF(Data!$E:$E,$C30,Data!$AI:$AI)</f>
        <v>0</v>
      </c>
      <c r="I30" s="13" t="s">
        <v>358</v>
      </c>
      <c r="J30" s="13" t="s">
        <v>359</v>
      </c>
      <c r="K30" s="13" t="s">
        <v>137</v>
      </c>
      <c r="L30" s="13" t="s">
        <v>360</v>
      </c>
      <c r="M30" s="13" t="s">
        <v>361</v>
      </c>
      <c r="N30" s="13" t="s">
        <v>362</v>
      </c>
      <c r="O30" s="13" t="s">
        <v>363</v>
      </c>
      <c r="P30" s="13" t="s">
        <v>364</v>
      </c>
      <c r="Q30" s="13" t="s">
        <v>208</v>
      </c>
      <c r="R30" s="13" t="s">
        <v>365</v>
      </c>
      <c r="S30" s="13" t="s">
        <v>192</v>
      </c>
      <c r="T30" s="13" t="s">
        <v>146</v>
      </c>
      <c r="U30" s="13" t="s">
        <v>110</v>
      </c>
      <c r="V30" s="47">
        <f>SUMIF(Data!$E:$E,$I30,Data!$AI:$AI)</f>
        <v>0</v>
      </c>
    </row>
    <row r="31" spans="1:22" x14ac:dyDescent="0.25">
      <c r="A31" s="46" t="s">
        <v>322</v>
      </c>
      <c r="B31" s="46" t="s">
        <v>120</v>
      </c>
      <c r="C31" s="46" t="s">
        <v>366</v>
      </c>
      <c r="D31" s="46">
        <v>0.32550000000000001</v>
      </c>
      <c r="E31" s="47">
        <f>SUMIF(Data!$E:$E,$C31,Data!$AI:$AI)</f>
        <v>0</v>
      </c>
      <c r="I31" s="13" t="s">
        <v>367</v>
      </c>
      <c r="J31" s="13" t="s">
        <v>368</v>
      </c>
      <c r="K31" s="13" t="s">
        <v>137</v>
      </c>
      <c r="L31" s="13" t="s">
        <v>369</v>
      </c>
      <c r="M31" s="13" t="s">
        <v>370</v>
      </c>
      <c r="N31" s="13" t="s">
        <v>371</v>
      </c>
      <c r="O31" s="13" t="s">
        <v>372</v>
      </c>
      <c r="P31" s="13" t="s">
        <v>373</v>
      </c>
      <c r="Q31" s="13" t="s">
        <v>208</v>
      </c>
      <c r="R31" s="13" t="s">
        <v>374</v>
      </c>
      <c r="S31" s="13" t="s">
        <v>226</v>
      </c>
      <c r="T31" s="13" t="s">
        <v>227</v>
      </c>
      <c r="U31" s="13" t="s">
        <v>228</v>
      </c>
      <c r="V31" s="47">
        <f>SUMIF(Data!$E:$E,$I31,Data!$AI:$AI)</f>
        <v>0</v>
      </c>
    </row>
    <row r="32" spans="1:22" x14ac:dyDescent="0.25">
      <c r="A32" s="46" t="s">
        <v>322</v>
      </c>
      <c r="B32" s="46" t="s">
        <v>120</v>
      </c>
      <c r="C32" s="46" t="s">
        <v>375</v>
      </c>
      <c r="D32" s="46">
        <v>0.32900000000000001</v>
      </c>
      <c r="E32" s="47">
        <f>SUMIF(Data!$E:$E,$C32,Data!$AI:$AI)</f>
        <v>0</v>
      </c>
      <c r="I32" s="13" t="s">
        <v>376</v>
      </c>
      <c r="J32" s="13" t="s">
        <v>377</v>
      </c>
      <c r="K32" s="13" t="s">
        <v>137</v>
      </c>
      <c r="L32" s="13" t="s">
        <v>369</v>
      </c>
      <c r="M32" s="13" t="s">
        <v>378</v>
      </c>
      <c r="N32" s="13" t="s">
        <v>379</v>
      </c>
      <c r="O32" s="13" t="s">
        <v>380</v>
      </c>
      <c r="P32" s="13" t="s">
        <v>381</v>
      </c>
      <c r="Q32" s="13" t="s">
        <v>172</v>
      </c>
      <c r="R32" s="13" t="s">
        <v>382</v>
      </c>
      <c r="S32" s="13" t="s">
        <v>145</v>
      </c>
      <c r="T32" s="13" t="s">
        <v>146</v>
      </c>
      <c r="U32" s="13" t="s">
        <v>110</v>
      </c>
      <c r="V32" s="47">
        <f>SUMIF(Data!$E:$E,$I32,Data!$AI:$AI)</f>
        <v>0</v>
      </c>
    </row>
    <row r="33" spans="1:22" x14ac:dyDescent="0.25">
      <c r="A33" s="46" t="s">
        <v>322</v>
      </c>
      <c r="B33" s="46" t="s">
        <v>120</v>
      </c>
      <c r="C33" s="46" t="s">
        <v>383</v>
      </c>
      <c r="D33" s="46">
        <v>0.69059999999999999</v>
      </c>
      <c r="E33" s="47">
        <f>SUMIF(Data!$E:$E,$C33,Data!$AI:$AI)</f>
        <v>0</v>
      </c>
      <c r="I33" s="13" t="s">
        <v>384</v>
      </c>
      <c r="J33" s="13" t="s">
        <v>385</v>
      </c>
      <c r="K33" s="13" t="s">
        <v>137</v>
      </c>
      <c r="L33" s="13" t="s">
        <v>386</v>
      </c>
      <c r="M33" s="13" t="s">
        <v>387</v>
      </c>
      <c r="N33" s="13" t="s">
        <v>388</v>
      </c>
      <c r="O33" s="13" t="s">
        <v>389</v>
      </c>
      <c r="P33" s="13" t="s">
        <v>390</v>
      </c>
      <c r="Q33" s="13" t="s">
        <v>143</v>
      </c>
      <c r="R33" s="13" t="s">
        <v>391</v>
      </c>
      <c r="S33" s="13" t="s">
        <v>145</v>
      </c>
      <c r="T33" s="13" t="s">
        <v>146</v>
      </c>
      <c r="U33" s="13" t="s">
        <v>110</v>
      </c>
      <c r="V33" s="47">
        <f>SUMIF(Data!$E:$E,$I33,Data!$AI:$AI)</f>
        <v>0</v>
      </c>
    </row>
    <row r="34" spans="1:22" x14ac:dyDescent="0.25">
      <c r="A34" s="46" t="s">
        <v>322</v>
      </c>
      <c r="B34" s="46" t="s">
        <v>120</v>
      </c>
      <c r="C34" s="46" t="s">
        <v>392</v>
      </c>
      <c r="D34" s="46">
        <v>2.3452999999999999</v>
      </c>
      <c r="E34" s="47">
        <f>SUMIF(Data!$E:$E,$C34,Data!$AI:$AI)</f>
        <v>0</v>
      </c>
      <c r="I34" s="13" t="s">
        <v>393</v>
      </c>
      <c r="J34" s="13" t="s">
        <v>394</v>
      </c>
      <c r="K34" s="13" t="s">
        <v>137</v>
      </c>
      <c r="L34" s="13" t="s">
        <v>395</v>
      </c>
      <c r="M34" s="13" t="s">
        <v>396</v>
      </c>
      <c r="N34" s="13">
        <v>753.73800000000006</v>
      </c>
      <c r="O34" s="13" t="s">
        <v>397</v>
      </c>
      <c r="P34" s="13" t="s">
        <v>398</v>
      </c>
      <c r="Q34" s="13" t="s">
        <v>224</v>
      </c>
      <c r="R34" s="13" t="s">
        <v>399</v>
      </c>
      <c r="S34" s="13" t="s">
        <v>145</v>
      </c>
      <c r="T34" s="13" t="s">
        <v>146</v>
      </c>
      <c r="U34" s="13" t="s">
        <v>110</v>
      </c>
      <c r="V34" s="47">
        <f>SUMIF(Data!$E:$E,$I34,Data!$AI:$AI)</f>
        <v>0</v>
      </c>
    </row>
    <row r="35" spans="1:22" x14ac:dyDescent="0.25">
      <c r="A35" s="46" t="s">
        <v>322</v>
      </c>
      <c r="B35" s="46" t="s">
        <v>120</v>
      </c>
      <c r="C35" s="46" t="s">
        <v>400</v>
      </c>
      <c r="D35" s="46">
        <v>2.8529</v>
      </c>
      <c r="E35" s="47">
        <f>SUMIF(Data!$E:$E,$C35,Data!$AI:$AI)</f>
        <v>0</v>
      </c>
      <c r="I35" s="13" t="s">
        <v>401</v>
      </c>
      <c r="J35" s="13" t="s">
        <v>402</v>
      </c>
      <c r="K35" s="13" t="s">
        <v>137</v>
      </c>
      <c r="L35" s="13" t="s">
        <v>403</v>
      </c>
      <c r="M35" s="13" t="s">
        <v>404</v>
      </c>
      <c r="N35" s="13" t="s">
        <v>405</v>
      </c>
      <c r="O35" s="13" t="s">
        <v>406</v>
      </c>
      <c r="P35" s="13" t="s">
        <v>407</v>
      </c>
      <c r="Q35" s="13" t="s">
        <v>190</v>
      </c>
      <c r="R35" s="13" t="s">
        <v>408</v>
      </c>
      <c r="S35" s="13" t="s">
        <v>192</v>
      </c>
      <c r="T35" s="13" t="s">
        <v>146</v>
      </c>
      <c r="U35" s="13" t="s">
        <v>110</v>
      </c>
      <c r="V35" s="47">
        <f>SUMIF(Data!$E:$E,$I35,Data!$AI:$AI)</f>
        <v>0</v>
      </c>
    </row>
    <row r="36" spans="1:22" x14ac:dyDescent="0.25">
      <c r="A36" s="46" t="s">
        <v>322</v>
      </c>
      <c r="B36" s="46" t="s">
        <v>120</v>
      </c>
      <c r="C36" s="46" t="s">
        <v>409</v>
      </c>
      <c r="D36" s="46">
        <v>1.3242</v>
      </c>
      <c r="E36" s="47">
        <f>SUMIF(Data!$E:$E,$C36,Data!$AI:$AI)</f>
        <v>0</v>
      </c>
      <c r="I36" s="13" t="s">
        <v>410</v>
      </c>
      <c r="J36" s="13" t="s">
        <v>411</v>
      </c>
      <c r="K36" s="13" t="s">
        <v>137</v>
      </c>
      <c r="L36" s="13" t="s">
        <v>412</v>
      </c>
      <c r="M36" s="13" t="s">
        <v>413</v>
      </c>
      <c r="N36" s="13">
        <v>286.697</v>
      </c>
      <c r="O36" s="13" t="s">
        <v>414</v>
      </c>
      <c r="P36" s="13" t="s">
        <v>415</v>
      </c>
      <c r="Q36" s="13" t="s">
        <v>416</v>
      </c>
      <c r="R36" s="13" t="s">
        <v>417</v>
      </c>
      <c r="S36" s="13" t="s">
        <v>192</v>
      </c>
      <c r="T36" s="13" t="s">
        <v>146</v>
      </c>
      <c r="U36" s="13" t="s">
        <v>110</v>
      </c>
      <c r="V36" s="47">
        <f>SUMIF(Data!$E:$E,$I36,Data!$AI:$AI)</f>
        <v>0</v>
      </c>
    </row>
    <row r="37" spans="1:22" x14ac:dyDescent="0.25">
      <c r="A37" s="46" t="s">
        <v>322</v>
      </c>
      <c r="B37" s="46" t="s">
        <v>120</v>
      </c>
      <c r="C37" s="46" t="s">
        <v>418</v>
      </c>
      <c r="D37" s="46">
        <v>0.40600000000000003</v>
      </c>
      <c r="E37" s="47">
        <f>SUMIF(Data!$E:$E,$C37,Data!$AI:$AI)</f>
        <v>0</v>
      </c>
      <c r="I37" s="13" t="s">
        <v>419</v>
      </c>
      <c r="J37" s="13" t="s">
        <v>420</v>
      </c>
      <c r="K37" s="13" t="s">
        <v>137</v>
      </c>
      <c r="L37" s="13" t="s">
        <v>421</v>
      </c>
      <c r="M37" s="13" t="s">
        <v>422</v>
      </c>
      <c r="N37" s="13">
        <v>777.77800000000002</v>
      </c>
      <c r="O37" s="13" t="s">
        <v>423</v>
      </c>
      <c r="P37" s="13" t="s">
        <v>424</v>
      </c>
      <c r="Q37" s="13" t="s">
        <v>224</v>
      </c>
      <c r="R37" s="13" t="s">
        <v>425</v>
      </c>
      <c r="S37" s="13" t="s">
        <v>192</v>
      </c>
      <c r="T37" s="13" t="s">
        <v>146</v>
      </c>
      <c r="U37" s="13" t="s">
        <v>110</v>
      </c>
      <c r="V37" s="47">
        <f>SUMIF(Data!$E:$E,$I37,Data!$AI:$AI)</f>
        <v>0</v>
      </c>
    </row>
    <row r="38" spans="1:22" x14ac:dyDescent="0.25">
      <c r="A38" s="46" t="s">
        <v>322</v>
      </c>
      <c r="B38" s="46" t="s">
        <v>120</v>
      </c>
      <c r="C38" s="46" t="s">
        <v>426</v>
      </c>
      <c r="D38" s="46">
        <v>0.44990000000000002</v>
      </c>
      <c r="E38" s="47">
        <f>SUMIF(Data!$E:$E,$C38,Data!$AI:$AI)</f>
        <v>0</v>
      </c>
      <c r="I38" s="13" t="s">
        <v>427</v>
      </c>
      <c r="J38" s="13" t="s">
        <v>428</v>
      </c>
      <c r="K38" s="13" t="s">
        <v>137</v>
      </c>
      <c r="L38" s="13" t="s">
        <v>421</v>
      </c>
      <c r="M38" s="13" t="s">
        <v>429</v>
      </c>
      <c r="N38" s="13">
        <v>261.709</v>
      </c>
      <c r="O38" s="13" t="s">
        <v>430</v>
      </c>
      <c r="P38" s="13" t="s">
        <v>431</v>
      </c>
      <c r="Q38" s="13" t="s">
        <v>143</v>
      </c>
      <c r="R38" s="13" t="s">
        <v>432</v>
      </c>
      <c r="S38" s="13" t="s">
        <v>145</v>
      </c>
      <c r="T38" s="13" t="s">
        <v>146</v>
      </c>
      <c r="U38" s="13" t="s">
        <v>110</v>
      </c>
      <c r="V38" s="47">
        <f>SUMIF(Data!$E:$E,$I38,Data!$AI:$AI)</f>
        <v>0</v>
      </c>
    </row>
    <row r="39" spans="1:22" x14ac:dyDescent="0.25">
      <c r="A39" s="46" t="s">
        <v>322</v>
      </c>
      <c r="B39" s="46" t="s">
        <v>120</v>
      </c>
      <c r="C39" s="46" t="s">
        <v>433</v>
      </c>
      <c r="D39" s="46">
        <v>1.1994</v>
      </c>
      <c r="E39" s="47">
        <f>SUMIF(Data!$E:$E,$C39,Data!$AI:$AI)</f>
        <v>0</v>
      </c>
      <c r="I39" s="13">
        <v>7203</v>
      </c>
      <c r="J39" s="13" t="s">
        <v>434</v>
      </c>
      <c r="K39" s="13" t="s">
        <v>137</v>
      </c>
      <c r="L39" s="13" t="s">
        <v>435</v>
      </c>
      <c r="M39" s="13" t="s">
        <v>436</v>
      </c>
      <c r="N39" s="13" t="s">
        <v>437</v>
      </c>
      <c r="O39" s="13" t="s">
        <v>438</v>
      </c>
      <c r="P39" s="13" t="s">
        <v>439</v>
      </c>
      <c r="Q39" s="13" t="s">
        <v>162</v>
      </c>
      <c r="R39" s="13" t="s">
        <v>440</v>
      </c>
      <c r="S39" s="13" t="s">
        <v>441</v>
      </c>
      <c r="T39" s="13" t="s">
        <v>442</v>
      </c>
      <c r="U39" s="13" t="s">
        <v>443</v>
      </c>
      <c r="V39" s="47">
        <f>SUMIF(Data!$E:$E,$I39,Data!$AI:$AI)</f>
        <v>0</v>
      </c>
    </row>
    <row r="40" spans="1:22" x14ac:dyDescent="0.25">
      <c r="A40" s="46" t="s">
        <v>322</v>
      </c>
      <c r="B40" s="46" t="s">
        <v>120</v>
      </c>
      <c r="C40" s="46" t="s">
        <v>444</v>
      </c>
      <c r="D40" s="46">
        <v>0.5837</v>
      </c>
      <c r="E40" s="47">
        <f>SUMIF(Data!$E:$E,$C40,Data!$AI:$AI)</f>
        <v>0</v>
      </c>
      <c r="I40" s="13" t="s">
        <v>445</v>
      </c>
      <c r="J40" s="13" t="s">
        <v>446</v>
      </c>
      <c r="K40" s="13" t="s">
        <v>137</v>
      </c>
      <c r="L40" s="13" t="s">
        <v>435</v>
      </c>
      <c r="M40" s="13" t="s">
        <v>447</v>
      </c>
      <c r="N40" s="13">
        <v>406.15199999999999</v>
      </c>
      <c r="O40" s="13" t="s">
        <v>448</v>
      </c>
      <c r="P40" s="13" t="s">
        <v>449</v>
      </c>
      <c r="Q40" s="13" t="s">
        <v>162</v>
      </c>
      <c r="R40" s="13" t="s">
        <v>450</v>
      </c>
      <c r="S40" s="13" t="s">
        <v>192</v>
      </c>
      <c r="T40" s="13" t="s">
        <v>146</v>
      </c>
      <c r="U40" s="13" t="s">
        <v>110</v>
      </c>
      <c r="V40" s="47">
        <f>SUMIF(Data!$E:$E,$I40,Data!$AI:$AI)</f>
        <v>0</v>
      </c>
    </row>
    <row r="41" spans="1:22" x14ac:dyDescent="0.25">
      <c r="A41" s="46" t="s">
        <v>322</v>
      </c>
      <c r="B41" s="46" t="s">
        <v>120</v>
      </c>
      <c r="C41" s="46" t="s">
        <v>451</v>
      </c>
      <c r="D41" s="46">
        <v>0.1545</v>
      </c>
      <c r="E41" s="47">
        <f>SUMIF(Data!$E:$E,$C41,Data!$AI:$AI)</f>
        <v>0</v>
      </c>
      <c r="I41" s="13" t="s">
        <v>452</v>
      </c>
      <c r="J41" s="13" t="s">
        <v>453</v>
      </c>
      <c r="K41" s="13" t="s">
        <v>137</v>
      </c>
      <c r="L41" s="13" t="s">
        <v>454</v>
      </c>
      <c r="M41" s="13" t="s">
        <v>455</v>
      </c>
      <c r="N41" s="13">
        <v>705.78599999999994</v>
      </c>
      <c r="O41" s="13" t="s">
        <v>456</v>
      </c>
      <c r="P41" s="13" t="s">
        <v>457</v>
      </c>
      <c r="Q41" s="13" t="s">
        <v>208</v>
      </c>
      <c r="R41" s="13" t="s">
        <v>458</v>
      </c>
      <c r="S41" s="13" t="s">
        <v>192</v>
      </c>
      <c r="T41" s="13" t="s">
        <v>146</v>
      </c>
      <c r="U41" s="13" t="s">
        <v>110</v>
      </c>
      <c r="V41" s="47">
        <f>SUMIF(Data!$E:$E,$I41,Data!$AI:$AI)</f>
        <v>0</v>
      </c>
    </row>
    <row r="42" spans="1:22" x14ac:dyDescent="0.25">
      <c r="A42" s="46" t="s">
        <v>322</v>
      </c>
      <c r="B42" s="46" t="s">
        <v>120</v>
      </c>
      <c r="C42" s="46" t="s">
        <v>459</v>
      </c>
      <c r="D42" s="46">
        <v>1.9825999999999999</v>
      </c>
      <c r="E42" s="47">
        <f>SUMIF(Data!$E:$E,$C42,Data!$AI:$AI)</f>
        <v>0</v>
      </c>
      <c r="I42" s="13" t="s">
        <v>460</v>
      </c>
      <c r="J42" s="13" t="s">
        <v>461</v>
      </c>
      <c r="K42" s="13" t="s">
        <v>137</v>
      </c>
      <c r="L42" s="13" t="s">
        <v>454</v>
      </c>
      <c r="M42" s="13" t="s">
        <v>462</v>
      </c>
      <c r="N42" s="13" t="s">
        <v>463</v>
      </c>
      <c r="O42" s="13" t="s">
        <v>464</v>
      </c>
      <c r="P42" s="13" t="s">
        <v>465</v>
      </c>
      <c r="Q42" s="13" t="s">
        <v>208</v>
      </c>
      <c r="R42" s="13" t="s">
        <v>466</v>
      </c>
      <c r="S42" s="13" t="s">
        <v>192</v>
      </c>
      <c r="T42" s="13" t="s">
        <v>146</v>
      </c>
      <c r="U42" s="13" t="s">
        <v>110</v>
      </c>
      <c r="V42" s="47">
        <f>SUMIF(Data!$E:$E,$I42,Data!$AI:$AI)</f>
        <v>0</v>
      </c>
    </row>
    <row r="43" spans="1:22" x14ac:dyDescent="0.25">
      <c r="A43" s="46" t="s">
        <v>322</v>
      </c>
      <c r="B43" s="46" t="s">
        <v>120</v>
      </c>
      <c r="C43" s="46" t="s">
        <v>467</v>
      </c>
      <c r="D43" s="46">
        <v>4.5945999999999998</v>
      </c>
      <c r="E43" s="47">
        <f>SUMIF(Data!$E:$E,$C43,Data!$AI:$AI)</f>
        <v>0</v>
      </c>
      <c r="I43" s="13" t="s">
        <v>468</v>
      </c>
      <c r="J43" s="13" t="s">
        <v>469</v>
      </c>
      <c r="K43" s="13" t="s">
        <v>137</v>
      </c>
      <c r="L43" s="13" t="s">
        <v>470</v>
      </c>
      <c r="M43" s="13" t="s">
        <v>471</v>
      </c>
      <c r="N43" s="13" t="s">
        <v>472</v>
      </c>
      <c r="O43" s="13" t="s">
        <v>473</v>
      </c>
      <c r="P43" s="13" t="s">
        <v>474</v>
      </c>
      <c r="Q43" s="13" t="s">
        <v>190</v>
      </c>
      <c r="R43" s="13" t="s">
        <v>475</v>
      </c>
      <c r="S43" s="13" t="s">
        <v>476</v>
      </c>
      <c r="T43" s="13" t="s">
        <v>477</v>
      </c>
      <c r="U43" s="13" t="s">
        <v>478</v>
      </c>
      <c r="V43" s="47">
        <f>SUMIF(Data!$E:$E,$I43,Data!$AI:$AI)</f>
        <v>0</v>
      </c>
    </row>
    <row r="44" spans="1:22" x14ac:dyDescent="0.25">
      <c r="A44" s="46" t="s">
        <v>322</v>
      </c>
      <c r="B44" s="46" t="s">
        <v>120</v>
      </c>
      <c r="C44" s="46" t="s">
        <v>479</v>
      </c>
      <c r="D44" s="46">
        <v>0.35849999999999999</v>
      </c>
      <c r="E44" s="47">
        <f>SUMIF(Data!$E:$E,$C44,Data!$AI:$AI)</f>
        <v>0</v>
      </c>
      <c r="I44" s="13" t="s">
        <v>480</v>
      </c>
      <c r="J44" s="13" t="s">
        <v>481</v>
      </c>
      <c r="K44" s="13" t="s">
        <v>137</v>
      </c>
      <c r="L44" s="13" t="s">
        <v>470</v>
      </c>
      <c r="M44" s="13" t="s">
        <v>482</v>
      </c>
      <c r="N44" s="13">
        <v>449.09899999999999</v>
      </c>
      <c r="O44" s="13" t="s">
        <v>483</v>
      </c>
      <c r="P44" s="13" t="s">
        <v>484</v>
      </c>
      <c r="Q44" s="13" t="s">
        <v>143</v>
      </c>
      <c r="R44" s="13" t="s">
        <v>485</v>
      </c>
      <c r="S44" s="13" t="s">
        <v>192</v>
      </c>
      <c r="T44" s="13" t="s">
        <v>146</v>
      </c>
      <c r="U44" s="13" t="s">
        <v>110</v>
      </c>
      <c r="V44" s="47">
        <f>SUMIF(Data!$E:$E,$I44,Data!$AI:$AI)</f>
        <v>0</v>
      </c>
    </row>
    <row r="45" spans="1:22" x14ac:dyDescent="0.25">
      <c r="A45" s="46" t="s">
        <v>322</v>
      </c>
      <c r="B45" s="46" t="s">
        <v>120</v>
      </c>
      <c r="C45" s="46" t="s">
        <v>486</v>
      </c>
      <c r="D45" s="46">
        <v>7.2400000000000006E-2</v>
      </c>
      <c r="E45" s="47">
        <f>SUMIF(Data!$E:$E,$C45,Data!$AI:$AI)</f>
        <v>0</v>
      </c>
      <c r="I45" s="13" t="s">
        <v>487</v>
      </c>
      <c r="J45" s="13" t="s">
        <v>488</v>
      </c>
      <c r="K45" s="13" t="s">
        <v>137</v>
      </c>
      <c r="L45" s="13" t="s">
        <v>470</v>
      </c>
      <c r="M45" s="13" t="s">
        <v>489</v>
      </c>
      <c r="N45" s="13">
        <v>937.69200000000001</v>
      </c>
      <c r="O45" s="13" t="s">
        <v>490</v>
      </c>
      <c r="P45" s="13" t="s">
        <v>491</v>
      </c>
      <c r="Q45" s="13" t="s">
        <v>208</v>
      </c>
      <c r="R45" s="13" t="s">
        <v>492</v>
      </c>
      <c r="S45" s="13" t="s">
        <v>192</v>
      </c>
      <c r="T45" s="13" t="s">
        <v>146</v>
      </c>
      <c r="U45" s="13" t="s">
        <v>110</v>
      </c>
      <c r="V45" s="47">
        <f>SUMIF(Data!$E:$E,$I45,Data!$AI:$AI)</f>
        <v>0</v>
      </c>
    </row>
    <row r="46" spans="1:22" x14ac:dyDescent="0.25">
      <c r="A46" s="46" t="s">
        <v>322</v>
      </c>
      <c r="B46" s="46" t="s">
        <v>120</v>
      </c>
      <c r="C46" s="46" t="s">
        <v>493</v>
      </c>
      <c r="D46" s="46">
        <v>0.36120000000000002</v>
      </c>
      <c r="E46" s="47">
        <f>SUMIF(Data!$E:$E,$C46,Data!$AI:$AI)</f>
        <v>0</v>
      </c>
      <c r="I46" s="13" t="s">
        <v>494</v>
      </c>
      <c r="J46" s="13" t="s">
        <v>495</v>
      </c>
      <c r="K46" s="13" t="s">
        <v>137</v>
      </c>
      <c r="L46" s="13" t="s">
        <v>496</v>
      </c>
      <c r="M46" s="13" t="s">
        <v>497</v>
      </c>
      <c r="N46" s="13">
        <v>237.036</v>
      </c>
      <c r="O46" s="13" t="s">
        <v>498</v>
      </c>
      <c r="P46" s="13" t="s">
        <v>499</v>
      </c>
      <c r="Q46" s="13" t="s">
        <v>172</v>
      </c>
      <c r="R46" s="13" t="s">
        <v>500</v>
      </c>
      <c r="S46" s="13" t="s">
        <v>145</v>
      </c>
      <c r="T46" s="13" t="s">
        <v>146</v>
      </c>
      <c r="U46" s="13" t="s">
        <v>110</v>
      </c>
      <c r="V46" s="47">
        <f>SUMIF(Data!$E:$E,$I46,Data!$AI:$AI)</f>
        <v>0</v>
      </c>
    </row>
    <row r="47" spans="1:22" x14ac:dyDescent="0.25">
      <c r="A47" s="46" t="s">
        <v>322</v>
      </c>
      <c r="B47" s="46" t="s">
        <v>120</v>
      </c>
      <c r="C47" s="46" t="s">
        <v>501</v>
      </c>
      <c r="D47" s="46">
        <v>1.3392999999999999</v>
      </c>
      <c r="E47" s="47">
        <f>SUMIF(Data!$E:$E,$C47,Data!$AI:$AI)</f>
        <v>0</v>
      </c>
      <c r="I47" s="13" t="s">
        <v>502</v>
      </c>
      <c r="J47" s="13" t="s">
        <v>503</v>
      </c>
      <c r="K47" s="13" t="s">
        <v>137</v>
      </c>
      <c r="L47" s="13" t="s">
        <v>496</v>
      </c>
      <c r="M47" s="13" t="s">
        <v>504</v>
      </c>
      <c r="N47" s="13">
        <v>327.33999999999997</v>
      </c>
      <c r="O47" s="13" t="s">
        <v>505</v>
      </c>
      <c r="P47" s="13" t="s">
        <v>506</v>
      </c>
      <c r="Q47" s="13" t="s">
        <v>208</v>
      </c>
      <c r="R47" s="13" t="s">
        <v>507</v>
      </c>
      <c r="S47" s="13" t="s">
        <v>145</v>
      </c>
      <c r="T47" s="13" t="s">
        <v>146</v>
      </c>
      <c r="U47" s="13" t="s">
        <v>110</v>
      </c>
      <c r="V47" s="47">
        <f>SUMIF(Data!$E:$E,$I47,Data!$AI:$AI)</f>
        <v>0</v>
      </c>
    </row>
    <row r="48" spans="1:22" x14ac:dyDescent="0.25">
      <c r="A48" s="46" t="s">
        <v>322</v>
      </c>
      <c r="B48" s="46" t="s">
        <v>120</v>
      </c>
      <c r="C48" s="46" t="s">
        <v>508</v>
      </c>
      <c r="D48" s="46">
        <v>1.1201000000000001</v>
      </c>
      <c r="E48" s="47">
        <f>SUMIF(Data!$E:$E,$C48,Data!$AI:$AI)</f>
        <v>0</v>
      </c>
      <c r="I48" s="13" t="s">
        <v>509</v>
      </c>
      <c r="J48" s="13" t="s">
        <v>510</v>
      </c>
      <c r="K48" s="13" t="s">
        <v>137</v>
      </c>
      <c r="L48" s="13" t="s">
        <v>511</v>
      </c>
      <c r="M48" s="13" t="s">
        <v>512</v>
      </c>
      <c r="N48" s="13">
        <v>310.75599999999997</v>
      </c>
      <c r="O48" s="13" t="s">
        <v>513</v>
      </c>
      <c r="P48" s="13" t="s">
        <v>514</v>
      </c>
      <c r="Q48" s="13" t="s">
        <v>143</v>
      </c>
      <c r="R48" s="13" t="s">
        <v>515</v>
      </c>
      <c r="S48" s="13" t="s">
        <v>145</v>
      </c>
      <c r="T48" s="13" t="s">
        <v>146</v>
      </c>
      <c r="U48" s="13" t="s">
        <v>110</v>
      </c>
      <c r="V48" s="47">
        <f>SUMIF(Data!$E:$E,$I48,Data!$AI:$AI)</f>
        <v>0</v>
      </c>
    </row>
    <row r="49" spans="1:22" x14ac:dyDescent="0.25">
      <c r="A49" s="46" t="s">
        <v>322</v>
      </c>
      <c r="B49" s="46" t="s">
        <v>120</v>
      </c>
      <c r="C49" s="46" t="s">
        <v>516</v>
      </c>
      <c r="D49" s="46">
        <v>0.20580000000000001</v>
      </c>
      <c r="E49" s="47">
        <f>SUMIF(Data!$E:$E,$C49,Data!$AI:$AI)</f>
        <v>0</v>
      </c>
      <c r="I49" s="13" t="s">
        <v>517</v>
      </c>
      <c r="J49" s="13" t="s">
        <v>517</v>
      </c>
      <c r="K49" s="13" t="s">
        <v>137</v>
      </c>
      <c r="L49" s="13" t="s">
        <v>518</v>
      </c>
      <c r="M49" s="13" t="s">
        <v>519</v>
      </c>
      <c r="N49" s="13">
        <v>533.702</v>
      </c>
      <c r="O49" s="13" t="s">
        <v>520</v>
      </c>
      <c r="P49" s="13" t="s">
        <v>521</v>
      </c>
      <c r="Q49" s="13" t="s">
        <v>143</v>
      </c>
      <c r="R49" s="13" t="s">
        <v>522</v>
      </c>
      <c r="S49" s="13" t="s">
        <v>523</v>
      </c>
      <c r="T49" s="13" t="s">
        <v>524</v>
      </c>
      <c r="U49" s="13" t="s">
        <v>525</v>
      </c>
      <c r="V49" s="47">
        <f>SUMIF(Data!$E:$E,$I49,Data!$AI:$AI)</f>
        <v>0</v>
      </c>
    </row>
    <row r="50" spans="1:22" x14ac:dyDescent="0.25">
      <c r="A50" s="46" t="s">
        <v>322</v>
      </c>
      <c r="B50" s="46" t="s">
        <v>120</v>
      </c>
      <c r="C50" s="46" t="s">
        <v>526</v>
      </c>
      <c r="D50" s="46">
        <v>0.47639999999999999</v>
      </c>
      <c r="E50" s="47">
        <f>SUMIF(Data!$E:$E,$C50,Data!$AI:$AI)</f>
        <v>0</v>
      </c>
      <c r="I50" s="13" t="s">
        <v>527</v>
      </c>
      <c r="J50" s="13" t="s">
        <v>528</v>
      </c>
      <c r="K50" s="13" t="s">
        <v>137</v>
      </c>
      <c r="L50" s="13" t="s">
        <v>518</v>
      </c>
      <c r="M50" s="13" t="s">
        <v>529</v>
      </c>
      <c r="N50" s="13">
        <v>827.17</v>
      </c>
      <c r="O50" s="13" t="s">
        <v>530</v>
      </c>
      <c r="P50" s="13" t="s">
        <v>531</v>
      </c>
      <c r="Q50" s="13" t="s">
        <v>224</v>
      </c>
      <c r="R50" s="13" t="s">
        <v>532</v>
      </c>
      <c r="S50" s="13" t="s">
        <v>192</v>
      </c>
      <c r="T50" s="13" t="s">
        <v>146</v>
      </c>
      <c r="U50" s="13" t="s">
        <v>110</v>
      </c>
      <c r="V50" s="47">
        <f>SUMIF(Data!$E:$E,$I50,Data!$AI:$AI)</f>
        <v>0</v>
      </c>
    </row>
    <row r="51" spans="1:22" x14ac:dyDescent="0.25">
      <c r="A51" s="46" t="s">
        <v>322</v>
      </c>
      <c r="B51" s="46" t="s">
        <v>120</v>
      </c>
      <c r="C51" s="46" t="s">
        <v>533</v>
      </c>
      <c r="D51" s="46">
        <v>0.51370000000000005</v>
      </c>
      <c r="E51" s="47">
        <f>SUMIF(Data!$E:$E,$C51,Data!$AI:$AI)</f>
        <v>0</v>
      </c>
      <c r="I51" s="13" t="s">
        <v>534</v>
      </c>
      <c r="J51" s="13" t="s">
        <v>535</v>
      </c>
      <c r="K51" s="13" t="s">
        <v>137</v>
      </c>
      <c r="L51" s="13" t="s">
        <v>536</v>
      </c>
      <c r="M51" s="13" t="s">
        <v>537</v>
      </c>
      <c r="N51" s="13" t="s">
        <v>538</v>
      </c>
      <c r="O51" s="13" t="s">
        <v>539</v>
      </c>
      <c r="P51" s="13" t="s">
        <v>540</v>
      </c>
      <c r="Q51" s="13" t="s">
        <v>260</v>
      </c>
      <c r="R51" s="13" t="s">
        <v>541</v>
      </c>
      <c r="S51" s="13" t="s">
        <v>476</v>
      </c>
      <c r="T51" s="13" t="s">
        <v>477</v>
      </c>
      <c r="U51" s="13" t="s">
        <v>478</v>
      </c>
      <c r="V51" s="47">
        <f>SUMIF(Data!$E:$E,$I51,Data!$AI:$AI)</f>
        <v>0</v>
      </c>
    </row>
    <row r="52" spans="1:22" x14ac:dyDescent="0.25">
      <c r="A52" s="46" t="s">
        <v>322</v>
      </c>
      <c r="B52" s="46" t="s">
        <v>120</v>
      </c>
      <c r="C52" s="46" t="s">
        <v>542</v>
      </c>
      <c r="D52" s="46">
        <v>0.29389999999999999</v>
      </c>
      <c r="E52" s="47">
        <f>SUMIF(Data!$E:$E,$C52,Data!$AI:$AI)</f>
        <v>0</v>
      </c>
      <c r="I52" s="13">
        <v>1299</v>
      </c>
      <c r="J52" s="13" t="s">
        <v>543</v>
      </c>
      <c r="K52" s="13" t="s">
        <v>137</v>
      </c>
      <c r="L52" s="13" t="s">
        <v>536</v>
      </c>
      <c r="M52" s="13" t="s">
        <v>544</v>
      </c>
      <c r="N52" s="13" t="s">
        <v>545</v>
      </c>
      <c r="O52" s="13" t="s">
        <v>546</v>
      </c>
      <c r="P52" s="13" t="s">
        <v>547</v>
      </c>
      <c r="Q52" s="13" t="s">
        <v>190</v>
      </c>
      <c r="R52" s="13" t="s">
        <v>548</v>
      </c>
      <c r="S52" s="13" t="s">
        <v>549</v>
      </c>
      <c r="T52" s="13" t="s">
        <v>550</v>
      </c>
      <c r="U52" s="13" t="s">
        <v>551</v>
      </c>
      <c r="V52" s="47">
        <f>SUMIF(Data!$E:$E,$I52,Data!$AI:$AI)</f>
        <v>0</v>
      </c>
    </row>
    <row r="53" spans="1:22" x14ac:dyDescent="0.25">
      <c r="A53" s="46" t="s">
        <v>322</v>
      </c>
      <c r="B53" s="46" t="s">
        <v>120</v>
      </c>
      <c r="C53" s="46" t="s">
        <v>552</v>
      </c>
      <c r="D53" s="46">
        <v>0.17280000000000001</v>
      </c>
      <c r="E53" s="47">
        <f>SUMIF(Data!$E:$E,$C53,Data!$AI:$AI)</f>
        <v>0</v>
      </c>
      <c r="I53" s="13" t="s">
        <v>553</v>
      </c>
      <c r="J53" s="13" t="s">
        <v>554</v>
      </c>
      <c r="K53" s="13" t="s">
        <v>137</v>
      </c>
      <c r="L53" s="13" t="s">
        <v>536</v>
      </c>
      <c r="M53" s="13" t="s">
        <v>555</v>
      </c>
      <c r="N53" s="13" t="s">
        <v>556</v>
      </c>
      <c r="O53" s="13" t="s">
        <v>557</v>
      </c>
      <c r="P53" s="13" t="s">
        <v>558</v>
      </c>
      <c r="Q53" s="13" t="s">
        <v>260</v>
      </c>
      <c r="R53" s="13" t="s">
        <v>559</v>
      </c>
      <c r="S53" s="13" t="s">
        <v>560</v>
      </c>
      <c r="T53" s="13" t="s">
        <v>561</v>
      </c>
      <c r="U53" s="13" t="s">
        <v>525</v>
      </c>
      <c r="V53" s="47">
        <f>SUMIF(Data!$E:$E,$I53,Data!$AI:$AI)</f>
        <v>0</v>
      </c>
    </row>
    <row r="54" spans="1:22" x14ac:dyDescent="0.25">
      <c r="A54" s="46" t="s">
        <v>322</v>
      </c>
      <c r="B54" s="46" t="s">
        <v>120</v>
      </c>
      <c r="C54" s="46" t="s">
        <v>562</v>
      </c>
      <c r="D54" s="46">
        <v>1.1383000000000001</v>
      </c>
      <c r="E54" s="47">
        <f>SUMIF(Data!$E:$E,$C54,Data!$AI:$AI)</f>
        <v>0</v>
      </c>
      <c r="I54" s="13" t="s">
        <v>563</v>
      </c>
      <c r="J54" s="13" t="s">
        <v>564</v>
      </c>
      <c r="K54" s="13" t="s">
        <v>137</v>
      </c>
      <c r="L54" s="13" t="s">
        <v>536</v>
      </c>
      <c r="M54" s="13" t="s">
        <v>565</v>
      </c>
      <c r="N54" s="13">
        <v>708.35</v>
      </c>
      <c r="O54" s="13" t="s">
        <v>566</v>
      </c>
      <c r="P54" s="13" t="s">
        <v>567</v>
      </c>
      <c r="Q54" s="13" t="s">
        <v>208</v>
      </c>
      <c r="R54" s="13" t="s">
        <v>568</v>
      </c>
      <c r="S54" s="13" t="s">
        <v>476</v>
      </c>
      <c r="T54" s="13" t="s">
        <v>477</v>
      </c>
      <c r="U54" s="13" t="s">
        <v>478</v>
      </c>
      <c r="V54" s="47">
        <f>SUMIF(Data!$E:$E,$I54,Data!$AI:$AI)</f>
        <v>0</v>
      </c>
    </row>
    <row r="55" spans="1:22" x14ac:dyDescent="0.25">
      <c r="A55" s="46" t="s">
        <v>322</v>
      </c>
      <c r="B55" s="46" t="s">
        <v>120</v>
      </c>
      <c r="C55" s="46" t="s">
        <v>569</v>
      </c>
      <c r="D55" s="46">
        <v>0.28039999999999998</v>
      </c>
      <c r="E55" s="47">
        <f>SUMIF(Data!$E:$E,$C55,Data!$AI:$AI)</f>
        <v>0</v>
      </c>
      <c r="I55" s="13" t="s">
        <v>570</v>
      </c>
      <c r="J55" s="13" t="s">
        <v>571</v>
      </c>
      <c r="K55" s="13" t="s">
        <v>137</v>
      </c>
      <c r="L55" s="13" t="s">
        <v>536</v>
      </c>
      <c r="M55" s="13" t="s">
        <v>572</v>
      </c>
      <c r="N55" s="13">
        <v>214.43100000000001</v>
      </c>
      <c r="O55" s="13" t="s">
        <v>573</v>
      </c>
      <c r="P55" s="13" t="s">
        <v>574</v>
      </c>
      <c r="Q55" s="13" t="s">
        <v>208</v>
      </c>
      <c r="R55" s="13" t="s">
        <v>575</v>
      </c>
      <c r="S55" s="13" t="s">
        <v>192</v>
      </c>
      <c r="T55" s="13" t="s">
        <v>146</v>
      </c>
      <c r="U55" s="13" t="s">
        <v>110</v>
      </c>
      <c r="V55" s="47">
        <f>SUMIF(Data!$E:$E,$I55,Data!$AI:$AI)</f>
        <v>0</v>
      </c>
    </row>
    <row r="56" spans="1:22" x14ac:dyDescent="0.25">
      <c r="A56" s="46" t="s">
        <v>322</v>
      </c>
      <c r="B56" s="46" t="s">
        <v>120</v>
      </c>
      <c r="C56" s="46" t="s">
        <v>576</v>
      </c>
      <c r="D56" s="46">
        <v>0.39129999999999998</v>
      </c>
      <c r="E56" s="47">
        <f>SUMIF(Data!$E:$E,$C56,Data!$AI:$AI)</f>
        <v>0</v>
      </c>
      <c r="I56" s="13" t="s">
        <v>577</v>
      </c>
      <c r="J56" s="13" t="s">
        <v>578</v>
      </c>
      <c r="K56" s="13" t="s">
        <v>137</v>
      </c>
      <c r="L56" s="13" t="s">
        <v>536</v>
      </c>
      <c r="M56" s="13" t="s">
        <v>579</v>
      </c>
      <c r="N56" s="13">
        <v>787.27599999999995</v>
      </c>
      <c r="O56" s="13" t="s">
        <v>580</v>
      </c>
      <c r="P56" s="13" t="s">
        <v>581</v>
      </c>
      <c r="Q56" s="13" t="s">
        <v>208</v>
      </c>
      <c r="R56" s="13" t="s">
        <v>582</v>
      </c>
      <c r="S56" s="13" t="s">
        <v>192</v>
      </c>
      <c r="T56" s="13" t="s">
        <v>146</v>
      </c>
      <c r="U56" s="13" t="s">
        <v>110</v>
      </c>
      <c r="V56" s="47">
        <f>SUMIF(Data!$E:$E,$I56,Data!$AI:$AI)</f>
        <v>0</v>
      </c>
    </row>
    <row r="57" spans="1:22" x14ac:dyDescent="0.25">
      <c r="A57" s="46" t="s">
        <v>322</v>
      </c>
      <c r="B57" s="46" t="s">
        <v>120</v>
      </c>
      <c r="C57" s="46" t="s">
        <v>583</v>
      </c>
      <c r="D57" s="46">
        <v>0.95740000000000003</v>
      </c>
      <c r="E57" s="47">
        <f>SUMIF(Data!$E:$E,$C57,Data!$AI:$AI)</f>
        <v>0</v>
      </c>
      <c r="I57" s="13" t="s">
        <v>584</v>
      </c>
      <c r="J57" s="13" t="s">
        <v>585</v>
      </c>
      <c r="K57" s="13" t="s">
        <v>137</v>
      </c>
      <c r="L57" s="13" t="s">
        <v>536</v>
      </c>
      <c r="M57" s="13" t="s">
        <v>586</v>
      </c>
      <c r="N57" s="13">
        <v>691.16399999999999</v>
      </c>
      <c r="O57" s="13" t="s">
        <v>587</v>
      </c>
      <c r="P57" s="13" t="s">
        <v>588</v>
      </c>
      <c r="Q57" s="13" t="s">
        <v>162</v>
      </c>
      <c r="R57" s="13" t="s">
        <v>589</v>
      </c>
      <c r="S57" s="13" t="s">
        <v>192</v>
      </c>
      <c r="T57" s="13" t="s">
        <v>146</v>
      </c>
      <c r="U57" s="13" t="s">
        <v>110</v>
      </c>
      <c r="V57" s="47">
        <f>SUMIF(Data!$E:$E,$I57,Data!$AI:$AI)</f>
        <v>0</v>
      </c>
    </row>
    <row r="58" spans="1:22" x14ac:dyDescent="0.25">
      <c r="A58" s="46" t="s">
        <v>322</v>
      </c>
      <c r="B58" s="46" t="s">
        <v>120</v>
      </c>
      <c r="C58" s="46" t="s">
        <v>590</v>
      </c>
      <c r="D58" s="46">
        <v>0.46920000000000001</v>
      </c>
      <c r="E58" s="47">
        <f>SUMIF(Data!$E:$E,$C58,Data!$AI:$AI)</f>
        <v>0</v>
      </c>
      <c r="I58" s="13" t="s">
        <v>591</v>
      </c>
      <c r="J58" s="13" t="s">
        <v>592</v>
      </c>
      <c r="K58" s="13" t="s">
        <v>137</v>
      </c>
      <c r="L58" s="13" t="s">
        <v>536</v>
      </c>
      <c r="M58" s="13" t="s">
        <v>593</v>
      </c>
      <c r="N58" s="13">
        <v>335.75900000000001</v>
      </c>
      <c r="O58" s="13" t="s">
        <v>594</v>
      </c>
      <c r="P58" s="13" t="s">
        <v>595</v>
      </c>
      <c r="Q58" s="13" t="s">
        <v>143</v>
      </c>
      <c r="R58" s="13" t="s">
        <v>596</v>
      </c>
      <c r="S58" s="13" t="s">
        <v>192</v>
      </c>
      <c r="T58" s="13" t="s">
        <v>146</v>
      </c>
      <c r="U58" s="13" t="s">
        <v>110</v>
      </c>
      <c r="V58" s="47">
        <f>SUMIF(Data!$E:$E,$I58,Data!$AI:$AI)</f>
        <v>0</v>
      </c>
    </row>
    <row r="59" spans="1:22" x14ac:dyDescent="0.25">
      <c r="A59" s="46" t="s">
        <v>322</v>
      </c>
      <c r="B59" s="46" t="s">
        <v>120</v>
      </c>
      <c r="C59" s="46" t="s">
        <v>597</v>
      </c>
      <c r="D59" s="46">
        <v>1.0868</v>
      </c>
      <c r="E59" s="47">
        <f>SUMIF(Data!$E:$E,$C59,Data!$AI:$AI)</f>
        <v>0</v>
      </c>
      <c r="I59" s="13" t="s">
        <v>598</v>
      </c>
      <c r="J59" s="13" t="s">
        <v>599</v>
      </c>
      <c r="K59" s="13" t="s">
        <v>137</v>
      </c>
      <c r="L59" s="13" t="s">
        <v>536</v>
      </c>
      <c r="M59" s="13" t="s">
        <v>600</v>
      </c>
      <c r="N59" s="13">
        <v>389.57900000000001</v>
      </c>
      <c r="O59" s="13" t="s">
        <v>601</v>
      </c>
      <c r="P59" s="13" t="s">
        <v>602</v>
      </c>
      <c r="Q59" s="13" t="s">
        <v>416</v>
      </c>
      <c r="R59" s="13" t="s">
        <v>603</v>
      </c>
      <c r="S59" s="13" t="s">
        <v>192</v>
      </c>
      <c r="T59" s="13" t="s">
        <v>146</v>
      </c>
      <c r="U59" s="13" t="s">
        <v>110</v>
      </c>
      <c r="V59" s="47">
        <f>SUMIF(Data!$E:$E,$I59,Data!$AI:$AI)</f>
        <v>0</v>
      </c>
    </row>
    <row r="60" spans="1:22" x14ac:dyDescent="0.25">
      <c r="A60" s="46" t="s">
        <v>322</v>
      </c>
      <c r="B60" s="46" t="s">
        <v>120</v>
      </c>
      <c r="C60" s="46" t="s">
        <v>604</v>
      </c>
      <c r="D60" s="46">
        <v>0.1754</v>
      </c>
      <c r="E60" s="47">
        <f>SUMIF(Data!$E:$E,$C60,Data!$AI:$AI)</f>
        <v>0</v>
      </c>
      <c r="I60" s="13" t="s">
        <v>605</v>
      </c>
      <c r="J60" s="13" t="s">
        <v>606</v>
      </c>
      <c r="K60" s="13" t="s">
        <v>137</v>
      </c>
      <c r="L60" s="13" t="s">
        <v>536</v>
      </c>
      <c r="M60" s="13" t="s">
        <v>607</v>
      </c>
      <c r="N60" s="13">
        <v>233.83799999999999</v>
      </c>
      <c r="O60" s="13" t="s">
        <v>608</v>
      </c>
      <c r="P60" s="13" t="s">
        <v>609</v>
      </c>
      <c r="Q60" s="13" t="s">
        <v>224</v>
      </c>
      <c r="R60" s="13" t="s">
        <v>610</v>
      </c>
      <c r="S60" s="13" t="s">
        <v>145</v>
      </c>
      <c r="T60" s="13" t="s">
        <v>146</v>
      </c>
      <c r="U60" s="13" t="s">
        <v>110</v>
      </c>
      <c r="V60" s="47">
        <f>SUMIF(Data!$E:$E,$I60,Data!$AI:$AI)</f>
        <v>0</v>
      </c>
    </row>
    <row r="61" spans="1:22" x14ac:dyDescent="0.25">
      <c r="A61" s="46" t="s">
        <v>322</v>
      </c>
      <c r="B61" s="46" t="s">
        <v>120</v>
      </c>
      <c r="C61" s="46" t="s">
        <v>611</v>
      </c>
      <c r="D61" s="46">
        <v>4.2799999999999998E-2</v>
      </c>
      <c r="E61" s="47">
        <f>SUMIF(Data!$E:$E,$C61,Data!$AI:$AI)</f>
        <v>0</v>
      </c>
      <c r="I61" s="13" t="s">
        <v>612</v>
      </c>
      <c r="J61" s="13" t="s">
        <v>613</v>
      </c>
      <c r="K61" s="13" t="s">
        <v>137</v>
      </c>
      <c r="L61" s="13" t="s">
        <v>536</v>
      </c>
      <c r="M61" s="13" t="s">
        <v>614</v>
      </c>
      <c r="N61" s="13">
        <v>147.52799999999999</v>
      </c>
      <c r="O61" s="13" t="s">
        <v>615</v>
      </c>
      <c r="P61" s="13" t="s">
        <v>616</v>
      </c>
      <c r="Q61" s="13" t="s">
        <v>162</v>
      </c>
      <c r="R61" s="13" t="s">
        <v>617</v>
      </c>
      <c r="S61" s="13" t="s">
        <v>560</v>
      </c>
      <c r="T61" s="13" t="s">
        <v>561</v>
      </c>
      <c r="U61" s="13" t="s">
        <v>525</v>
      </c>
      <c r="V61" s="47">
        <f>SUMIF(Data!$E:$E,$I61,Data!$AI:$AI)</f>
        <v>0</v>
      </c>
    </row>
    <row r="62" spans="1:22" x14ac:dyDescent="0.25">
      <c r="A62" s="46" t="s">
        <v>322</v>
      </c>
      <c r="B62" s="46" t="s">
        <v>120</v>
      </c>
      <c r="C62" s="46" t="s">
        <v>618</v>
      </c>
      <c r="D62" s="46">
        <v>0.74770000000000003</v>
      </c>
      <c r="E62" s="47">
        <f>SUMIF(Data!$E:$E,$C62,Data!$AI:$AI)</f>
        <v>0</v>
      </c>
      <c r="I62" s="13" t="s">
        <v>619</v>
      </c>
      <c r="J62" s="13" t="s">
        <v>620</v>
      </c>
      <c r="K62" s="13" t="s">
        <v>137</v>
      </c>
      <c r="L62" s="13" t="s">
        <v>621</v>
      </c>
      <c r="M62" s="13" t="s">
        <v>622</v>
      </c>
      <c r="N62" s="13" t="s">
        <v>623</v>
      </c>
      <c r="O62" s="13" t="s">
        <v>624</v>
      </c>
      <c r="P62" s="13" t="s">
        <v>625</v>
      </c>
      <c r="Q62" s="13" t="s">
        <v>260</v>
      </c>
      <c r="R62" s="13" t="s">
        <v>626</v>
      </c>
      <c r="S62" s="13" t="s">
        <v>476</v>
      </c>
      <c r="T62" s="13" t="s">
        <v>477</v>
      </c>
      <c r="U62" s="13" t="s">
        <v>478</v>
      </c>
      <c r="V62" s="47">
        <f>SUMIF(Data!$E:$E,$I62,Data!$AI:$AI)</f>
        <v>0</v>
      </c>
    </row>
    <row r="63" spans="1:22" x14ac:dyDescent="0.25">
      <c r="A63" s="46" t="s">
        <v>322</v>
      </c>
      <c r="B63" s="46" t="s">
        <v>120</v>
      </c>
      <c r="C63" s="46" t="s">
        <v>627</v>
      </c>
      <c r="D63" s="46">
        <v>0.94889999999999997</v>
      </c>
      <c r="E63" s="47">
        <f>SUMIF(Data!$E:$E,$C63,Data!$AI:$AI)</f>
        <v>0</v>
      </c>
      <c r="I63" s="13" t="s">
        <v>628</v>
      </c>
      <c r="J63" s="13" t="s">
        <v>629</v>
      </c>
      <c r="K63" s="13" t="s">
        <v>137</v>
      </c>
      <c r="L63" s="13" t="s">
        <v>621</v>
      </c>
      <c r="M63" s="13" t="s">
        <v>630</v>
      </c>
      <c r="N63" s="13" t="s">
        <v>631</v>
      </c>
      <c r="O63" s="13" t="s">
        <v>632</v>
      </c>
      <c r="P63" s="13" t="s">
        <v>633</v>
      </c>
      <c r="Q63" s="13" t="s">
        <v>143</v>
      </c>
      <c r="R63" s="13" t="s">
        <v>634</v>
      </c>
      <c r="S63" s="13" t="s">
        <v>192</v>
      </c>
      <c r="T63" s="13" t="s">
        <v>146</v>
      </c>
      <c r="U63" s="13" t="s">
        <v>110</v>
      </c>
      <c r="V63" s="47">
        <f>SUMIF(Data!$E:$E,$I63,Data!$AI:$AI)</f>
        <v>0</v>
      </c>
    </row>
    <row r="64" spans="1:22" x14ac:dyDescent="0.25">
      <c r="A64" s="46" t="s">
        <v>322</v>
      </c>
      <c r="B64" s="46" t="s">
        <v>120</v>
      </c>
      <c r="C64" s="46" t="s">
        <v>635</v>
      </c>
      <c r="D64" s="46">
        <v>0.10349999999999999</v>
      </c>
      <c r="E64" s="47">
        <f>SUMIF(Data!$E:$E,$C64,Data!$AI:$AI)</f>
        <v>0</v>
      </c>
      <c r="I64" s="13" t="s">
        <v>636</v>
      </c>
      <c r="J64" s="13" t="s">
        <v>637</v>
      </c>
      <c r="K64" s="13" t="s">
        <v>137</v>
      </c>
      <c r="L64" s="13" t="s">
        <v>621</v>
      </c>
      <c r="M64" s="13" t="s">
        <v>638</v>
      </c>
      <c r="N64" s="13">
        <v>226.58099999999999</v>
      </c>
      <c r="O64" s="13" t="s">
        <v>639</v>
      </c>
      <c r="P64" s="13" t="s">
        <v>640</v>
      </c>
      <c r="Q64" s="13" t="s">
        <v>143</v>
      </c>
      <c r="R64" s="13" t="s">
        <v>641</v>
      </c>
      <c r="S64" s="13" t="s">
        <v>642</v>
      </c>
      <c r="T64" s="13" t="s">
        <v>643</v>
      </c>
      <c r="U64" s="13" t="s">
        <v>525</v>
      </c>
      <c r="V64" s="47">
        <f>SUMIF(Data!$E:$E,$I64,Data!$AI:$AI)</f>
        <v>0</v>
      </c>
    </row>
    <row r="65" spans="1:22" x14ac:dyDescent="0.25">
      <c r="A65" s="46" t="s">
        <v>322</v>
      </c>
      <c r="B65" s="46" t="s">
        <v>120</v>
      </c>
      <c r="C65" s="46" t="s">
        <v>644</v>
      </c>
      <c r="D65" s="46">
        <v>1.6003000000000001</v>
      </c>
      <c r="E65" s="47">
        <f>SUMIF(Data!$E:$E,$C65,Data!$AI:$AI)</f>
        <v>0</v>
      </c>
      <c r="I65" s="13" t="s">
        <v>645</v>
      </c>
      <c r="J65" s="13" t="s">
        <v>646</v>
      </c>
      <c r="K65" s="13" t="s">
        <v>137</v>
      </c>
      <c r="L65" s="13" t="s">
        <v>621</v>
      </c>
      <c r="M65" s="13" t="s">
        <v>647</v>
      </c>
      <c r="N65" s="13">
        <v>378.77800000000002</v>
      </c>
      <c r="O65" s="13" t="s">
        <v>648</v>
      </c>
      <c r="P65" s="13" t="s">
        <v>649</v>
      </c>
      <c r="Q65" s="13" t="s">
        <v>416</v>
      </c>
      <c r="R65" s="13" t="s">
        <v>650</v>
      </c>
      <c r="S65" s="13" t="s">
        <v>192</v>
      </c>
      <c r="T65" s="13" t="s">
        <v>146</v>
      </c>
      <c r="U65" s="13" t="s">
        <v>110</v>
      </c>
      <c r="V65" s="47">
        <f>SUMIF(Data!$E:$E,$I65,Data!$AI:$AI)</f>
        <v>0</v>
      </c>
    </row>
    <row r="66" spans="1:22" x14ac:dyDescent="0.25">
      <c r="A66" s="46" t="s">
        <v>322</v>
      </c>
      <c r="B66" s="46" t="s">
        <v>120</v>
      </c>
      <c r="C66" s="46" t="s">
        <v>651</v>
      </c>
      <c r="D66" s="46">
        <v>2.3896000000000002</v>
      </c>
      <c r="E66" s="47">
        <f>SUMIF(Data!$E:$E,$C66,Data!$AI:$AI)</f>
        <v>0</v>
      </c>
      <c r="I66" s="13" t="s">
        <v>652</v>
      </c>
      <c r="J66" s="13" t="s">
        <v>653</v>
      </c>
      <c r="K66" s="13" t="s">
        <v>137</v>
      </c>
      <c r="L66" s="13" t="s">
        <v>654</v>
      </c>
      <c r="M66" s="13" t="s">
        <v>655</v>
      </c>
      <c r="N66" s="13">
        <v>588.21600000000001</v>
      </c>
      <c r="O66" s="13" t="s">
        <v>656</v>
      </c>
      <c r="P66" s="13" t="s">
        <v>657</v>
      </c>
      <c r="Q66" s="13" t="s">
        <v>143</v>
      </c>
      <c r="R66" s="13" t="s">
        <v>658</v>
      </c>
      <c r="S66" s="13" t="s">
        <v>145</v>
      </c>
      <c r="T66" s="13" t="s">
        <v>146</v>
      </c>
      <c r="U66" s="13" t="s">
        <v>110</v>
      </c>
      <c r="V66" s="47">
        <f>SUMIF(Data!$E:$E,$I66,Data!$AI:$AI)</f>
        <v>0</v>
      </c>
    </row>
    <row r="67" spans="1:22" x14ac:dyDescent="0.25">
      <c r="A67" s="46" t="s">
        <v>322</v>
      </c>
      <c r="B67" s="46" t="s">
        <v>120</v>
      </c>
      <c r="C67" s="46" t="s">
        <v>659</v>
      </c>
      <c r="D67" s="46">
        <v>0.72670000000000001</v>
      </c>
      <c r="E67" s="47">
        <f>SUMIF(Data!$E:$E,$C67,Data!$AI:$AI)</f>
        <v>0</v>
      </c>
      <c r="I67" s="13" t="s">
        <v>660</v>
      </c>
      <c r="J67" s="13" t="s">
        <v>661</v>
      </c>
      <c r="K67" s="13" t="s">
        <v>137</v>
      </c>
      <c r="L67" s="13" t="s">
        <v>654</v>
      </c>
      <c r="M67" s="13" t="s">
        <v>662</v>
      </c>
      <c r="N67" s="13">
        <v>436.46300000000002</v>
      </c>
      <c r="O67" s="13" t="s">
        <v>663</v>
      </c>
      <c r="P67" s="13" t="s">
        <v>664</v>
      </c>
      <c r="Q67" s="13" t="s">
        <v>416</v>
      </c>
      <c r="R67" s="13" t="s">
        <v>665</v>
      </c>
      <c r="S67" s="13" t="s">
        <v>192</v>
      </c>
      <c r="T67" s="13" t="s">
        <v>146</v>
      </c>
      <c r="U67" s="13" t="s">
        <v>110</v>
      </c>
      <c r="V67" s="47">
        <f>SUMIF(Data!$E:$E,$I67,Data!$AI:$AI)</f>
        <v>0</v>
      </c>
    </row>
    <row r="68" spans="1:22" x14ac:dyDescent="0.25">
      <c r="A68" s="46" t="s">
        <v>322</v>
      </c>
      <c r="B68" s="46" t="s">
        <v>120</v>
      </c>
      <c r="C68" s="46" t="s">
        <v>666</v>
      </c>
      <c r="D68" s="46">
        <v>6.3799999999999996E-2</v>
      </c>
      <c r="E68" s="47">
        <f>SUMIF(Data!$E:$E,$C68,Data!$AI:$AI)</f>
        <v>0</v>
      </c>
      <c r="I68" s="13" t="s">
        <v>667</v>
      </c>
      <c r="J68" s="13" t="s">
        <v>668</v>
      </c>
      <c r="K68" s="13" t="s">
        <v>137</v>
      </c>
      <c r="L68" s="13" t="s">
        <v>654</v>
      </c>
      <c r="M68" s="13" t="s">
        <v>669</v>
      </c>
      <c r="N68" s="13">
        <v>506.74</v>
      </c>
      <c r="O68" s="13" t="s">
        <v>670</v>
      </c>
      <c r="P68" s="13" t="s">
        <v>671</v>
      </c>
      <c r="Q68" s="13" t="s">
        <v>143</v>
      </c>
      <c r="R68" s="13" t="s">
        <v>672</v>
      </c>
      <c r="S68" s="13" t="s">
        <v>145</v>
      </c>
      <c r="T68" s="13" t="s">
        <v>146</v>
      </c>
      <c r="U68" s="13" t="s">
        <v>110</v>
      </c>
      <c r="V68" s="47">
        <f>SUMIF(Data!$E:$E,$I68,Data!$AI:$AI)</f>
        <v>0</v>
      </c>
    </row>
    <row r="69" spans="1:22" x14ac:dyDescent="0.25">
      <c r="A69" s="46" t="s">
        <v>322</v>
      </c>
      <c r="B69" s="46" t="s">
        <v>120</v>
      </c>
      <c r="C69" s="46" t="s">
        <v>673</v>
      </c>
      <c r="D69" s="46">
        <v>0.20830000000000001</v>
      </c>
      <c r="E69" s="47">
        <f>SUMIF(Data!$E:$E,$C69,Data!$AI:$AI)</f>
        <v>0</v>
      </c>
      <c r="I69" s="13" t="s">
        <v>674</v>
      </c>
      <c r="J69" s="13" t="s">
        <v>675</v>
      </c>
      <c r="K69" s="13" t="s">
        <v>137</v>
      </c>
      <c r="L69" s="13" t="s">
        <v>654</v>
      </c>
      <c r="M69" s="13" t="s">
        <v>676</v>
      </c>
      <c r="N69" s="13">
        <v>475.43799999999999</v>
      </c>
      <c r="O69" s="13" t="s">
        <v>677</v>
      </c>
      <c r="P69" s="13" t="s">
        <v>678</v>
      </c>
      <c r="Q69" s="13" t="s">
        <v>208</v>
      </c>
      <c r="R69" s="13" t="s">
        <v>679</v>
      </c>
      <c r="S69" s="13" t="s">
        <v>192</v>
      </c>
      <c r="T69" s="13" t="s">
        <v>146</v>
      </c>
      <c r="U69" s="13" t="s">
        <v>110</v>
      </c>
      <c r="V69" s="47">
        <f>SUMIF(Data!$E:$E,$I69,Data!$AI:$AI)</f>
        <v>0</v>
      </c>
    </row>
    <row r="70" spans="1:22" x14ac:dyDescent="0.25">
      <c r="A70" s="46" t="s">
        <v>322</v>
      </c>
      <c r="B70" s="46" t="s">
        <v>120</v>
      </c>
      <c r="C70" s="46" t="s">
        <v>680</v>
      </c>
      <c r="D70" s="46">
        <v>0.29799999999999999</v>
      </c>
      <c r="E70" s="47">
        <f>SUMIF(Data!$E:$E,$C70,Data!$AI:$AI)</f>
        <v>0</v>
      </c>
      <c r="I70" s="13" t="s">
        <v>681</v>
      </c>
      <c r="J70" s="13" t="s">
        <v>682</v>
      </c>
      <c r="K70" s="13" t="s">
        <v>137</v>
      </c>
      <c r="L70" s="13" t="s">
        <v>654</v>
      </c>
      <c r="M70" s="13" t="s">
        <v>683</v>
      </c>
      <c r="N70" s="13">
        <v>477.23599999999999</v>
      </c>
      <c r="O70" s="13" t="s">
        <v>684</v>
      </c>
      <c r="P70" s="13" t="s">
        <v>685</v>
      </c>
      <c r="Q70" s="13" t="s">
        <v>143</v>
      </c>
      <c r="R70" s="13" t="s">
        <v>686</v>
      </c>
      <c r="S70" s="13" t="s">
        <v>192</v>
      </c>
      <c r="T70" s="13" t="s">
        <v>146</v>
      </c>
      <c r="U70" s="13" t="s">
        <v>110</v>
      </c>
      <c r="V70" s="47">
        <f>SUMIF(Data!$E:$E,$I70,Data!$AI:$AI)</f>
        <v>0</v>
      </c>
    </row>
    <row r="71" spans="1:22" x14ac:dyDescent="0.25">
      <c r="A71" s="46" t="s">
        <v>322</v>
      </c>
      <c r="B71" s="46" t="s">
        <v>120</v>
      </c>
      <c r="C71" s="46" t="s">
        <v>687</v>
      </c>
      <c r="D71" s="46">
        <v>0.63759999999999994</v>
      </c>
      <c r="E71" s="47">
        <f>SUMIF(Data!$E:$E,$C71,Data!$AI:$AI)</f>
        <v>0</v>
      </c>
      <c r="I71" s="13" t="s">
        <v>688</v>
      </c>
      <c r="J71" s="13" t="s">
        <v>689</v>
      </c>
      <c r="K71" s="13" t="s">
        <v>137</v>
      </c>
      <c r="L71" s="13" t="s">
        <v>690</v>
      </c>
      <c r="M71" s="13" t="s">
        <v>691</v>
      </c>
      <c r="N71" s="13">
        <v>263.358</v>
      </c>
      <c r="O71" s="13" t="s">
        <v>692</v>
      </c>
      <c r="P71" s="13" t="s">
        <v>693</v>
      </c>
      <c r="Q71" s="13" t="s">
        <v>694</v>
      </c>
      <c r="R71" s="13" t="s">
        <v>695</v>
      </c>
      <c r="S71" s="13" t="s">
        <v>192</v>
      </c>
      <c r="T71" s="13" t="s">
        <v>146</v>
      </c>
      <c r="U71" s="13" t="s">
        <v>110</v>
      </c>
      <c r="V71" s="47">
        <f>SUMIF(Data!$E:$E,$I71,Data!$AI:$AI)</f>
        <v>0</v>
      </c>
    </row>
    <row r="72" spans="1:22" x14ac:dyDescent="0.25">
      <c r="A72" s="46" t="s">
        <v>322</v>
      </c>
      <c r="B72" s="46" t="s">
        <v>120</v>
      </c>
      <c r="C72" s="46" t="s">
        <v>696</v>
      </c>
      <c r="D72" s="46">
        <v>0.18079999999999999</v>
      </c>
      <c r="E72" s="47">
        <f>SUMIF(Data!$E:$E,$C72,Data!$AI:$AI)</f>
        <v>0</v>
      </c>
      <c r="I72" s="13" t="s">
        <v>697</v>
      </c>
      <c r="J72" s="13" t="s">
        <v>698</v>
      </c>
      <c r="K72" s="13" t="s">
        <v>137</v>
      </c>
      <c r="L72" s="13" t="s">
        <v>690</v>
      </c>
      <c r="M72" s="13" t="s">
        <v>699</v>
      </c>
      <c r="N72" s="13">
        <v>213.63200000000001</v>
      </c>
      <c r="O72" s="13" t="s">
        <v>700</v>
      </c>
      <c r="P72" s="13" t="s">
        <v>701</v>
      </c>
      <c r="Q72" s="13" t="s">
        <v>143</v>
      </c>
      <c r="R72" s="13" t="s">
        <v>702</v>
      </c>
      <c r="S72" s="13" t="s">
        <v>145</v>
      </c>
      <c r="T72" s="13" t="s">
        <v>146</v>
      </c>
      <c r="U72" s="13" t="s">
        <v>110</v>
      </c>
      <c r="V72" s="47">
        <f>SUMIF(Data!$E:$E,$I72,Data!$AI:$AI)</f>
        <v>0</v>
      </c>
    </row>
    <row r="73" spans="1:22" x14ac:dyDescent="0.25">
      <c r="A73" s="46" t="s">
        <v>322</v>
      </c>
      <c r="B73" s="46" t="s">
        <v>120</v>
      </c>
      <c r="C73" s="46" t="s">
        <v>703</v>
      </c>
      <c r="D73" s="46">
        <v>0.37709999999999999</v>
      </c>
      <c r="E73" s="47">
        <f>SUMIF(Data!$E:$E,$C73,Data!$AI:$AI)</f>
        <v>0</v>
      </c>
      <c r="I73" s="13" t="s">
        <v>704</v>
      </c>
      <c r="J73" s="13" t="s">
        <v>705</v>
      </c>
      <c r="K73" s="13" t="s">
        <v>137</v>
      </c>
      <c r="L73" s="13" t="s">
        <v>690</v>
      </c>
      <c r="M73" s="13" t="s">
        <v>706</v>
      </c>
      <c r="N73" s="13" t="s">
        <v>707</v>
      </c>
      <c r="O73" s="13" t="s">
        <v>708</v>
      </c>
      <c r="P73" s="13" t="s">
        <v>709</v>
      </c>
      <c r="Q73" s="13" t="s">
        <v>208</v>
      </c>
      <c r="R73" s="13" t="s">
        <v>710</v>
      </c>
      <c r="S73" s="13" t="s">
        <v>476</v>
      </c>
      <c r="T73" s="13" t="s">
        <v>477</v>
      </c>
      <c r="U73" s="13" t="s">
        <v>478</v>
      </c>
      <c r="V73" s="47">
        <f>SUMIF(Data!$E:$E,$I73,Data!$AI:$AI)</f>
        <v>0</v>
      </c>
    </row>
    <row r="74" spans="1:22" x14ac:dyDescent="0.25">
      <c r="A74" s="46" t="s">
        <v>322</v>
      </c>
      <c r="B74" s="46" t="s">
        <v>120</v>
      </c>
      <c r="C74" s="46" t="s">
        <v>711</v>
      </c>
      <c r="D74" s="46">
        <v>6.2399999999999997E-2</v>
      </c>
      <c r="E74" s="47">
        <f>SUMIF(Data!$E:$E,$C74,Data!$AI:$AI)</f>
        <v>0</v>
      </c>
      <c r="I74" s="13" t="s">
        <v>712</v>
      </c>
      <c r="J74" s="13" t="s">
        <v>713</v>
      </c>
      <c r="K74" s="13" t="s">
        <v>137</v>
      </c>
      <c r="L74" s="13" t="s">
        <v>690</v>
      </c>
      <c r="M74" s="13" t="s">
        <v>714</v>
      </c>
      <c r="N74" s="13">
        <v>609.73900000000003</v>
      </c>
      <c r="O74" s="13" t="s">
        <v>715</v>
      </c>
      <c r="P74" s="13" t="s">
        <v>716</v>
      </c>
      <c r="Q74" s="13" t="s">
        <v>208</v>
      </c>
      <c r="R74" s="13" t="s">
        <v>717</v>
      </c>
      <c r="S74" s="13" t="s">
        <v>560</v>
      </c>
      <c r="T74" s="13" t="s">
        <v>561</v>
      </c>
      <c r="U74" s="13" t="s">
        <v>525</v>
      </c>
      <c r="V74" s="47">
        <f>SUMIF(Data!$E:$E,$I74,Data!$AI:$AI)</f>
        <v>0</v>
      </c>
    </row>
    <row r="75" spans="1:22" x14ac:dyDescent="0.25">
      <c r="A75" s="46" t="s">
        <v>322</v>
      </c>
      <c r="B75" s="46" t="s">
        <v>120</v>
      </c>
      <c r="C75" s="46" t="s">
        <v>718</v>
      </c>
      <c r="D75" s="46">
        <v>0.20430000000000001</v>
      </c>
      <c r="E75" s="47">
        <f>SUMIF(Data!$E:$E,$C75,Data!$AI:$AI)</f>
        <v>0</v>
      </c>
      <c r="I75" s="13" t="s">
        <v>719</v>
      </c>
      <c r="J75" s="13" t="s">
        <v>720</v>
      </c>
      <c r="K75" s="13" t="s">
        <v>137</v>
      </c>
      <c r="L75" s="13" t="s">
        <v>690</v>
      </c>
      <c r="M75" s="13" t="s">
        <v>721</v>
      </c>
      <c r="N75" s="13">
        <v>781.71400000000006</v>
      </c>
      <c r="O75" s="13" t="s">
        <v>722</v>
      </c>
      <c r="P75" s="13" t="s">
        <v>723</v>
      </c>
      <c r="Q75" s="13" t="s">
        <v>190</v>
      </c>
      <c r="R75" s="13" t="s">
        <v>724</v>
      </c>
      <c r="S75" s="13" t="s">
        <v>725</v>
      </c>
      <c r="T75" s="13" t="s">
        <v>726</v>
      </c>
      <c r="U75" s="13" t="s">
        <v>727</v>
      </c>
      <c r="V75" s="47">
        <f>SUMIF(Data!$E:$E,$I75,Data!$AI:$AI)</f>
        <v>0</v>
      </c>
    </row>
    <row r="76" spans="1:22" x14ac:dyDescent="0.25">
      <c r="A76" s="46" t="s">
        <v>322</v>
      </c>
      <c r="B76" s="46" t="s">
        <v>120</v>
      </c>
      <c r="C76" s="46" t="s">
        <v>728</v>
      </c>
      <c r="D76" s="46">
        <v>6.0100000000000001E-2</v>
      </c>
      <c r="E76" s="47">
        <f>SUMIF(Data!$E:$E,$C76,Data!$AI:$AI)</f>
        <v>0</v>
      </c>
      <c r="I76" s="13" t="s">
        <v>729</v>
      </c>
      <c r="J76" s="13" t="s">
        <v>730</v>
      </c>
      <c r="K76" s="13" t="s">
        <v>137</v>
      </c>
      <c r="L76" s="13" t="s">
        <v>690</v>
      </c>
      <c r="M76" s="13" t="s">
        <v>731</v>
      </c>
      <c r="N76" s="13">
        <v>298.63600000000002</v>
      </c>
      <c r="O76" s="13" t="s">
        <v>732</v>
      </c>
      <c r="P76" s="13" t="s">
        <v>733</v>
      </c>
      <c r="Q76" s="13" t="s">
        <v>734</v>
      </c>
      <c r="R76" s="13" t="s">
        <v>735</v>
      </c>
      <c r="S76" s="13" t="s">
        <v>192</v>
      </c>
      <c r="T76" s="13" t="s">
        <v>146</v>
      </c>
      <c r="U76" s="13" t="s">
        <v>110</v>
      </c>
      <c r="V76" s="47">
        <f>SUMIF(Data!$E:$E,$I76,Data!$AI:$AI)</f>
        <v>0</v>
      </c>
    </row>
    <row r="77" spans="1:22" x14ac:dyDescent="0.25">
      <c r="A77" s="46" t="s">
        <v>322</v>
      </c>
      <c r="B77" s="46" t="s">
        <v>120</v>
      </c>
      <c r="C77" s="46" t="s">
        <v>736</v>
      </c>
      <c r="D77" s="46">
        <v>0.83360000000000001</v>
      </c>
      <c r="E77" s="47">
        <f>SUMIF(Data!$E:$E,$C77,Data!$AI:$AI)</f>
        <v>0</v>
      </c>
      <c r="I77" s="13" t="s">
        <v>737</v>
      </c>
      <c r="J77" s="13" t="s">
        <v>738</v>
      </c>
      <c r="K77" s="13" t="s">
        <v>137</v>
      </c>
      <c r="L77" s="13" t="s">
        <v>739</v>
      </c>
      <c r="M77" s="13" t="s">
        <v>740</v>
      </c>
      <c r="N77" s="13" t="s">
        <v>741</v>
      </c>
      <c r="O77" s="13" t="s">
        <v>742</v>
      </c>
      <c r="P77" s="13" t="s">
        <v>743</v>
      </c>
      <c r="Q77" s="13" t="s">
        <v>260</v>
      </c>
      <c r="R77" s="13" t="s">
        <v>744</v>
      </c>
      <c r="S77" s="13" t="s">
        <v>476</v>
      </c>
      <c r="T77" s="13" t="s">
        <v>477</v>
      </c>
      <c r="U77" s="13" t="s">
        <v>478</v>
      </c>
      <c r="V77" s="47">
        <f>SUMIF(Data!$E:$E,$I77,Data!$AI:$AI)</f>
        <v>0</v>
      </c>
    </row>
    <row r="78" spans="1:22" x14ac:dyDescent="0.25">
      <c r="A78" s="46" t="s">
        <v>322</v>
      </c>
      <c r="B78" s="46" t="s">
        <v>120</v>
      </c>
      <c r="C78" s="46" t="s">
        <v>745</v>
      </c>
      <c r="D78" s="46">
        <v>0.82010000000000005</v>
      </c>
      <c r="E78" s="47">
        <f>SUMIF(Data!$E:$E,$C78,Data!$AI:$AI)</f>
        <v>0</v>
      </c>
      <c r="I78" s="13" t="s">
        <v>746</v>
      </c>
      <c r="J78" s="13" t="s">
        <v>747</v>
      </c>
      <c r="K78" s="13" t="s">
        <v>137</v>
      </c>
      <c r="L78" s="13" t="s">
        <v>748</v>
      </c>
      <c r="M78" s="13" t="s">
        <v>749</v>
      </c>
      <c r="N78" s="13">
        <v>660.62199999999996</v>
      </c>
      <c r="O78" s="13" t="s">
        <v>750</v>
      </c>
      <c r="P78" s="13" t="s">
        <v>751</v>
      </c>
      <c r="Q78" s="13" t="s">
        <v>162</v>
      </c>
      <c r="R78" s="13" t="s">
        <v>752</v>
      </c>
      <c r="S78" s="13" t="s">
        <v>145</v>
      </c>
      <c r="T78" s="13" t="s">
        <v>146</v>
      </c>
      <c r="U78" s="13" t="s">
        <v>110</v>
      </c>
      <c r="V78" s="47">
        <f>SUMIF(Data!$E:$E,$I78,Data!$AI:$AI)</f>
        <v>0</v>
      </c>
    </row>
    <row r="79" spans="1:22" x14ac:dyDescent="0.25">
      <c r="A79" s="46" t="s">
        <v>322</v>
      </c>
      <c r="B79" s="46" t="s">
        <v>120</v>
      </c>
      <c r="C79" s="46" t="s">
        <v>753</v>
      </c>
      <c r="D79" s="46">
        <v>0.27310000000000001</v>
      </c>
      <c r="E79" s="47">
        <f>SUMIF(Data!$E:$E,$C79,Data!$AI:$AI)</f>
        <v>0</v>
      </c>
      <c r="I79" s="13" t="s">
        <v>110</v>
      </c>
      <c r="J79" s="13" t="s">
        <v>754</v>
      </c>
      <c r="K79" s="13" t="s">
        <v>755</v>
      </c>
      <c r="L79" s="13" t="s">
        <v>748</v>
      </c>
      <c r="M79" s="13" t="s">
        <v>756</v>
      </c>
      <c r="N79" s="13" t="s">
        <v>757</v>
      </c>
      <c r="O79" s="13" t="s">
        <v>757</v>
      </c>
      <c r="P79" s="13" t="s">
        <v>758</v>
      </c>
      <c r="Q79" s="13" t="s">
        <v>759</v>
      </c>
      <c r="R79" s="13" t="s">
        <v>760</v>
      </c>
      <c r="S79" s="13" t="s">
        <v>760</v>
      </c>
      <c r="T79" s="13" t="s">
        <v>146</v>
      </c>
      <c r="U79" s="13" t="s">
        <v>110</v>
      </c>
      <c r="V79" s="47">
        <f>SUMIF(Data!$E:$E,$I79,Data!$AI:$AI)</f>
        <v>0</v>
      </c>
    </row>
    <row r="80" spans="1:22" x14ac:dyDescent="0.25">
      <c r="A80" s="46" t="s">
        <v>322</v>
      </c>
      <c r="B80" s="46" t="s">
        <v>120</v>
      </c>
      <c r="C80" s="46" t="s">
        <v>761</v>
      </c>
      <c r="D80" s="46">
        <v>0.36430000000000001</v>
      </c>
      <c r="E80" s="47">
        <f>SUMIF(Data!$E:$E,$C80,Data!$AI:$AI)</f>
        <v>0</v>
      </c>
      <c r="I80" s="13" t="s">
        <v>762</v>
      </c>
      <c r="J80" s="13" t="s">
        <v>763</v>
      </c>
      <c r="K80" s="13" t="s">
        <v>137</v>
      </c>
      <c r="L80" s="13" t="s">
        <v>748</v>
      </c>
      <c r="M80" s="13" t="s">
        <v>764</v>
      </c>
      <c r="N80" s="13">
        <v>991.79700000000003</v>
      </c>
      <c r="O80" s="13" t="s">
        <v>765</v>
      </c>
      <c r="P80" s="13" t="s">
        <v>766</v>
      </c>
      <c r="Q80" s="13" t="s">
        <v>208</v>
      </c>
      <c r="R80" s="13" t="s">
        <v>767</v>
      </c>
      <c r="S80" s="13" t="s">
        <v>768</v>
      </c>
      <c r="T80" s="13" t="s">
        <v>769</v>
      </c>
      <c r="U80" s="13" t="s">
        <v>770</v>
      </c>
      <c r="V80" s="47">
        <f>SUMIF(Data!$E:$E,$I80,Data!$AI:$AI)</f>
        <v>0</v>
      </c>
    </row>
    <row r="81" spans="1:22" x14ac:dyDescent="0.25">
      <c r="A81" s="46" t="s">
        <v>322</v>
      </c>
      <c r="B81" s="46" t="s">
        <v>120</v>
      </c>
      <c r="C81" s="46" t="s">
        <v>771</v>
      </c>
      <c r="D81" s="46">
        <v>3.6400000000000002E-2</v>
      </c>
      <c r="E81" s="47">
        <f>SUMIF(Data!$E:$E,$C81,Data!$AI:$AI)</f>
        <v>0</v>
      </c>
      <c r="I81" s="13" t="s">
        <v>772</v>
      </c>
      <c r="J81" s="13" t="s">
        <v>773</v>
      </c>
      <c r="K81" s="13" t="s">
        <v>137</v>
      </c>
      <c r="L81" s="13" t="s">
        <v>748</v>
      </c>
      <c r="M81" s="13" t="s">
        <v>774</v>
      </c>
      <c r="N81" s="13">
        <v>645.78899999999999</v>
      </c>
      <c r="O81" s="13" t="s">
        <v>775</v>
      </c>
      <c r="P81" s="13" t="s">
        <v>776</v>
      </c>
      <c r="Q81" s="13" t="s">
        <v>143</v>
      </c>
      <c r="R81" s="13" t="s">
        <v>777</v>
      </c>
      <c r="S81" s="13" t="s">
        <v>145</v>
      </c>
      <c r="T81" s="13" t="s">
        <v>146</v>
      </c>
      <c r="U81" s="13" t="s">
        <v>110</v>
      </c>
      <c r="V81" s="47">
        <f>SUMIF(Data!$E:$E,$I81,Data!$AI:$AI)</f>
        <v>0</v>
      </c>
    </row>
    <row r="82" spans="1:22" x14ac:dyDescent="0.25">
      <c r="A82" s="46" t="s">
        <v>322</v>
      </c>
      <c r="B82" s="46" t="s">
        <v>120</v>
      </c>
      <c r="C82" s="46" t="s">
        <v>778</v>
      </c>
      <c r="D82" s="46">
        <v>5.4899999999999997E-2</v>
      </c>
      <c r="E82" s="47">
        <f>SUMIF(Data!$E:$E,$C82,Data!$AI:$AI)</f>
        <v>0</v>
      </c>
      <c r="I82" s="13" t="s">
        <v>779</v>
      </c>
      <c r="J82" s="13" t="s">
        <v>780</v>
      </c>
      <c r="K82" s="13" t="s">
        <v>137</v>
      </c>
      <c r="L82" s="13" t="s">
        <v>781</v>
      </c>
      <c r="M82" s="13" t="s">
        <v>782</v>
      </c>
      <c r="N82" s="13">
        <v>136.833</v>
      </c>
      <c r="O82" s="13" t="s">
        <v>783</v>
      </c>
      <c r="P82" s="13" t="s">
        <v>784</v>
      </c>
      <c r="Q82" s="13" t="s">
        <v>416</v>
      </c>
      <c r="R82" s="13" t="s">
        <v>785</v>
      </c>
      <c r="S82" s="13" t="s">
        <v>192</v>
      </c>
      <c r="T82" s="13" t="s">
        <v>146</v>
      </c>
      <c r="U82" s="13" t="s">
        <v>110</v>
      </c>
      <c r="V82" s="47">
        <f>SUMIF(Data!$E:$E,$I82,Data!$AI:$AI)</f>
        <v>0</v>
      </c>
    </row>
    <row r="83" spans="1:22" x14ac:dyDescent="0.25">
      <c r="A83" s="46" t="s">
        <v>322</v>
      </c>
      <c r="B83" s="46" t="s">
        <v>120</v>
      </c>
      <c r="C83" s="46" t="s">
        <v>786</v>
      </c>
      <c r="D83" s="46">
        <v>0.1032</v>
      </c>
      <c r="E83" s="47">
        <f>SUMIF(Data!$E:$E,$C83,Data!$AI:$AI)</f>
        <v>0</v>
      </c>
      <c r="I83" s="13" t="s">
        <v>787</v>
      </c>
      <c r="J83" s="13" t="s">
        <v>788</v>
      </c>
      <c r="K83" s="13" t="s">
        <v>137</v>
      </c>
      <c r="L83" s="13" t="s">
        <v>781</v>
      </c>
      <c r="M83" s="13" t="s">
        <v>789</v>
      </c>
      <c r="N83" s="13">
        <v>227.40100000000001</v>
      </c>
      <c r="O83" s="13" t="s">
        <v>790</v>
      </c>
      <c r="P83" s="13" t="s">
        <v>791</v>
      </c>
      <c r="Q83" s="13" t="s">
        <v>190</v>
      </c>
      <c r="R83" s="13" t="s">
        <v>792</v>
      </c>
      <c r="S83" s="13" t="s">
        <v>523</v>
      </c>
      <c r="T83" s="13" t="s">
        <v>524</v>
      </c>
      <c r="U83" s="13" t="s">
        <v>525</v>
      </c>
      <c r="V83" s="47">
        <f>SUMIF(Data!$E:$E,$I83,Data!$AI:$AI)</f>
        <v>0</v>
      </c>
    </row>
    <row r="84" spans="1:22" x14ac:dyDescent="0.25">
      <c r="A84" s="46" t="s">
        <v>322</v>
      </c>
      <c r="B84" s="46" t="s">
        <v>120</v>
      </c>
      <c r="C84" s="46" t="s">
        <v>793</v>
      </c>
      <c r="D84" s="46">
        <v>0.67369999999999997</v>
      </c>
      <c r="E84" s="47">
        <f>SUMIF(Data!$E:$E,$C84,Data!$AI:$AI)</f>
        <v>0</v>
      </c>
      <c r="I84" s="13" t="s">
        <v>794</v>
      </c>
      <c r="J84" s="13" t="s">
        <v>795</v>
      </c>
      <c r="K84" s="13" t="s">
        <v>137</v>
      </c>
      <c r="L84" s="13" t="s">
        <v>781</v>
      </c>
      <c r="M84" s="13" t="s">
        <v>796</v>
      </c>
      <c r="N84" s="13">
        <v>306.29700000000003</v>
      </c>
      <c r="O84" s="13" t="s">
        <v>797</v>
      </c>
      <c r="P84" s="13" t="s">
        <v>798</v>
      </c>
      <c r="Q84" s="13" t="s">
        <v>416</v>
      </c>
      <c r="R84" s="13" t="s">
        <v>799</v>
      </c>
      <c r="S84" s="13" t="s">
        <v>192</v>
      </c>
      <c r="T84" s="13" t="s">
        <v>146</v>
      </c>
      <c r="U84" s="13" t="s">
        <v>110</v>
      </c>
      <c r="V84" s="47">
        <f>SUMIF(Data!$E:$E,$I84,Data!$AI:$AI)</f>
        <v>0</v>
      </c>
    </row>
    <row r="85" spans="1:22" x14ac:dyDescent="0.25">
      <c r="A85" s="46" t="s">
        <v>322</v>
      </c>
      <c r="B85" s="46" t="s">
        <v>120</v>
      </c>
      <c r="C85" s="46" t="s">
        <v>800</v>
      </c>
      <c r="D85" s="46">
        <v>3.6055000000000001</v>
      </c>
      <c r="E85" s="47">
        <f>SUMIF(Data!$E:$E,$C85,Data!$AI:$AI)</f>
        <v>0</v>
      </c>
      <c r="I85" s="13" t="s">
        <v>801</v>
      </c>
      <c r="J85" s="13" t="s">
        <v>802</v>
      </c>
      <c r="K85" s="13" t="s">
        <v>137</v>
      </c>
      <c r="L85" s="13" t="s">
        <v>781</v>
      </c>
      <c r="M85" s="13" t="s">
        <v>803</v>
      </c>
      <c r="N85" s="13">
        <v>238.82900000000001</v>
      </c>
      <c r="O85" s="13" t="s">
        <v>804</v>
      </c>
      <c r="P85" s="13" t="s">
        <v>805</v>
      </c>
      <c r="Q85" s="13" t="s">
        <v>806</v>
      </c>
      <c r="R85" s="13" t="s">
        <v>807</v>
      </c>
      <c r="S85" s="13" t="s">
        <v>192</v>
      </c>
      <c r="T85" s="13" t="s">
        <v>146</v>
      </c>
      <c r="U85" s="13" t="s">
        <v>110</v>
      </c>
      <c r="V85" s="47">
        <f>SUMIF(Data!$E:$E,$I85,Data!$AI:$AI)</f>
        <v>0</v>
      </c>
    </row>
    <row r="86" spans="1:22" x14ac:dyDescent="0.25">
      <c r="A86" s="46" t="s">
        <v>322</v>
      </c>
      <c r="B86" s="46" t="s">
        <v>120</v>
      </c>
      <c r="C86" s="46" t="s">
        <v>808</v>
      </c>
      <c r="D86" s="46">
        <v>0.18410000000000001</v>
      </c>
      <c r="E86" s="47">
        <f>SUMIF(Data!$E:$E,$C86,Data!$AI:$AI)</f>
        <v>0</v>
      </c>
      <c r="I86" s="13" t="s">
        <v>809</v>
      </c>
      <c r="J86" s="13" t="s">
        <v>810</v>
      </c>
      <c r="K86" s="13" t="s">
        <v>137</v>
      </c>
      <c r="L86" s="13" t="s">
        <v>811</v>
      </c>
      <c r="M86" s="13" t="s">
        <v>812</v>
      </c>
      <c r="N86" s="13" t="s">
        <v>813</v>
      </c>
      <c r="O86" s="13" t="s">
        <v>814</v>
      </c>
      <c r="P86" s="13" t="s">
        <v>815</v>
      </c>
      <c r="Q86" s="13" t="s">
        <v>224</v>
      </c>
      <c r="R86" s="13" t="s">
        <v>816</v>
      </c>
      <c r="S86" s="13" t="s">
        <v>476</v>
      </c>
      <c r="T86" s="13" t="s">
        <v>477</v>
      </c>
      <c r="U86" s="13" t="s">
        <v>478</v>
      </c>
      <c r="V86" s="47">
        <f>SUMIF(Data!$E:$E,$I86,Data!$AI:$AI)</f>
        <v>0</v>
      </c>
    </row>
    <row r="87" spans="1:22" x14ac:dyDescent="0.25">
      <c r="A87" s="46" t="s">
        <v>322</v>
      </c>
      <c r="B87" s="46" t="s">
        <v>120</v>
      </c>
      <c r="C87" s="46" t="s">
        <v>817</v>
      </c>
      <c r="D87" s="46">
        <v>1.5123</v>
      </c>
      <c r="E87" s="47">
        <f>SUMIF(Data!$E:$E,$C87,Data!$AI:$AI)</f>
        <v>0</v>
      </c>
      <c r="I87" s="13" t="s">
        <v>818</v>
      </c>
      <c r="J87" s="13" t="s">
        <v>819</v>
      </c>
      <c r="K87" s="13" t="s">
        <v>137</v>
      </c>
      <c r="L87" s="13" t="s">
        <v>811</v>
      </c>
      <c r="M87" s="13" t="s">
        <v>820</v>
      </c>
      <c r="N87" s="13" t="s">
        <v>821</v>
      </c>
      <c r="O87" s="13" t="s">
        <v>822</v>
      </c>
      <c r="P87" s="13" t="s">
        <v>823</v>
      </c>
      <c r="Q87" s="13" t="s">
        <v>224</v>
      </c>
      <c r="R87" s="13" t="s">
        <v>824</v>
      </c>
      <c r="S87" s="13" t="s">
        <v>476</v>
      </c>
      <c r="T87" s="13" t="s">
        <v>477</v>
      </c>
      <c r="U87" s="13" t="s">
        <v>478</v>
      </c>
      <c r="V87" s="47">
        <f>SUMIF(Data!$E:$E,$I87,Data!$AI:$AI)</f>
        <v>0</v>
      </c>
    </row>
    <row r="88" spans="1:22" x14ac:dyDescent="0.25">
      <c r="A88" s="46" t="s">
        <v>322</v>
      </c>
      <c r="B88" s="46" t="s">
        <v>120</v>
      </c>
      <c r="C88" s="46" t="s">
        <v>825</v>
      </c>
      <c r="D88" s="46">
        <v>8.6300000000000002E-2</v>
      </c>
      <c r="E88" s="47">
        <f>SUMIF(Data!$E:$E,$C88,Data!$AI:$AI)</f>
        <v>0</v>
      </c>
      <c r="I88" s="13" t="s">
        <v>826</v>
      </c>
      <c r="J88" s="13" t="s">
        <v>827</v>
      </c>
      <c r="K88" s="13" t="s">
        <v>137</v>
      </c>
      <c r="L88" s="13" t="s">
        <v>811</v>
      </c>
      <c r="M88" s="13" t="s">
        <v>828</v>
      </c>
      <c r="N88" s="13" t="s">
        <v>829</v>
      </c>
      <c r="O88" s="13" t="s">
        <v>830</v>
      </c>
      <c r="P88" s="13" t="s">
        <v>831</v>
      </c>
      <c r="Q88" s="13" t="s">
        <v>416</v>
      </c>
      <c r="R88" s="13" t="s">
        <v>832</v>
      </c>
      <c r="S88" s="13" t="s">
        <v>192</v>
      </c>
      <c r="T88" s="13" t="s">
        <v>146</v>
      </c>
      <c r="U88" s="13" t="s">
        <v>110</v>
      </c>
      <c r="V88" s="47">
        <f>SUMIF(Data!$E:$E,$I88,Data!$AI:$AI)</f>
        <v>0</v>
      </c>
    </row>
    <row r="89" spans="1:22" x14ac:dyDescent="0.25">
      <c r="A89" s="46" t="s">
        <v>322</v>
      </c>
      <c r="B89" s="46" t="s">
        <v>120</v>
      </c>
      <c r="C89" s="46" t="s">
        <v>833</v>
      </c>
      <c r="D89" s="46">
        <v>0.2359</v>
      </c>
      <c r="E89" s="47">
        <f>SUMIF(Data!$E:$E,$C89,Data!$AI:$AI)</f>
        <v>0</v>
      </c>
      <c r="I89" s="13" t="s">
        <v>834</v>
      </c>
      <c r="J89" s="13" t="s">
        <v>835</v>
      </c>
      <c r="K89" s="13" t="s">
        <v>137</v>
      </c>
      <c r="L89" s="13" t="s">
        <v>811</v>
      </c>
      <c r="M89" s="13" t="s">
        <v>836</v>
      </c>
      <c r="N89" s="13">
        <v>964.89</v>
      </c>
      <c r="O89" s="13" t="s">
        <v>837</v>
      </c>
      <c r="P89" s="13" t="s">
        <v>838</v>
      </c>
      <c r="Q89" s="13" t="s">
        <v>190</v>
      </c>
      <c r="R89" s="13" t="s">
        <v>839</v>
      </c>
      <c r="S89" s="13" t="s">
        <v>725</v>
      </c>
      <c r="T89" s="13" t="s">
        <v>726</v>
      </c>
      <c r="U89" s="13" t="s">
        <v>727</v>
      </c>
      <c r="V89" s="47">
        <f>SUMIF(Data!$E:$E,$I89,Data!$AI:$AI)</f>
        <v>0</v>
      </c>
    </row>
    <row r="90" spans="1:22" x14ac:dyDescent="0.25">
      <c r="A90" s="46" t="s">
        <v>322</v>
      </c>
      <c r="B90" s="46" t="s">
        <v>120</v>
      </c>
      <c r="C90" s="46" t="s">
        <v>840</v>
      </c>
      <c r="D90" s="46">
        <v>0.74550000000000005</v>
      </c>
      <c r="E90" s="47">
        <f>SUMIF(Data!$E:$E,$C90,Data!$AI:$AI)</f>
        <v>0</v>
      </c>
      <c r="I90" s="13" t="s">
        <v>841</v>
      </c>
      <c r="J90" s="13" t="s">
        <v>842</v>
      </c>
      <c r="K90" s="13" t="s">
        <v>137</v>
      </c>
      <c r="L90" s="13" t="s">
        <v>811</v>
      </c>
      <c r="M90" s="13" t="s">
        <v>843</v>
      </c>
      <c r="N90" s="13">
        <v>943.94299999999998</v>
      </c>
      <c r="O90" s="13" t="s">
        <v>844</v>
      </c>
      <c r="P90" s="13" t="s">
        <v>845</v>
      </c>
      <c r="Q90" s="13" t="s">
        <v>190</v>
      </c>
      <c r="R90" s="13" t="s">
        <v>846</v>
      </c>
      <c r="S90" s="13" t="s">
        <v>847</v>
      </c>
      <c r="T90" s="13" t="s">
        <v>848</v>
      </c>
      <c r="U90" s="13" t="s">
        <v>849</v>
      </c>
      <c r="V90" s="47">
        <f>SUMIF(Data!$E:$E,$I90,Data!$AI:$AI)</f>
        <v>0</v>
      </c>
    </row>
    <row r="91" spans="1:22" x14ac:dyDescent="0.25">
      <c r="A91" s="46" t="s">
        <v>322</v>
      </c>
      <c r="B91" s="46" t="s">
        <v>120</v>
      </c>
      <c r="C91" s="46" t="s">
        <v>850</v>
      </c>
      <c r="D91" s="46">
        <v>0.92430000000000001</v>
      </c>
      <c r="E91" s="47">
        <f>SUMIF(Data!$E:$E,$C91,Data!$AI:$AI)</f>
        <v>0</v>
      </c>
      <c r="I91" s="13" t="s">
        <v>851</v>
      </c>
      <c r="J91" s="13" t="s">
        <v>852</v>
      </c>
      <c r="K91" s="13" t="s">
        <v>137</v>
      </c>
      <c r="L91" s="13" t="s">
        <v>811</v>
      </c>
      <c r="M91" s="13" t="s">
        <v>853</v>
      </c>
      <c r="N91" s="13">
        <v>260.14299999999997</v>
      </c>
      <c r="O91" s="13" t="s">
        <v>854</v>
      </c>
      <c r="P91" s="13" t="s">
        <v>855</v>
      </c>
      <c r="Q91" s="13" t="s">
        <v>208</v>
      </c>
      <c r="R91" s="13" t="s">
        <v>856</v>
      </c>
      <c r="S91" s="13" t="s">
        <v>847</v>
      </c>
      <c r="T91" s="13" t="s">
        <v>848</v>
      </c>
      <c r="U91" s="13" t="s">
        <v>849</v>
      </c>
      <c r="V91" s="47">
        <f>SUMIF(Data!$E:$E,$I91,Data!$AI:$AI)</f>
        <v>0</v>
      </c>
    </row>
    <row r="92" spans="1:22" x14ac:dyDescent="0.25">
      <c r="A92" s="46" t="s">
        <v>322</v>
      </c>
      <c r="B92" s="46" t="s">
        <v>120</v>
      </c>
      <c r="C92" s="46" t="s">
        <v>857</v>
      </c>
      <c r="D92" s="46">
        <v>0.42130000000000001</v>
      </c>
      <c r="E92" s="47">
        <f>SUMIF(Data!$E:$E,$C92,Data!$AI:$AI)</f>
        <v>0</v>
      </c>
      <c r="I92" s="13" t="s">
        <v>858</v>
      </c>
      <c r="J92" s="13" t="s">
        <v>859</v>
      </c>
      <c r="K92" s="13" t="s">
        <v>137</v>
      </c>
      <c r="L92" s="13" t="s">
        <v>811</v>
      </c>
      <c r="M92" s="13" t="s">
        <v>860</v>
      </c>
      <c r="N92" s="13">
        <v>339.51400000000001</v>
      </c>
      <c r="O92" s="13" t="s">
        <v>861</v>
      </c>
      <c r="P92" s="13" t="s">
        <v>862</v>
      </c>
      <c r="Q92" s="13" t="s">
        <v>208</v>
      </c>
      <c r="R92" s="13" t="s">
        <v>863</v>
      </c>
      <c r="S92" s="13" t="s">
        <v>192</v>
      </c>
      <c r="T92" s="13" t="s">
        <v>146</v>
      </c>
      <c r="U92" s="13" t="s">
        <v>110</v>
      </c>
      <c r="V92" s="47">
        <f>SUMIF(Data!$E:$E,$I92,Data!$AI:$AI)</f>
        <v>0</v>
      </c>
    </row>
    <row r="93" spans="1:22" x14ac:dyDescent="0.25">
      <c r="A93" s="46" t="s">
        <v>322</v>
      </c>
      <c r="B93" s="46" t="s">
        <v>120</v>
      </c>
      <c r="C93" s="46" t="s">
        <v>864</v>
      </c>
      <c r="D93" s="46">
        <v>1.6483000000000001</v>
      </c>
      <c r="E93" s="47">
        <f>SUMIF(Data!$E:$E,$C93,Data!$AI:$AI)</f>
        <v>0</v>
      </c>
      <c r="I93" s="13" t="s">
        <v>865</v>
      </c>
      <c r="J93" s="13" t="s">
        <v>866</v>
      </c>
      <c r="K93" s="13" t="s">
        <v>137</v>
      </c>
      <c r="L93" s="13" t="s">
        <v>811</v>
      </c>
      <c r="M93" s="13" t="s">
        <v>867</v>
      </c>
      <c r="N93" s="13">
        <v>411.18900000000002</v>
      </c>
      <c r="O93" s="13" t="s">
        <v>868</v>
      </c>
      <c r="P93" s="13" t="s">
        <v>869</v>
      </c>
      <c r="Q93" s="13" t="s">
        <v>416</v>
      </c>
      <c r="R93" s="13" t="s">
        <v>870</v>
      </c>
      <c r="S93" s="13" t="s">
        <v>523</v>
      </c>
      <c r="T93" s="13" t="s">
        <v>524</v>
      </c>
      <c r="U93" s="13" t="s">
        <v>525</v>
      </c>
      <c r="V93" s="47">
        <f>SUMIF(Data!$E:$E,$I93,Data!$AI:$AI)</f>
        <v>0</v>
      </c>
    </row>
    <row r="94" spans="1:22" x14ac:dyDescent="0.25">
      <c r="A94" s="46" t="s">
        <v>322</v>
      </c>
      <c r="B94" s="46" t="s">
        <v>120</v>
      </c>
      <c r="C94" s="46" t="s">
        <v>871</v>
      </c>
      <c r="D94" s="46">
        <v>0.18390000000000001</v>
      </c>
      <c r="E94" s="47">
        <f>SUMIF(Data!$E:$E,$C94,Data!$AI:$AI)</f>
        <v>0</v>
      </c>
      <c r="I94" s="13" t="s">
        <v>872</v>
      </c>
      <c r="J94" s="13" t="s">
        <v>873</v>
      </c>
      <c r="K94" s="13" t="s">
        <v>137</v>
      </c>
      <c r="L94" s="13" t="s">
        <v>874</v>
      </c>
      <c r="M94" s="13" t="s">
        <v>875</v>
      </c>
      <c r="N94" s="13">
        <v>424.75099999999998</v>
      </c>
      <c r="O94" s="13" t="s">
        <v>876</v>
      </c>
      <c r="P94" s="13" t="s">
        <v>877</v>
      </c>
      <c r="Q94" s="13" t="s">
        <v>162</v>
      </c>
      <c r="R94" s="13" t="s">
        <v>878</v>
      </c>
      <c r="S94" s="13" t="s">
        <v>192</v>
      </c>
      <c r="T94" s="13" t="s">
        <v>146</v>
      </c>
      <c r="U94" s="13" t="s">
        <v>110</v>
      </c>
      <c r="V94" s="47">
        <f>SUMIF(Data!$E:$E,$I94,Data!$AI:$AI)</f>
        <v>0</v>
      </c>
    </row>
    <row r="95" spans="1:22" x14ac:dyDescent="0.25">
      <c r="A95" s="46" t="s">
        <v>322</v>
      </c>
      <c r="B95" s="46" t="s">
        <v>120</v>
      </c>
      <c r="C95" s="46" t="s">
        <v>879</v>
      </c>
      <c r="D95" s="46">
        <v>7.4993999999999996</v>
      </c>
      <c r="E95" s="47">
        <f>SUMIF(Data!$E:$E,$C95,Data!$AI:$AI)</f>
        <v>0</v>
      </c>
      <c r="I95" s="13">
        <v>6758</v>
      </c>
      <c r="J95" s="13" t="s">
        <v>880</v>
      </c>
      <c r="K95" s="13" t="s">
        <v>137</v>
      </c>
      <c r="L95" s="13" t="s">
        <v>874</v>
      </c>
      <c r="M95" s="13" t="s">
        <v>881</v>
      </c>
      <c r="N95" s="13">
        <v>706.39800000000002</v>
      </c>
      <c r="O95" s="13" t="s">
        <v>882</v>
      </c>
      <c r="P95" s="13" t="s">
        <v>883</v>
      </c>
      <c r="Q95" s="13" t="s">
        <v>162</v>
      </c>
      <c r="R95" s="13" t="s">
        <v>884</v>
      </c>
      <c r="S95" s="13" t="s">
        <v>441</v>
      </c>
      <c r="T95" s="13" t="s">
        <v>442</v>
      </c>
      <c r="U95" s="13" t="s">
        <v>443</v>
      </c>
      <c r="V95" s="47">
        <f>SUMIF(Data!$E:$E,$I95,Data!$AI:$AI)</f>
        <v>0</v>
      </c>
    </row>
    <row r="96" spans="1:22" x14ac:dyDescent="0.25">
      <c r="A96" s="46" t="s">
        <v>322</v>
      </c>
      <c r="B96" s="46" t="s">
        <v>120</v>
      </c>
      <c r="C96" s="46" t="s">
        <v>885</v>
      </c>
      <c r="D96" s="46">
        <v>0.72789999999999999</v>
      </c>
      <c r="E96" s="47">
        <f>SUMIF(Data!$E:$E,$C96,Data!$AI:$AI)</f>
        <v>0</v>
      </c>
      <c r="I96" s="13" t="s">
        <v>886</v>
      </c>
      <c r="J96" s="13" t="s">
        <v>887</v>
      </c>
      <c r="K96" s="13" t="s">
        <v>137</v>
      </c>
      <c r="L96" s="13" t="s">
        <v>874</v>
      </c>
      <c r="M96" s="13" t="s">
        <v>888</v>
      </c>
      <c r="N96" s="13">
        <v>700.34500000000003</v>
      </c>
      <c r="O96" s="13" t="s">
        <v>889</v>
      </c>
      <c r="P96" s="13" t="s">
        <v>890</v>
      </c>
      <c r="Q96" s="13" t="s">
        <v>208</v>
      </c>
      <c r="R96" s="13" t="s">
        <v>891</v>
      </c>
      <c r="S96" s="13" t="s">
        <v>192</v>
      </c>
      <c r="T96" s="13" t="s">
        <v>146</v>
      </c>
      <c r="U96" s="13" t="s">
        <v>110</v>
      </c>
      <c r="V96" s="47">
        <f>SUMIF(Data!$E:$E,$I96,Data!$AI:$AI)</f>
        <v>0</v>
      </c>
    </row>
    <row r="97" spans="1:22" x14ac:dyDescent="0.25">
      <c r="A97" s="46" t="s">
        <v>322</v>
      </c>
      <c r="B97" s="46" t="s">
        <v>120</v>
      </c>
      <c r="C97" s="46" t="s">
        <v>892</v>
      </c>
      <c r="D97" s="46">
        <v>0.22559999999999999</v>
      </c>
      <c r="E97" s="47">
        <f>SUMIF(Data!$E:$E,$C97,Data!$AI:$AI)</f>
        <v>0</v>
      </c>
      <c r="I97" s="13" t="s">
        <v>893</v>
      </c>
      <c r="J97" s="13" t="s">
        <v>894</v>
      </c>
      <c r="K97" s="13" t="s">
        <v>137</v>
      </c>
      <c r="L97" s="13" t="s">
        <v>895</v>
      </c>
      <c r="M97" s="13" t="s">
        <v>896</v>
      </c>
      <c r="N97" s="13">
        <v>991.11699999999996</v>
      </c>
      <c r="O97" s="13" t="s">
        <v>897</v>
      </c>
      <c r="P97" s="13" t="s">
        <v>898</v>
      </c>
      <c r="Q97" s="13" t="s">
        <v>224</v>
      </c>
      <c r="R97" s="13" t="s">
        <v>899</v>
      </c>
      <c r="S97" s="13" t="s">
        <v>192</v>
      </c>
      <c r="T97" s="13" t="s">
        <v>146</v>
      </c>
      <c r="U97" s="13" t="s">
        <v>110</v>
      </c>
      <c r="V97" s="47">
        <f>SUMIF(Data!$E:$E,$I97,Data!$AI:$AI)</f>
        <v>0</v>
      </c>
    </row>
    <row r="98" spans="1:22" x14ac:dyDescent="0.25">
      <c r="A98" s="46" t="s">
        <v>322</v>
      </c>
      <c r="B98" s="46" t="s">
        <v>120</v>
      </c>
      <c r="C98" s="46" t="s">
        <v>900</v>
      </c>
      <c r="D98" s="46">
        <v>0.52139999999999997</v>
      </c>
      <c r="E98" s="47">
        <f>SUMIF(Data!$E:$E,$C98,Data!$AI:$AI)</f>
        <v>0</v>
      </c>
      <c r="I98" s="13" t="s">
        <v>901</v>
      </c>
      <c r="J98" s="13" t="s">
        <v>902</v>
      </c>
      <c r="K98" s="13" t="s">
        <v>137</v>
      </c>
      <c r="L98" s="13" t="s">
        <v>895</v>
      </c>
      <c r="M98" s="13" t="s">
        <v>903</v>
      </c>
      <c r="N98" s="13">
        <v>390.11200000000002</v>
      </c>
      <c r="O98" s="13" t="s">
        <v>904</v>
      </c>
      <c r="P98" s="13" t="s">
        <v>905</v>
      </c>
      <c r="Q98" s="13" t="s">
        <v>190</v>
      </c>
      <c r="R98" s="13" t="s">
        <v>906</v>
      </c>
      <c r="S98" s="13" t="s">
        <v>192</v>
      </c>
      <c r="T98" s="13" t="s">
        <v>146</v>
      </c>
      <c r="U98" s="13" t="s">
        <v>110</v>
      </c>
      <c r="V98" s="47">
        <f>SUMIF(Data!$E:$E,$I98,Data!$AI:$AI)</f>
        <v>0</v>
      </c>
    </row>
    <row r="99" spans="1:22" x14ac:dyDescent="0.25">
      <c r="A99" s="46" t="s">
        <v>322</v>
      </c>
      <c r="B99" s="46" t="s">
        <v>120</v>
      </c>
      <c r="C99" s="46" t="s">
        <v>907</v>
      </c>
      <c r="D99" s="46">
        <v>0.24940000000000001</v>
      </c>
      <c r="E99" s="47">
        <f>SUMIF(Data!$E:$E,$C99,Data!$AI:$AI)</f>
        <v>0</v>
      </c>
      <c r="I99" s="13" t="s">
        <v>908</v>
      </c>
      <c r="J99" s="13" t="s">
        <v>909</v>
      </c>
      <c r="K99" s="13" t="s">
        <v>137</v>
      </c>
      <c r="L99" s="13" t="s">
        <v>895</v>
      </c>
      <c r="M99" s="13" t="s">
        <v>910</v>
      </c>
      <c r="N99" s="13">
        <v>23.094999999999999</v>
      </c>
      <c r="O99" s="13" t="s">
        <v>911</v>
      </c>
      <c r="P99" s="13" t="s">
        <v>912</v>
      </c>
      <c r="Q99" s="13" t="s">
        <v>162</v>
      </c>
      <c r="R99" s="13" t="s">
        <v>913</v>
      </c>
      <c r="S99" s="13" t="s">
        <v>145</v>
      </c>
      <c r="T99" s="13" t="s">
        <v>146</v>
      </c>
      <c r="U99" s="13" t="s">
        <v>110</v>
      </c>
      <c r="V99" s="47">
        <f>SUMIF(Data!$E:$E,$I99,Data!$AI:$AI)</f>
        <v>0</v>
      </c>
    </row>
    <row r="100" spans="1:22" x14ac:dyDescent="0.25">
      <c r="A100" s="46" t="s">
        <v>322</v>
      </c>
      <c r="B100" s="46" t="s">
        <v>120</v>
      </c>
      <c r="C100" s="46" t="s">
        <v>914</v>
      </c>
      <c r="D100" s="46">
        <v>1.1346000000000001</v>
      </c>
      <c r="E100" s="47">
        <f>SUMIF(Data!$E:$E,$C100,Data!$AI:$AI)</f>
        <v>0</v>
      </c>
      <c r="I100" s="13" t="s">
        <v>915</v>
      </c>
      <c r="J100" s="13" t="s">
        <v>916</v>
      </c>
      <c r="K100" s="13" t="s">
        <v>137</v>
      </c>
      <c r="L100" s="13" t="s">
        <v>917</v>
      </c>
      <c r="M100" s="13" t="s">
        <v>918</v>
      </c>
      <c r="N100" s="13">
        <v>314.20100000000002</v>
      </c>
      <c r="O100" s="13" t="s">
        <v>919</v>
      </c>
      <c r="P100" s="13" t="s">
        <v>920</v>
      </c>
      <c r="Q100" s="13" t="s">
        <v>416</v>
      </c>
      <c r="R100" s="13" t="s">
        <v>921</v>
      </c>
      <c r="S100" s="13" t="s">
        <v>560</v>
      </c>
      <c r="T100" s="13" t="s">
        <v>561</v>
      </c>
      <c r="U100" s="13" t="s">
        <v>525</v>
      </c>
      <c r="V100" s="47">
        <f>SUMIF(Data!$E:$E,$I100,Data!$AI:$AI)</f>
        <v>0</v>
      </c>
    </row>
    <row r="101" spans="1:22" x14ac:dyDescent="0.25">
      <c r="A101" s="46" t="s">
        <v>322</v>
      </c>
      <c r="B101" s="46" t="s">
        <v>120</v>
      </c>
      <c r="C101" s="46" t="s">
        <v>922</v>
      </c>
      <c r="D101" s="46">
        <v>1.8365</v>
      </c>
      <c r="E101" s="47">
        <f>SUMIF(Data!$E:$E,$C101,Data!$AI:$AI)</f>
        <v>0</v>
      </c>
      <c r="I101" s="13" t="s">
        <v>923</v>
      </c>
      <c r="J101" s="13" t="s">
        <v>924</v>
      </c>
      <c r="K101" s="13" t="s">
        <v>137</v>
      </c>
      <c r="L101" s="13" t="s">
        <v>917</v>
      </c>
      <c r="M101" s="13" t="s">
        <v>925</v>
      </c>
      <c r="N101" s="13">
        <v>816.73400000000004</v>
      </c>
      <c r="O101" s="13" t="s">
        <v>926</v>
      </c>
      <c r="P101" s="13" t="s">
        <v>927</v>
      </c>
      <c r="Q101" s="13" t="s">
        <v>190</v>
      </c>
      <c r="R101" s="13" t="s">
        <v>928</v>
      </c>
      <c r="S101" s="13" t="s">
        <v>192</v>
      </c>
      <c r="T101" s="13" t="s">
        <v>146</v>
      </c>
      <c r="U101" s="13" t="s">
        <v>110</v>
      </c>
      <c r="V101" s="47">
        <f>SUMIF(Data!$E:$E,$I101,Data!$AI:$AI)</f>
        <v>0</v>
      </c>
    </row>
    <row r="102" spans="1:22" x14ac:dyDescent="0.25">
      <c r="A102" s="46" t="s">
        <v>322</v>
      </c>
      <c r="B102" s="46" t="s">
        <v>120</v>
      </c>
      <c r="C102" s="46" t="s">
        <v>929</v>
      </c>
      <c r="D102" s="46">
        <v>3.5</v>
      </c>
      <c r="E102" s="47">
        <f>SUMIF(Data!$E:$E,$C102,Data!$AI:$AI)</f>
        <v>0</v>
      </c>
      <c r="I102" s="13" t="s">
        <v>930</v>
      </c>
      <c r="J102" s="13" t="s">
        <v>931</v>
      </c>
      <c r="K102" s="13" t="s">
        <v>137</v>
      </c>
      <c r="L102" s="13" t="s">
        <v>917</v>
      </c>
      <c r="M102" s="13" t="s">
        <v>932</v>
      </c>
      <c r="N102" s="13">
        <v>323.98399999999998</v>
      </c>
      <c r="O102" s="13" t="s">
        <v>933</v>
      </c>
      <c r="P102" s="13" t="s">
        <v>934</v>
      </c>
      <c r="Q102" s="13" t="s">
        <v>143</v>
      </c>
      <c r="R102" s="13" t="s">
        <v>935</v>
      </c>
      <c r="S102" s="13" t="s">
        <v>192</v>
      </c>
      <c r="T102" s="13" t="s">
        <v>146</v>
      </c>
      <c r="U102" s="13" t="s">
        <v>110</v>
      </c>
      <c r="V102" s="47">
        <f>SUMIF(Data!$E:$E,$I102,Data!$AI:$AI)</f>
        <v>0</v>
      </c>
    </row>
    <row r="103" spans="1:22" x14ac:dyDescent="0.25">
      <c r="A103" s="46" t="s">
        <v>322</v>
      </c>
      <c r="B103" s="46" t="s">
        <v>120</v>
      </c>
      <c r="C103" s="46" t="s">
        <v>936</v>
      </c>
      <c r="D103" s="46">
        <v>0.22289999999999999</v>
      </c>
      <c r="E103" s="47">
        <f>SUMIF(Data!$E:$E,$C103,Data!$AI:$AI)</f>
        <v>0</v>
      </c>
      <c r="I103" s="13" t="s">
        <v>937</v>
      </c>
      <c r="J103" s="13" t="s">
        <v>938</v>
      </c>
      <c r="K103" s="13" t="s">
        <v>137</v>
      </c>
      <c r="L103" s="13" t="s">
        <v>939</v>
      </c>
      <c r="M103" s="13" t="s">
        <v>940</v>
      </c>
      <c r="N103" s="13">
        <v>686.11800000000005</v>
      </c>
      <c r="O103" s="13" t="s">
        <v>941</v>
      </c>
      <c r="P103" s="13" t="s">
        <v>942</v>
      </c>
      <c r="Q103" s="13" t="s">
        <v>208</v>
      </c>
      <c r="R103" s="13" t="s">
        <v>943</v>
      </c>
      <c r="S103" s="13" t="s">
        <v>145</v>
      </c>
      <c r="T103" s="13" t="s">
        <v>146</v>
      </c>
      <c r="U103" s="13" t="s">
        <v>110</v>
      </c>
      <c r="V103" s="47">
        <f>SUMIF(Data!$E:$E,$I103,Data!$AI:$AI)</f>
        <v>0</v>
      </c>
    </row>
    <row r="104" spans="1:22" x14ac:dyDescent="0.25">
      <c r="A104" s="46" t="s">
        <v>322</v>
      </c>
      <c r="B104" s="46" t="s">
        <v>120</v>
      </c>
      <c r="C104" s="46" t="s">
        <v>944</v>
      </c>
      <c r="D104" s="46">
        <v>0.57999999999999996</v>
      </c>
      <c r="E104" s="47">
        <f>SUMIF(Data!$E:$E,$C104,Data!$AI:$AI)</f>
        <v>0</v>
      </c>
      <c r="I104" s="13" t="s">
        <v>945</v>
      </c>
      <c r="J104" s="13" t="s">
        <v>946</v>
      </c>
      <c r="K104" s="13" t="s">
        <v>137</v>
      </c>
      <c r="L104" s="13" t="s">
        <v>939</v>
      </c>
      <c r="M104" s="13" t="s">
        <v>947</v>
      </c>
      <c r="N104" s="13">
        <v>304.47500000000002</v>
      </c>
      <c r="O104" s="13" t="s">
        <v>948</v>
      </c>
      <c r="P104" s="13" t="s">
        <v>949</v>
      </c>
      <c r="Q104" s="13" t="s">
        <v>416</v>
      </c>
      <c r="R104" s="13" t="s">
        <v>950</v>
      </c>
      <c r="S104" s="13" t="s">
        <v>192</v>
      </c>
      <c r="T104" s="13" t="s">
        <v>146</v>
      </c>
      <c r="U104" s="13" t="s">
        <v>110</v>
      </c>
      <c r="V104" s="47">
        <f>SUMIF(Data!$E:$E,$I104,Data!$AI:$AI)</f>
        <v>0</v>
      </c>
    </row>
    <row r="105" spans="1:22" x14ac:dyDescent="0.25">
      <c r="A105" s="46" t="s">
        <v>322</v>
      </c>
      <c r="B105" s="46" t="s">
        <v>120</v>
      </c>
      <c r="C105" s="46" t="s">
        <v>951</v>
      </c>
      <c r="D105" s="46">
        <v>0.7601</v>
      </c>
      <c r="E105" s="47">
        <f>SUMIF(Data!$E:$E,$C105,Data!$AI:$AI)</f>
        <v>0</v>
      </c>
      <c r="I105" s="13" t="s">
        <v>952</v>
      </c>
      <c r="J105" s="13" t="s">
        <v>953</v>
      </c>
      <c r="K105" s="13" t="s">
        <v>137</v>
      </c>
      <c r="L105" s="13" t="s">
        <v>939</v>
      </c>
      <c r="M105" s="13" t="s">
        <v>954</v>
      </c>
      <c r="N105" s="13">
        <v>86.563999999999993</v>
      </c>
      <c r="O105" s="13" t="s">
        <v>955</v>
      </c>
      <c r="P105" s="13" t="s">
        <v>956</v>
      </c>
      <c r="Q105" s="13" t="s">
        <v>172</v>
      </c>
      <c r="R105" s="13" t="s">
        <v>957</v>
      </c>
      <c r="S105" s="13" t="s">
        <v>145</v>
      </c>
      <c r="T105" s="13" t="s">
        <v>146</v>
      </c>
      <c r="U105" s="13" t="s">
        <v>110</v>
      </c>
      <c r="V105" s="47">
        <f>SUMIF(Data!$E:$E,$I105,Data!$AI:$AI)</f>
        <v>0</v>
      </c>
    </row>
    <row r="106" spans="1:22" x14ac:dyDescent="0.25">
      <c r="A106" s="46" t="s">
        <v>322</v>
      </c>
      <c r="B106" s="46" t="s">
        <v>120</v>
      </c>
      <c r="C106" s="46" t="s">
        <v>958</v>
      </c>
      <c r="D106" s="46">
        <v>0.50290000000000001</v>
      </c>
      <c r="E106" s="47">
        <f>SUMIF(Data!$E:$E,$C106,Data!$AI:$AI)</f>
        <v>0</v>
      </c>
      <c r="I106" s="13" t="s">
        <v>959</v>
      </c>
      <c r="J106" s="13" t="s">
        <v>960</v>
      </c>
      <c r="K106" s="13" t="s">
        <v>137</v>
      </c>
      <c r="L106" s="13" t="s">
        <v>939</v>
      </c>
      <c r="M106" s="13" t="s">
        <v>961</v>
      </c>
      <c r="N106" s="13">
        <v>371.1</v>
      </c>
      <c r="O106" s="13" t="s">
        <v>962</v>
      </c>
      <c r="P106" s="13" t="s">
        <v>963</v>
      </c>
      <c r="Q106" s="13" t="s">
        <v>416</v>
      </c>
      <c r="R106" s="13" t="s">
        <v>964</v>
      </c>
      <c r="S106" s="13" t="s">
        <v>192</v>
      </c>
      <c r="T106" s="13" t="s">
        <v>146</v>
      </c>
      <c r="U106" s="13" t="s">
        <v>110</v>
      </c>
      <c r="V106" s="47">
        <f>SUMIF(Data!$E:$E,$I106,Data!$AI:$AI)</f>
        <v>0</v>
      </c>
    </row>
    <row r="107" spans="1:22" x14ac:dyDescent="0.25">
      <c r="A107" s="46" t="s">
        <v>322</v>
      </c>
      <c r="B107" s="46" t="s">
        <v>120</v>
      </c>
      <c r="C107" s="46" t="s">
        <v>965</v>
      </c>
      <c r="D107" s="46">
        <v>1.5849</v>
      </c>
      <c r="E107" s="47">
        <f>SUMIF(Data!$E:$E,$C107,Data!$AI:$AI)</f>
        <v>0</v>
      </c>
      <c r="I107" s="13" t="s">
        <v>966</v>
      </c>
      <c r="J107" s="13" t="s">
        <v>967</v>
      </c>
      <c r="K107" s="13" t="s">
        <v>137</v>
      </c>
      <c r="L107" s="13" t="s">
        <v>939</v>
      </c>
      <c r="M107" s="13" t="s">
        <v>968</v>
      </c>
      <c r="N107" s="13" t="s">
        <v>969</v>
      </c>
      <c r="O107" s="13" t="s">
        <v>970</v>
      </c>
      <c r="P107" s="13" t="s">
        <v>971</v>
      </c>
      <c r="Q107" s="13" t="s">
        <v>260</v>
      </c>
      <c r="R107" s="13" t="s">
        <v>972</v>
      </c>
      <c r="S107" s="13" t="s">
        <v>725</v>
      </c>
      <c r="T107" s="13" t="s">
        <v>726</v>
      </c>
      <c r="U107" s="13" t="s">
        <v>727</v>
      </c>
      <c r="V107" s="47">
        <f>SUMIF(Data!$E:$E,$I107,Data!$AI:$AI)</f>
        <v>0</v>
      </c>
    </row>
    <row r="108" spans="1:22" x14ac:dyDescent="0.25">
      <c r="A108" s="46" t="s">
        <v>322</v>
      </c>
      <c r="B108" s="46" t="s">
        <v>120</v>
      </c>
      <c r="C108" s="46" t="s">
        <v>973</v>
      </c>
      <c r="D108" s="46">
        <v>0.36480000000000001</v>
      </c>
      <c r="E108" s="47">
        <f>SUMIF(Data!$E:$E,$C108,Data!$AI:$AI)</f>
        <v>0</v>
      </c>
      <c r="I108" s="13" t="s">
        <v>974</v>
      </c>
      <c r="J108" s="13" t="s">
        <v>975</v>
      </c>
      <c r="K108" s="13" t="s">
        <v>137</v>
      </c>
      <c r="L108" s="13" t="s">
        <v>939</v>
      </c>
      <c r="M108" s="13" t="s">
        <v>976</v>
      </c>
      <c r="N108" s="13">
        <v>766.99800000000005</v>
      </c>
      <c r="O108" s="13" t="s">
        <v>977</v>
      </c>
      <c r="P108" s="13" t="s">
        <v>978</v>
      </c>
      <c r="Q108" s="13" t="s">
        <v>224</v>
      </c>
      <c r="R108" s="13" t="s">
        <v>979</v>
      </c>
      <c r="S108" s="13" t="s">
        <v>642</v>
      </c>
      <c r="T108" s="13" t="s">
        <v>643</v>
      </c>
      <c r="U108" s="13" t="s">
        <v>525</v>
      </c>
      <c r="V108" s="47">
        <f>SUMIF(Data!$E:$E,$I108,Data!$AI:$AI)</f>
        <v>0</v>
      </c>
    </row>
    <row r="109" spans="1:22" x14ac:dyDescent="0.25">
      <c r="A109" s="46" t="s">
        <v>322</v>
      </c>
      <c r="B109" s="46" t="s">
        <v>120</v>
      </c>
      <c r="C109" s="46" t="s">
        <v>980</v>
      </c>
      <c r="D109" s="46">
        <v>0.66579999999999995</v>
      </c>
      <c r="E109" s="47">
        <f>SUMIF(Data!$E:$E,$C109,Data!$AI:$AI)</f>
        <v>0</v>
      </c>
      <c r="I109" s="13" t="s">
        <v>981</v>
      </c>
      <c r="J109" s="13" t="s">
        <v>982</v>
      </c>
      <c r="K109" s="13" t="s">
        <v>137</v>
      </c>
      <c r="L109" s="13" t="s">
        <v>939</v>
      </c>
      <c r="M109" s="13" t="s">
        <v>983</v>
      </c>
      <c r="N109" s="13" t="s">
        <v>984</v>
      </c>
      <c r="O109" s="13" t="s">
        <v>985</v>
      </c>
      <c r="P109" s="13" t="s">
        <v>986</v>
      </c>
      <c r="Q109" s="13" t="s">
        <v>734</v>
      </c>
      <c r="R109" s="13" t="s">
        <v>987</v>
      </c>
      <c r="S109" s="13" t="s">
        <v>847</v>
      </c>
      <c r="T109" s="13" t="s">
        <v>848</v>
      </c>
      <c r="U109" s="13" t="s">
        <v>849</v>
      </c>
      <c r="V109" s="47">
        <f>SUMIF(Data!$E:$E,$I109,Data!$AI:$AI)</f>
        <v>0</v>
      </c>
    </row>
    <row r="110" spans="1:22" x14ac:dyDescent="0.25">
      <c r="A110" s="46" t="s">
        <v>322</v>
      </c>
      <c r="B110" s="46" t="s">
        <v>120</v>
      </c>
      <c r="C110" s="46" t="s">
        <v>988</v>
      </c>
      <c r="D110" s="46">
        <v>2.9317000000000002</v>
      </c>
      <c r="E110" s="47">
        <f>SUMIF(Data!$E:$E,$C110,Data!$AI:$AI)</f>
        <v>0</v>
      </c>
      <c r="I110" s="13" t="s">
        <v>989</v>
      </c>
      <c r="J110" s="13" t="s">
        <v>990</v>
      </c>
      <c r="K110" s="13" t="s">
        <v>137</v>
      </c>
      <c r="L110" s="13" t="s">
        <v>991</v>
      </c>
      <c r="M110" s="13" t="s">
        <v>992</v>
      </c>
      <c r="N110" s="13">
        <v>199.79499999999999</v>
      </c>
      <c r="O110" s="13" t="s">
        <v>993</v>
      </c>
      <c r="P110" s="13" t="s">
        <v>994</v>
      </c>
      <c r="Q110" s="13" t="s">
        <v>208</v>
      </c>
      <c r="R110" s="13" t="s">
        <v>995</v>
      </c>
      <c r="S110" s="13" t="s">
        <v>192</v>
      </c>
      <c r="T110" s="13" t="s">
        <v>146</v>
      </c>
      <c r="U110" s="13" t="s">
        <v>110</v>
      </c>
      <c r="V110" s="47">
        <f>SUMIF(Data!$E:$E,$I110,Data!$AI:$AI)</f>
        <v>0</v>
      </c>
    </row>
    <row r="111" spans="1:22" x14ac:dyDescent="0.25">
      <c r="A111" s="46" t="s">
        <v>322</v>
      </c>
      <c r="B111" s="46" t="s">
        <v>120</v>
      </c>
      <c r="C111" s="46" t="s">
        <v>996</v>
      </c>
      <c r="D111" s="46">
        <v>3.0099999999999998E-2</v>
      </c>
      <c r="E111" s="47">
        <f>SUMIF(Data!$E:$E,$C111,Data!$AI:$AI)</f>
        <v>0</v>
      </c>
      <c r="I111" s="13" t="s">
        <v>997</v>
      </c>
      <c r="J111" s="13" t="s">
        <v>998</v>
      </c>
      <c r="K111" s="13" t="s">
        <v>137</v>
      </c>
      <c r="L111" s="13" t="s">
        <v>991</v>
      </c>
      <c r="M111" s="13" t="s">
        <v>999</v>
      </c>
      <c r="N111" s="13">
        <v>773.01199999999994</v>
      </c>
      <c r="O111" s="13" t="s">
        <v>1000</v>
      </c>
      <c r="P111" s="13" t="s">
        <v>1001</v>
      </c>
      <c r="Q111" s="13" t="s">
        <v>224</v>
      </c>
      <c r="R111" s="13" t="s">
        <v>1002</v>
      </c>
      <c r="S111" s="13" t="s">
        <v>145</v>
      </c>
      <c r="T111" s="13" t="s">
        <v>146</v>
      </c>
      <c r="U111" s="13" t="s">
        <v>110</v>
      </c>
      <c r="V111" s="47">
        <f>SUMIF(Data!$E:$E,$I111,Data!$AI:$AI)</f>
        <v>0</v>
      </c>
    </row>
    <row r="112" spans="1:22" x14ac:dyDescent="0.25">
      <c r="A112" s="46" t="s">
        <v>322</v>
      </c>
      <c r="B112" s="46" t="s">
        <v>120</v>
      </c>
      <c r="C112" s="46" t="s">
        <v>1003</v>
      </c>
      <c r="D112" s="46">
        <v>4.5594999999999999</v>
      </c>
      <c r="E112" s="47">
        <f>SUMIF(Data!$E:$E,$C112,Data!$AI:$AI)</f>
        <v>0</v>
      </c>
      <c r="I112" s="13" t="s">
        <v>1004</v>
      </c>
      <c r="J112" s="13" t="s">
        <v>1005</v>
      </c>
      <c r="K112" s="13" t="s">
        <v>137</v>
      </c>
      <c r="L112" s="13" t="s">
        <v>991</v>
      </c>
      <c r="M112" s="13" t="s">
        <v>1006</v>
      </c>
      <c r="N112" s="13">
        <v>135.29599999999999</v>
      </c>
      <c r="O112" s="13" t="s">
        <v>1007</v>
      </c>
      <c r="P112" s="13" t="s">
        <v>1008</v>
      </c>
      <c r="Q112" s="13" t="s">
        <v>208</v>
      </c>
      <c r="R112" s="13" t="s">
        <v>1009</v>
      </c>
      <c r="S112" s="13" t="s">
        <v>192</v>
      </c>
      <c r="T112" s="13" t="s">
        <v>146</v>
      </c>
      <c r="U112" s="13" t="s">
        <v>110</v>
      </c>
      <c r="V112" s="47">
        <f>SUMIF(Data!$E:$E,$I112,Data!$AI:$AI)</f>
        <v>0</v>
      </c>
    </row>
    <row r="113" spans="1:22" x14ac:dyDescent="0.25">
      <c r="A113" s="46" t="s">
        <v>322</v>
      </c>
      <c r="B113" s="46" t="s">
        <v>120</v>
      </c>
      <c r="C113" s="46" t="s">
        <v>1010</v>
      </c>
      <c r="D113" s="46">
        <v>0.70699999999999996</v>
      </c>
      <c r="E113" s="47">
        <f>SUMIF(Data!$E:$E,$C113,Data!$AI:$AI)</f>
        <v>0</v>
      </c>
      <c r="I113" s="13" t="s">
        <v>1011</v>
      </c>
      <c r="J113" s="13" t="s">
        <v>1012</v>
      </c>
      <c r="K113" s="13" t="s">
        <v>137</v>
      </c>
      <c r="L113" s="13" t="s">
        <v>991</v>
      </c>
      <c r="M113" s="13" t="s">
        <v>1013</v>
      </c>
      <c r="N113" s="13">
        <v>736.86</v>
      </c>
      <c r="O113" s="13" t="s">
        <v>1014</v>
      </c>
      <c r="P113" s="13" t="s">
        <v>1015</v>
      </c>
      <c r="Q113" s="13" t="s">
        <v>190</v>
      </c>
      <c r="R113" s="13" t="s">
        <v>1016</v>
      </c>
      <c r="S113" s="13" t="s">
        <v>192</v>
      </c>
      <c r="T113" s="13" t="s">
        <v>146</v>
      </c>
      <c r="U113" s="13" t="s">
        <v>110</v>
      </c>
      <c r="V113" s="47">
        <f>SUMIF(Data!$E:$E,$I113,Data!$AI:$AI)</f>
        <v>0</v>
      </c>
    </row>
    <row r="114" spans="1:22" x14ac:dyDescent="0.25">
      <c r="A114" s="46" t="s">
        <v>322</v>
      </c>
      <c r="B114" s="46" t="s">
        <v>120</v>
      </c>
      <c r="C114" s="46" t="s">
        <v>1017</v>
      </c>
      <c r="D114" s="46">
        <v>0.77359999999999995</v>
      </c>
      <c r="E114" s="47">
        <f>SUMIF(Data!$E:$E,$C114,Data!$AI:$AI)</f>
        <v>0</v>
      </c>
      <c r="I114" s="13" t="s">
        <v>1018</v>
      </c>
      <c r="J114" s="13" t="s">
        <v>1019</v>
      </c>
      <c r="K114" s="13" t="s">
        <v>137</v>
      </c>
      <c r="L114" s="13" t="s">
        <v>991</v>
      </c>
      <c r="M114" s="13" t="s">
        <v>1020</v>
      </c>
      <c r="N114" s="13">
        <v>491.09199999999998</v>
      </c>
      <c r="O114" s="13" t="s">
        <v>1021</v>
      </c>
      <c r="P114" s="13" t="s">
        <v>1022</v>
      </c>
      <c r="Q114" s="13" t="s">
        <v>208</v>
      </c>
      <c r="R114" s="13" t="s">
        <v>1023</v>
      </c>
      <c r="S114" s="13" t="s">
        <v>523</v>
      </c>
      <c r="T114" s="13" t="s">
        <v>524</v>
      </c>
      <c r="U114" s="13" t="s">
        <v>525</v>
      </c>
      <c r="V114" s="47">
        <f>SUMIF(Data!$E:$E,$I114,Data!$AI:$AI)</f>
        <v>0</v>
      </c>
    </row>
    <row r="115" spans="1:22" x14ac:dyDescent="0.25">
      <c r="A115" s="46" t="s">
        <v>322</v>
      </c>
      <c r="B115" s="46" t="s">
        <v>120</v>
      </c>
      <c r="C115" s="46" t="s">
        <v>1024</v>
      </c>
      <c r="D115" s="46">
        <v>0.20069999999999999</v>
      </c>
      <c r="E115" s="47">
        <f>SUMIF(Data!$E:$E,$C115,Data!$AI:$AI)</f>
        <v>0</v>
      </c>
      <c r="I115" s="13" t="s">
        <v>1025</v>
      </c>
      <c r="J115" s="13" t="s">
        <v>1026</v>
      </c>
      <c r="K115" s="13" t="s">
        <v>137</v>
      </c>
      <c r="L115" s="13" t="s">
        <v>991</v>
      </c>
      <c r="M115" s="13" t="s">
        <v>1027</v>
      </c>
      <c r="N115" s="13">
        <v>169.36799999999999</v>
      </c>
      <c r="O115" s="13" t="s">
        <v>1028</v>
      </c>
      <c r="P115" s="13" t="s">
        <v>1029</v>
      </c>
      <c r="Q115" s="13" t="s">
        <v>190</v>
      </c>
      <c r="R115" s="13" t="s">
        <v>1030</v>
      </c>
      <c r="S115" s="13" t="s">
        <v>192</v>
      </c>
      <c r="T115" s="13" t="s">
        <v>146</v>
      </c>
      <c r="U115" s="13" t="s">
        <v>110</v>
      </c>
      <c r="V115" s="47">
        <f>SUMIF(Data!$E:$E,$I115,Data!$AI:$AI)</f>
        <v>0</v>
      </c>
    </row>
    <row r="116" spans="1:22" x14ac:dyDescent="0.25">
      <c r="A116" s="46" t="s">
        <v>322</v>
      </c>
      <c r="B116" s="46" t="s">
        <v>120</v>
      </c>
      <c r="C116" s="46" t="s">
        <v>1031</v>
      </c>
      <c r="D116" s="46">
        <v>2.2189999999999999</v>
      </c>
      <c r="E116" s="47">
        <f>SUMIF(Data!$E:$E,$C116,Data!$AI:$AI)</f>
        <v>0</v>
      </c>
      <c r="I116" s="13" t="s">
        <v>1032</v>
      </c>
      <c r="J116" s="13" t="s">
        <v>1033</v>
      </c>
      <c r="K116" s="13" t="s">
        <v>137</v>
      </c>
      <c r="L116" s="13" t="s">
        <v>991</v>
      </c>
      <c r="M116" s="13" t="s">
        <v>1034</v>
      </c>
      <c r="N116" s="13">
        <v>655.74400000000003</v>
      </c>
      <c r="O116" s="13" t="s">
        <v>1035</v>
      </c>
      <c r="P116" s="13" t="s">
        <v>1036</v>
      </c>
      <c r="Q116" s="13" t="s">
        <v>162</v>
      </c>
      <c r="R116" s="13" t="s">
        <v>1037</v>
      </c>
      <c r="S116" s="13" t="s">
        <v>192</v>
      </c>
      <c r="T116" s="13" t="s">
        <v>146</v>
      </c>
      <c r="U116" s="13" t="s">
        <v>110</v>
      </c>
      <c r="V116" s="47">
        <f>SUMIF(Data!$E:$E,$I116,Data!$AI:$AI)</f>
        <v>0</v>
      </c>
    </row>
    <row r="117" spans="1:22" x14ac:dyDescent="0.25">
      <c r="A117" s="46" t="s">
        <v>322</v>
      </c>
      <c r="B117" s="46" t="s">
        <v>120</v>
      </c>
      <c r="C117" s="46" t="s">
        <v>1038</v>
      </c>
      <c r="D117" s="46">
        <v>0.22120000000000001</v>
      </c>
      <c r="E117" s="47">
        <f>SUMIF(Data!$E:$E,$C117,Data!$AI:$AI)</f>
        <v>0</v>
      </c>
      <c r="I117" s="13" t="s">
        <v>1039</v>
      </c>
      <c r="J117" s="13" t="s">
        <v>1040</v>
      </c>
      <c r="K117" s="13" t="s">
        <v>137</v>
      </c>
      <c r="L117" s="13" t="s">
        <v>1041</v>
      </c>
      <c r="M117" s="13" t="s">
        <v>1042</v>
      </c>
      <c r="N117" s="13">
        <v>145.554</v>
      </c>
      <c r="O117" s="13" t="s">
        <v>1043</v>
      </c>
      <c r="P117" s="13" t="s">
        <v>1044</v>
      </c>
      <c r="Q117" s="13" t="s">
        <v>208</v>
      </c>
      <c r="R117" s="13" t="s">
        <v>1045</v>
      </c>
      <c r="S117" s="13" t="s">
        <v>192</v>
      </c>
      <c r="T117" s="13" t="s">
        <v>146</v>
      </c>
      <c r="U117" s="13" t="s">
        <v>110</v>
      </c>
      <c r="V117" s="47">
        <f>SUMIF(Data!$E:$E,$I117,Data!$AI:$AI)</f>
        <v>0</v>
      </c>
    </row>
    <row r="118" spans="1:22" x14ac:dyDescent="0.25">
      <c r="A118" s="46" t="s">
        <v>322</v>
      </c>
      <c r="B118" s="46" t="s">
        <v>120</v>
      </c>
      <c r="C118" s="46" t="s">
        <v>1046</v>
      </c>
      <c r="D118" s="46">
        <v>0.56059999999999999</v>
      </c>
      <c r="E118" s="47">
        <f>SUMIF(Data!$E:$E,$C118,Data!$AI:$AI)</f>
        <v>0</v>
      </c>
      <c r="I118" s="13" t="s">
        <v>1047</v>
      </c>
      <c r="J118" s="13" t="s">
        <v>1048</v>
      </c>
      <c r="K118" s="13" t="s">
        <v>137</v>
      </c>
      <c r="L118" s="13" t="s">
        <v>1041</v>
      </c>
      <c r="M118" s="13" t="s">
        <v>1049</v>
      </c>
      <c r="N118" s="13">
        <v>194.70599999999999</v>
      </c>
      <c r="O118" s="13" t="s">
        <v>1050</v>
      </c>
      <c r="P118" s="13" t="s">
        <v>1051</v>
      </c>
      <c r="Q118" s="13" t="s">
        <v>190</v>
      </c>
      <c r="R118" s="13" t="s">
        <v>1052</v>
      </c>
      <c r="S118" s="13" t="s">
        <v>145</v>
      </c>
      <c r="T118" s="13" t="s">
        <v>146</v>
      </c>
      <c r="U118" s="13" t="s">
        <v>110</v>
      </c>
      <c r="V118" s="47">
        <f>SUMIF(Data!$E:$E,$I118,Data!$AI:$AI)</f>
        <v>0</v>
      </c>
    </row>
    <row r="119" spans="1:22" x14ac:dyDescent="0.25">
      <c r="A119" s="46" t="s">
        <v>322</v>
      </c>
      <c r="B119" s="46" t="s">
        <v>120</v>
      </c>
      <c r="C119" s="46" t="s">
        <v>1053</v>
      </c>
      <c r="D119" s="46">
        <v>0.21390000000000001</v>
      </c>
      <c r="E119" s="47">
        <f>SUMIF(Data!$E:$E,$C119,Data!$AI:$AI)</f>
        <v>0</v>
      </c>
      <c r="I119" s="13">
        <v>9984</v>
      </c>
      <c r="J119" s="13" t="s">
        <v>1054</v>
      </c>
      <c r="K119" s="13" t="s">
        <v>137</v>
      </c>
      <c r="L119" s="13" t="s">
        <v>1041</v>
      </c>
      <c r="M119" s="13" t="s">
        <v>1055</v>
      </c>
      <c r="N119" s="13">
        <v>890.22199999999998</v>
      </c>
      <c r="O119" s="13" t="s">
        <v>1056</v>
      </c>
      <c r="P119" s="13" t="s">
        <v>1057</v>
      </c>
      <c r="Q119" s="13" t="s">
        <v>172</v>
      </c>
      <c r="R119" s="13" t="s">
        <v>1058</v>
      </c>
      <c r="S119" s="13" t="s">
        <v>441</v>
      </c>
      <c r="T119" s="13" t="s">
        <v>442</v>
      </c>
      <c r="U119" s="13" t="s">
        <v>443</v>
      </c>
      <c r="V119" s="47">
        <f>SUMIF(Data!$E:$E,$I119,Data!$AI:$AI)</f>
        <v>0</v>
      </c>
    </row>
    <row r="120" spans="1:22" x14ac:dyDescent="0.25">
      <c r="A120" s="46" t="s">
        <v>322</v>
      </c>
      <c r="B120" s="46" t="s">
        <v>120</v>
      </c>
      <c r="C120" s="46" t="s">
        <v>1059</v>
      </c>
      <c r="D120" s="46">
        <v>0.50019999999999998</v>
      </c>
      <c r="E120" s="47">
        <f>SUMIF(Data!$E:$E,$C120,Data!$AI:$AI)</f>
        <v>0</v>
      </c>
      <c r="I120" s="13" t="s">
        <v>1060</v>
      </c>
      <c r="J120" s="13" t="s">
        <v>1061</v>
      </c>
      <c r="K120" s="13" t="s">
        <v>137</v>
      </c>
      <c r="L120" s="13" t="s">
        <v>1041</v>
      </c>
      <c r="M120" s="13" t="s">
        <v>1062</v>
      </c>
      <c r="N120" s="13">
        <v>603.40300000000002</v>
      </c>
      <c r="O120" s="13" t="s">
        <v>1063</v>
      </c>
      <c r="P120" s="13" t="s">
        <v>1064</v>
      </c>
      <c r="Q120" s="13" t="s">
        <v>260</v>
      </c>
      <c r="R120" s="13" t="s">
        <v>1065</v>
      </c>
      <c r="S120" s="13" t="s">
        <v>192</v>
      </c>
      <c r="T120" s="13" t="s">
        <v>146</v>
      </c>
      <c r="U120" s="13" t="s">
        <v>110</v>
      </c>
      <c r="V120" s="47">
        <f>SUMIF(Data!$E:$E,$I120,Data!$AI:$AI)</f>
        <v>0</v>
      </c>
    </row>
    <row r="121" spans="1:22" x14ac:dyDescent="0.25">
      <c r="A121" s="46" t="s">
        <v>322</v>
      </c>
      <c r="B121" s="46" t="s">
        <v>120</v>
      </c>
      <c r="C121" s="46" t="s">
        <v>1066</v>
      </c>
      <c r="D121" s="46">
        <v>0.1414</v>
      </c>
      <c r="E121" s="47">
        <f>SUMIF(Data!$E:$E,$C121,Data!$AI:$AI)</f>
        <v>0</v>
      </c>
      <c r="I121" s="13" t="s">
        <v>1067</v>
      </c>
      <c r="J121" s="13" t="s">
        <v>1068</v>
      </c>
      <c r="K121" s="13" t="s">
        <v>137</v>
      </c>
      <c r="L121" s="13" t="s">
        <v>1041</v>
      </c>
      <c r="M121" s="13" t="s">
        <v>1069</v>
      </c>
      <c r="N121" s="13">
        <v>247.374</v>
      </c>
      <c r="O121" s="13" t="s">
        <v>1070</v>
      </c>
      <c r="P121" s="13" t="s">
        <v>1071</v>
      </c>
      <c r="Q121" s="13" t="s">
        <v>190</v>
      </c>
      <c r="R121" s="13" t="s">
        <v>1072</v>
      </c>
      <c r="S121" s="13" t="s">
        <v>192</v>
      </c>
      <c r="T121" s="13" t="s">
        <v>146</v>
      </c>
      <c r="U121" s="13" t="s">
        <v>110</v>
      </c>
      <c r="V121" s="47">
        <f>SUMIF(Data!$E:$E,$I121,Data!$AI:$AI)</f>
        <v>0</v>
      </c>
    </row>
    <row r="122" spans="1:22" x14ac:dyDescent="0.25">
      <c r="A122" s="46" t="s">
        <v>322</v>
      </c>
      <c r="B122" s="46" t="s">
        <v>120</v>
      </c>
      <c r="C122" s="46" t="s">
        <v>1073</v>
      </c>
      <c r="D122" s="46">
        <v>4.48E-2</v>
      </c>
      <c r="E122" s="47">
        <f>SUMIF(Data!$E:$E,$C122,Data!$AI:$AI)</f>
        <v>0</v>
      </c>
      <c r="I122" s="13" t="s">
        <v>1074</v>
      </c>
      <c r="J122" s="13" t="s">
        <v>1075</v>
      </c>
      <c r="K122" s="13" t="s">
        <v>137</v>
      </c>
      <c r="L122" s="13" t="s">
        <v>1041</v>
      </c>
      <c r="M122" s="13" t="s">
        <v>1076</v>
      </c>
      <c r="N122" s="13">
        <v>227.96700000000001</v>
      </c>
      <c r="O122" s="13" t="s">
        <v>1077</v>
      </c>
      <c r="P122" s="13" t="s">
        <v>1078</v>
      </c>
      <c r="Q122" s="13" t="s">
        <v>143</v>
      </c>
      <c r="R122" s="13" t="s">
        <v>1079</v>
      </c>
      <c r="S122" s="13" t="s">
        <v>145</v>
      </c>
      <c r="T122" s="13" t="s">
        <v>146</v>
      </c>
      <c r="U122" s="13" t="s">
        <v>110</v>
      </c>
      <c r="V122" s="47">
        <f>SUMIF(Data!$E:$E,$I122,Data!$AI:$AI)</f>
        <v>0</v>
      </c>
    </row>
    <row r="123" spans="1:22" x14ac:dyDescent="0.25">
      <c r="A123" s="46" t="s">
        <v>322</v>
      </c>
      <c r="B123" s="46" t="s">
        <v>120</v>
      </c>
      <c r="C123" s="46" t="s">
        <v>1080</v>
      </c>
      <c r="D123" s="46">
        <v>0.1958</v>
      </c>
      <c r="E123" s="47">
        <f>SUMIF(Data!$E:$E,$C123,Data!$AI:$AI)</f>
        <v>0</v>
      </c>
      <c r="I123" s="13" t="s">
        <v>1081</v>
      </c>
      <c r="J123" s="13" t="s">
        <v>1082</v>
      </c>
      <c r="K123" s="13" t="s">
        <v>137</v>
      </c>
      <c r="L123" s="13" t="s">
        <v>1041</v>
      </c>
      <c r="M123" s="13" t="s">
        <v>1083</v>
      </c>
      <c r="N123" s="13">
        <v>131.89099999999999</v>
      </c>
      <c r="O123" s="13" t="s">
        <v>1084</v>
      </c>
      <c r="P123" s="13" t="s">
        <v>1085</v>
      </c>
      <c r="Q123" s="13" t="s">
        <v>224</v>
      </c>
      <c r="R123" s="13" t="s">
        <v>1086</v>
      </c>
      <c r="S123" s="13" t="s">
        <v>560</v>
      </c>
      <c r="T123" s="13" t="s">
        <v>561</v>
      </c>
      <c r="U123" s="13" t="s">
        <v>525</v>
      </c>
      <c r="V123" s="47">
        <f>SUMIF(Data!$E:$E,$I123,Data!$AI:$AI)</f>
        <v>0</v>
      </c>
    </row>
    <row r="124" spans="1:22" x14ac:dyDescent="0.25">
      <c r="A124" s="46" t="s">
        <v>322</v>
      </c>
      <c r="B124" s="46" t="s">
        <v>120</v>
      </c>
      <c r="C124" s="46" t="s">
        <v>1087</v>
      </c>
      <c r="D124" s="46">
        <v>1.1862999999999999</v>
      </c>
      <c r="E124" s="47">
        <f>SUMIF(Data!$E:$E,$C124,Data!$AI:$AI)</f>
        <v>0</v>
      </c>
      <c r="I124" s="13" t="s">
        <v>1088</v>
      </c>
      <c r="J124" s="13" t="s">
        <v>1089</v>
      </c>
      <c r="K124" s="13" t="s">
        <v>137</v>
      </c>
      <c r="L124" s="13" t="s">
        <v>1041</v>
      </c>
      <c r="M124" s="13" t="s">
        <v>1090</v>
      </c>
      <c r="N124" s="13">
        <v>132.6</v>
      </c>
      <c r="O124" s="13" t="s">
        <v>1091</v>
      </c>
      <c r="P124" s="13" t="s">
        <v>1092</v>
      </c>
      <c r="Q124" s="13" t="s">
        <v>190</v>
      </c>
      <c r="R124" s="13" t="s">
        <v>1093</v>
      </c>
      <c r="S124" s="13" t="s">
        <v>192</v>
      </c>
      <c r="T124" s="13" t="s">
        <v>146</v>
      </c>
      <c r="U124" s="13" t="s">
        <v>110</v>
      </c>
      <c r="V124" s="47">
        <f>SUMIF(Data!$E:$E,$I124,Data!$AI:$AI)</f>
        <v>0</v>
      </c>
    </row>
    <row r="125" spans="1:22" x14ac:dyDescent="0.25">
      <c r="A125" s="46" t="s">
        <v>322</v>
      </c>
      <c r="B125" s="46" t="s">
        <v>120</v>
      </c>
      <c r="C125" s="46" t="s">
        <v>1094</v>
      </c>
      <c r="D125" s="46">
        <v>6.5600000000000006E-2</v>
      </c>
      <c r="E125" s="47">
        <f>SUMIF(Data!$E:$E,$C125,Data!$AI:$AI)</f>
        <v>0</v>
      </c>
      <c r="I125" s="13" t="s">
        <v>1095</v>
      </c>
      <c r="J125" s="13" t="s">
        <v>1096</v>
      </c>
      <c r="K125" s="13" t="s">
        <v>137</v>
      </c>
      <c r="L125" s="13" t="s">
        <v>1041</v>
      </c>
      <c r="M125" s="13" t="s">
        <v>1097</v>
      </c>
      <c r="N125" s="13">
        <v>139.114</v>
      </c>
      <c r="O125" s="13" t="s">
        <v>1098</v>
      </c>
      <c r="P125" s="13" t="s">
        <v>1099</v>
      </c>
      <c r="Q125" s="13" t="s">
        <v>143</v>
      </c>
      <c r="R125" s="13" t="s">
        <v>1100</v>
      </c>
      <c r="S125" s="13" t="s">
        <v>145</v>
      </c>
      <c r="T125" s="13" t="s">
        <v>146</v>
      </c>
      <c r="U125" s="13" t="s">
        <v>110</v>
      </c>
      <c r="V125" s="47">
        <f>SUMIF(Data!$E:$E,$I125,Data!$AI:$AI)</f>
        <v>0</v>
      </c>
    </row>
    <row r="126" spans="1:22" x14ac:dyDescent="0.25">
      <c r="A126" s="46" t="s">
        <v>1101</v>
      </c>
      <c r="B126" s="46" t="s">
        <v>120</v>
      </c>
      <c r="C126" s="49">
        <v>197</v>
      </c>
      <c r="D126" s="46">
        <v>18.8139</v>
      </c>
      <c r="E126" s="47">
        <f>SUMIF(Data!$E:$E,$C126,Data!$AI:$AI)</f>
        <v>0</v>
      </c>
      <c r="I126" s="13" t="s">
        <v>1102</v>
      </c>
      <c r="J126" s="13" t="s">
        <v>1103</v>
      </c>
      <c r="K126" s="13" t="s">
        <v>137</v>
      </c>
      <c r="L126" s="13" t="s">
        <v>1104</v>
      </c>
      <c r="M126" s="13" t="s">
        <v>1105</v>
      </c>
      <c r="N126" s="13">
        <v>179.566</v>
      </c>
      <c r="O126" s="13" t="s">
        <v>1106</v>
      </c>
      <c r="P126" s="13" t="s">
        <v>1107</v>
      </c>
      <c r="Q126" s="13" t="s">
        <v>208</v>
      </c>
      <c r="R126" s="13" t="s">
        <v>1108</v>
      </c>
      <c r="S126" s="13" t="s">
        <v>192</v>
      </c>
      <c r="T126" s="13" t="s">
        <v>146</v>
      </c>
      <c r="U126" s="13" t="s">
        <v>110</v>
      </c>
      <c r="V126" s="47">
        <f>SUMIF(Data!$E:$E,$I126,Data!$AI:$AI)</f>
        <v>0</v>
      </c>
    </row>
    <row r="127" spans="1:22" x14ac:dyDescent="0.25">
      <c r="A127" s="46" t="s">
        <v>1101</v>
      </c>
      <c r="B127" s="46" t="s">
        <v>120</v>
      </c>
      <c r="C127" s="49">
        <v>202</v>
      </c>
      <c r="D127" s="46">
        <v>16.282499999999999</v>
      </c>
      <c r="E127" s="47">
        <f>SUMIF(Data!$E:$E,$C127,Data!$AI:$AI)</f>
        <v>0</v>
      </c>
      <c r="I127" s="13" t="s">
        <v>1109</v>
      </c>
      <c r="J127" s="13" t="s">
        <v>1110</v>
      </c>
      <c r="K127" s="13" t="s">
        <v>137</v>
      </c>
      <c r="L127" s="13" t="s">
        <v>1104</v>
      </c>
      <c r="M127" s="13" t="s">
        <v>1111</v>
      </c>
      <c r="N127" s="13">
        <v>62.82</v>
      </c>
      <c r="O127" s="13" t="s">
        <v>1112</v>
      </c>
      <c r="P127" s="13" t="s">
        <v>1113</v>
      </c>
      <c r="Q127" s="13" t="s">
        <v>208</v>
      </c>
      <c r="R127" s="13" t="s">
        <v>1114</v>
      </c>
      <c r="S127" s="13" t="s">
        <v>145</v>
      </c>
      <c r="T127" s="13" t="s">
        <v>146</v>
      </c>
      <c r="U127" s="13" t="s">
        <v>110</v>
      </c>
      <c r="V127" s="47">
        <f>SUMIF(Data!$E:$E,$I127,Data!$AI:$AI)</f>
        <v>0</v>
      </c>
    </row>
    <row r="128" spans="1:22" x14ac:dyDescent="0.25">
      <c r="A128" s="46" t="s">
        <v>1101</v>
      </c>
      <c r="B128" s="46" t="s">
        <v>120</v>
      </c>
      <c r="C128" s="49">
        <v>210</v>
      </c>
      <c r="D128" s="46">
        <v>10.3735</v>
      </c>
      <c r="E128" s="47">
        <f>SUMIF(Data!$E:$E,$C128,Data!$AI:$AI)</f>
        <v>0</v>
      </c>
      <c r="I128" s="13" t="s">
        <v>1115</v>
      </c>
      <c r="J128" s="13" t="s">
        <v>1116</v>
      </c>
      <c r="K128" s="13" t="s">
        <v>137</v>
      </c>
      <c r="L128" s="13" t="s">
        <v>1104</v>
      </c>
      <c r="M128" s="13" t="s">
        <v>1117</v>
      </c>
      <c r="N128" s="13">
        <v>319.33699999999999</v>
      </c>
      <c r="O128" s="13" t="s">
        <v>1118</v>
      </c>
      <c r="P128" s="13" t="s">
        <v>1119</v>
      </c>
      <c r="Q128" s="13" t="s">
        <v>143</v>
      </c>
      <c r="R128" s="13" t="s">
        <v>1120</v>
      </c>
      <c r="S128" s="13" t="s">
        <v>145</v>
      </c>
      <c r="T128" s="13" t="s">
        <v>146</v>
      </c>
      <c r="U128" s="13" t="s">
        <v>110</v>
      </c>
      <c r="V128" s="47">
        <f>SUMIF(Data!$E:$E,$I128,Data!$AI:$AI)</f>
        <v>0</v>
      </c>
    </row>
    <row r="129" spans="1:22" x14ac:dyDescent="0.25">
      <c r="A129" s="46" t="s">
        <v>1101</v>
      </c>
      <c r="B129" s="46" t="s">
        <v>120</v>
      </c>
      <c r="C129" s="49">
        <v>212</v>
      </c>
      <c r="D129" s="46">
        <v>8.6831999999999994</v>
      </c>
      <c r="E129" s="47">
        <f>SUMIF(Data!$E:$E,$C129,Data!$AI:$AI)</f>
        <v>0</v>
      </c>
      <c r="I129" s="13" t="s">
        <v>1121</v>
      </c>
      <c r="J129" s="13" t="s">
        <v>1121</v>
      </c>
      <c r="K129" s="13" t="s">
        <v>137</v>
      </c>
      <c r="L129" s="13" t="s">
        <v>1104</v>
      </c>
      <c r="M129" s="13" t="s">
        <v>1122</v>
      </c>
      <c r="N129" s="13" t="s">
        <v>1123</v>
      </c>
      <c r="O129" s="13" t="s">
        <v>1124</v>
      </c>
      <c r="P129" s="13" t="s">
        <v>1125</v>
      </c>
      <c r="Q129" s="13" t="s">
        <v>694</v>
      </c>
      <c r="R129" s="13" t="s">
        <v>1126</v>
      </c>
      <c r="S129" s="13" t="s">
        <v>1127</v>
      </c>
      <c r="T129" s="13" t="s">
        <v>1128</v>
      </c>
      <c r="U129" s="13" t="s">
        <v>525</v>
      </c>
      <c r="V129" s="47">
        <f>SUMIF(Data!$E:$E,$I129,Data!$AI:$AI)</f>
        <v>0</v>
      </c>
    </row>
    <row r="130" spans="1:22" x14ac:dyDescent="0.25">
      <c r="A130" s="46" t="s">
        <v>1101</v>
      </c>
      <c r="B130" s="46" t="s">
        <v>120</v>
      </c>
      <c r="C130" s="46" t="s">
        <v>1129</v>
      </c>
      <c r="D130" s="46">
        <v>1.6008</v>
      </c>
      <c r="E130" s="47">
        <f>SUMIF(Data!$E:$E,$C130,Data!$AI:$AI)</f>
        <v>0</v>
      </c>
      <c r="I130" s="13" t="s">
        <v>1130</v>
      </c>
      <c r="J130" s="13" t="s">
        <v>1131</v>
      </c>
      <c r="K130" s="13" t="s">
        <v>137</v>
      </c>
      <c r="L130" s="13" t="s">
        <v>1104</v>
      </c>
      <c r="M130" s="13" t="s">
        <v>1132</v>
      </c>
      <c r="N130" s="13">
        <v>404.548</v>
      </c>
      <c r="O130" s="13" t="s">
        <v>1133</v>
      </c>
      <c r="P130" s="13" t="s">
        <v>1134</v>
      </c>
      <c r="Q130" s="13" t="s">
        <v>416</v>
      </c>
      <c r="R130" s="13" t="s">
        <v>1135</v>
      </c>
      <c r="S130" s="13" t="s">
        <v>725</v>
      </c>
      <c r="T130" s="13" t="s">
        <v>726</v>
      </c>
      <c r="U130" s="13" t="s">
        <v>727</v>
      </c>
      <c r="V130" s="47">
        <f>SUMIF(Data!$E:$E,$I130,Data!$AI:$AI)</f>
        <v>0</v>
      </c>
    </row>
    <row r="131" spans="1:22" x14ac:dyDescent="0.25">
      <c r="A131" s="46" t="s">
        <v>1101</v>
      </c>
      <c r="B131" s="46" t="s">
        <v>120</v>
      </c>
      <c r="C131" s="46" t="s">
        <v>1136</v>
      </c>
      <c r="D131" s="46">
        <v>1.0117</v>
      </c>
      <c r="E131" s="47">
        <f>SUMIF(Data!$E:$E,$C131,Data!$AI:$AI)</f>
        <v>0</v>
      </c>
      <c r="I131" s="13" t="s">
        <v>1137</v>
      </c>
      <c r="J131" s="13" t="s">
        <v>1138</v>
      </c>
      <c r="K131" s="13" t="s">
        <v>137</v>
      </c>
      <c r="L131" s="13" t="s">
        <v>1104</v>
      </c>
      <c r="M131" s="13" t="s">
        <v>1139</v>
      </c>
      <c r="N131" s="13">
        <v>632.32899999999995</v>
      </c>
      <c r="O131" s="13" t="s">
        <v>1140</v>
      </c>
      <c r="P131" s="13" t="s">
        <v>1141</v>
      </c>
      <c r="Q131" s="13" t="s">
        <v>734</v>
      </c>
      <c r="R131" s="13" t="s">
        <v>1142</v>
      </c>
      <c r="S131" s="13" t="s">
        <v>476</v>
      </c>
      <c r="T131" s="13" t="s">
        <v>477</v>
      </c>
      <c r="U131" s="13" t="s">
        <v>478</v>
      </c>
      <c r="V131" s="47">
        <f>SUMIF(Data!$E:$E,$I131,Data!$AI:$AI)</f>
        <v>0</v>
      </c>
    </row>
    <row r="132" spans="1:22" x14ac:dyDescent="0.25">
      <c r="A132" s="46" t="s">
        <v>1101</v>
      </c>
      <c r="B132" s="46" t="s">
        <v>120</v>
      </c>
      <c r="C132" s="46" t="s">
        <v>1143</v>
      </c>
      <c r="D132" s="46">
        <v>1.1575</v>
      </c>
      <c r="E132" s="47">
        <f>SUMIF(Data!$E:$E,$C132,Data!$AI:$AI)</f>
        <v>0</v>
      </c>
      <c r="I132" s="13" t="s">
        <v>1144</v>
      </c>
      <c r="J132" s="13" t="s">
        <v>1145</v>
      </c>
      <c r="K132" s="13" t="s">
        <v>137</v>
      </c>
      <c r="L132" s="13" t="s">
        <v>1104</v>
      </c>
      <c r="M132" s="13" t="s">
        <v>1146</v>
      </c>
      <c r="N132" s="13">
        <v>669.64200000000005</v>
      </c>
      <c r="O132" s="13" t="s">
        <v>1147</v>
      </c>
      <c r="P132" s="13" t="s">
        <v>1148</v>
      </c>
      <c r="Q132" s="13" t="s">
        <v>190</v>
      </c>
      <c r="R132" s="13" t="s">
        <v>1149</v>
      </c>
      <c r="S132" s="13" t="s">
        <v>725</v>
      </c>
      <c r="T132" s="13" t="s">
        <v>726</v>
      </c>
      <c r="U132" s="13" t="s">
        <v>727</v>
      </c>
      <c r="V132" s="47">
        <f>SUMIF(Data!$E:$E,$I132,Data!$AI:$AI)</f>
        <v>0</v>
      </c>
    </row>
    <row r="133" spans="1:22" x14ac:dyDescent="0.25">
      <c r="A133" s="46" t="s">
        <v>1101</v>
      </c>
      <c r="B133" s="46" t="s">
        <v>120</v>
      </c>
      <c r="C133" s="46" t="s">
        <v>1150</v>
      </c>
      <c r="D133" s="46">
        <v>7.6494999999999997</v>
      </c>
      <c r="E133" s="47">
        <f>SUMIF(Data!$E:$E,$C133,Data!$AI:$AI)</f>
        <v>0</v>
      </c>
      <c r="I133" s="13" t="s">
        <v>1151</v>
      </c>
      <c r="J133" s="13" t="s">
        <v>1152</v>
      </c>
      <c r="K133" s="13" t="s">
        <v>137</v>
      </c>
      <c r="L133" s="13" t="s">
        <v>1104</v>
      </c>
      <c r="M133" s="13" t="s">
        <v>1153</v>
      </c>
      <c r="N133" s="13">
        <v>243.68799999999999</v>
      </c>
      <c r="O133" s="13" t="s">
        <v>1154</v>
      </c>
      <c r="P133" s="13" t="s">
        <v>1155</v>
      </c>
      <c r="Q133" s="13" t="s">
        <v>190</v>
      </c>
      <c r="R133" s="13" t="s">
        <v>1156</v>
      </c>
      <c r="S133" s="13" t="s">
        <v>192</v>
      </c>
      <c r="T133" s="13" t="s">
        <v>146</v>
      </c>
      <c r="U133" s="13" t="s">
        <v>110</v>
      </c>
      <c r="V133" s="47">
        <f>SUMIF(Data!$E:$E,$I133,Data!$AI:$AI)</f>
        <v>0</v>
      </c>
    </row>
    <row r="134" spans="1:22" x14ac:dyDescent="0.25">
      <c r="A134" s="46" t="s">
        <v>1101</v>
      </c>
      <c r="B134" s="46" t="s">
        <v>120</v>
      </c>
      <c r="C134" s="46" t="s">
        <v>1157</v>
      </c>
      <c r="D134" s="46">
        <v>10.406000000000001</v>
      </c>
      <c r="E134" s="47">
        <f>SUMIF(Data!$E:$E,$C134,Data!$AI:$AI)</f>
        <v>0</v>
      </c>
      <c r="I134" s="13" t="s">
        <v>712</v>
      </c>
      <c r="J134" s="13" t="s">
        <v>1158</v>
      </c>
      <c r="K134" s="13" t="s">
        <v>137</v>
      </c>
      <c r="L134" s="13" t="s">
        <v>1104</v>
      </c>
      <c r="M134" s="13" t="s">
        <v>1159</v>
      </c>
      <c r="N134" s="13" t="s">
        <v>1160</v>
      </c>
      <c r="O134" s="13" t="s">
        <v>1161</v>
      </c>
      <c r="P134" s="13" t="s">
        <v>1162</v>
      </c>
      <c r="Q134" s="13" t="s">
        <v>190</v>
      </c>
      <c r="R134" s="13" t="s">
        <v>1163</v>
      </c>
      <c r="S134" s="13" t="s">
        <v>1164</v>
      </c>
      <c r="T134" s="13" t="s">
        <v>1165</v>
      </c>
      <c r="U134" s="13" t="s">
        <v>525</v>
      </c>
      <c r="V134" s="47">
        <f>SUMIF(Data!$E:$E,$I134,Data!$AI:$AI)</f>
        <v>0</v>
      </c>
    </row>
    <row r="135" spans="1:22" x14ac:dyDescent="0.25">
      <c r="A135" s="46" t="s">
        <v>1101</v>
      </c>
      <c r="B135" s="46" t="s">
        <v>120</v>
      </c>
      <c r="C135" s="46" t="s">
        <v>1166</v>
      </c>
      <c r="D135" s="46">
        <v>8.7146000000000008</v>
      </c>
      <c r="E135" s="47">
        <f>SUMIF(Data!$E:$E,$C135,Data!$AI:$AI)</f>
        <v>0</v>
      </c>
      <c r="I135" s="13" t="s">
        <v>1167</v>
      </c>
      <c r="J135" s="13" t="s">
        <v>1168</v>
      </c>
      <c r="K135" s="13" t="s">
        <v>137</v>
      </c>
      <c r="L135" s="13" t="s">
        <v>1104</v>
      </c>
      <c r="M135" s="13" t="s">
        <v>1169</v>
      </c>
      <c r="N135" s="13">
        <v>256.30500000000001</v>
      </c>
      <c r="O135" s="13" t="s">
        <v>1170</v>
      </c>
      <c r="P135" s="13" t="s">
        <v>1171</v>
      </c>
      <c r="Q135" s="13" t="s">
        <v>734</v>
      </c>
      <c r="R135" s="13" t="s">
        <v>1172</v>
      </c>
      <c r="S135" s="13" t="s">
        <v>560</v>
      </c>
      <c r="T135" s="13" t="s">
        <v>561</v>
      </c>
      <c r="U135" s="13" t="s">
        <v>525</v>
      </c>
      <c r="V135" s="47">
        <f>SUMIF(Data!$E:$E,$I135,Data!$AI:$AI)</f>
        <v>0</v>
      </c>
    </row>
    <row r="136" spans="1:22" x14ac:dyDescent="0.25">
      <c r="A136" s="46" t="s">
        <v>1101</v>
      </c>
      <c r="B136" s="46" t="s">
        <v>120</v>
      </c>
      <c r="C136" s="46" t="s">
        <v>1173</v>
      </c>
      <c r="D136" s="46">
        <v>0.95479999999999998</v>
      </c>
      <c r="E136" s="47">
        <f>SUMIF(Data!$E:$E,$C136,Data!$AI:$AI)</f>
        <v>0</v>
      </c>
      <c r="I136" s="13" t="s">
        <v>1174</v>
      </c>
      <c r="J136" s="13" t="s">
        <v>1175</v>
      </c>
      <c r="K136" s="13" t="s">
        <v>137</v>
      </c>
      <c r="L136" s="13" t="s">
        <v>1104</v>
      </c>
      <c r="M136" s="13" t="s">
        <v>1176</v>
      </c>
      <c r="N136" s="13">
        <v>74.540000000000006</v>
      </c>
      <c r="O136" s="13" t="s">
        <v>1177</v>
      </c>
      <c r="P136" s="13" t="s">
        <v>1178</v>
      </c>
      <c r="Q136" s="13" t="s">
        <v>162</v>
      </c>
      <c r="R136" s="13" t="s">
        <v>1179</v>
      </c>
      <c r="S136" s="13" t="s">
        <v>145</v>
      </c>
      <c r="T136" s="13" t="s">
        <v>146</v>
      </c>
      <c r="U136" s="13" t="s">
        <v>110</v>
      </c>
      <c r="V136" s="47">
        <f>SUMIF(Data!$E:$E,$I136,Data!$AI:$AI)</f>
        <v>0</v>
      </c>
    </row>
    <row r="137" spans="1:22" x14ac:dyDescent="0.25">
      <c r="A137" s="46" t="s">
        <v>1101</v>
      </c>
      <c r="B137" s="46" t="s">
        <v>120</v>
      </c>
      <c r="C137" s="46" t="s">
        <v>1180</v>
      </c>
      <c r="D137" s="46">
        <v>0.6008</v>
      </c>
      <c r="E137" s="47">
        <f>SUMIF(Data!$E:$E,$C137,Data!$AI:$AI)</f>
        <v>0</v>
      </c>
      <c r="I137" s="13" t="s">
        <v>1181</v>
      </c>
      <c r="J137" s="13" t="s">
        <v>1182</v>
      </c>
      <c r="K137" s="13" t="s">
        <v>137</v>
      </c>
      <c r="L137" s="13" t="s">
        <v>1104</v>
      </c>
      <c r="M137" s="13" t="s">
        <v>1183</v>
      </c>
      <c r="N137" s="13">
        <v>430.69</v>
      </c>
      <c r="O137" s="13" t="s">
        <v>1184</v>
      </c>
      <c r="P137" s="13" t="s">
        <v>1185</v>
      </c>
      <c r="Q137" s="13" t="s">
        <v>694</v>
      </c>
      <c r="R137" s="13" t="s">
        <v>1186</v>
      </c>
      <c r="S137" s="13" t="s">
        <v>192</v>
      </c>
      <c r="T137" s="13" t="s">
        <v>146</v>
      </c>
      <c r="U137" s="13" t="s">
        <v>110</v>
      </c>
      <c r="V137" s="47">
        <f>SUMIF(Data!$E:$E,$I137,Data!$AI:$AI)</f>
        <v>0</v>
      </c>
    </row>
    <row r="138" spans="1:22" x14ac:dyDescent="0.25">
      <c r="A138" s="46" t="s">
        <v>1101</v>
      </c>
      <c r="B138" s="46" t="s">
        <v>120</v>
      </c>
      <c r="C138" s="46" t="s">
        <v>1187</v>
      </c>
      <c r="D138" s="46">
        <v>7.6001000000000003</v>
      </c>
      <c r="E138" s="47">
        <f>SUMIF(Data!$E:$E,$C138,Data!$AI:$AI)</f>
        <v>0</v>
      </c>
      <c r="I138" s="13" t="s">
        <v>1188</v>
      </c>
      <c r="J138" s="13" t="s">
        <v>1189</v>
      </c>
      <c r="K138" s="13" t="s">
        <v>137</v>
      </c>
      <c r="L138" s="13" t="s">
        <v>1104</v>
      </c>
      <c r="M138" s="13" t="s">
        <v>1190</v>
      </c>
      <c r="N138" s="13">
        <v>390.69</v>
      </c>
      <c r="O138" s="13" t="s">
        <v>1191</v>
      </c>
      <c r="P138" s="13" t="s">
        <v>1192</v>
      </c>
      <c r="Q138" s="13" t="s">
        <v>694</v>
      </c>
      <c r="R138" s="13" t="s">
        <v>1193</v>
      </c>
      <c r="S138" s="13" t="s">
        <v>192</v>
      </c>
      <c r="T138" s="13" t="s">
        <v>146</v>
      </c>
      <c r="U138" s="13" t="s">
        <v>110</v>
      </c>
      <c r="V138" s="47">
        <f>SUMIF(Data!$E:$E,$I138,Data!$AI:$AI)</f>
        <v>0</v>
      </c>
    </row>
    <row r="139" spans="1:22" x14ac:dyDescent="0.25">
      <c r="A139" s="46" t="s">
        <v>1101</v>
      </c>
      <c r="B139" s="46" t="s">
        <v>120</v>
      </c>
      <c r="C139" s="46" t="s">
        <v>1194</v>
      </c>
      <c r="D139" s="46">
        <v>3.7869000000000002</v>
      </c>
      <c r="E139" s="47">
        <f>SUMIF(Data!$E:$E,$C139,Data!$AI:$AI)</f>
        <v>0</v>
      </c>
      <c r="I139" s="13" t="s">
        <v>1195</v>
      </c>
      <c r="J139" s="13" t="s">
        <v>1196</v>
      </c>
      <c r="K139" s="13" t="s">
        <v>137</v>
      </c>
      <c r="L139" s="13" t="s">
        <v>1104</v>
      </c>
      <c r="M139" s="13" t="s">
        <v>1197</v>
      </c>
      <c r="N139" s="13">
        <v>482.60899999999998</v>
      </c>
      <c r="O139" s="13" t="s">
        <v>1198</v>
      </c>
      <c r="P139" s="13" t="s">
        <v>1199</v>
      </c>
      <c r="Q139" s="13" t="s">
        <v>734</v>
      </c>
      <c r="R139" s="13" t="s">
        <v>1200</v>
      </c>
      <c r="S139" s="13" t="s">
        <v>523</v>
      </c>
      <c r="T139" s="13" t="s">
        <v>524</v>
      </c>
      <c r="U139" s="13" t="s">
        <v>525</v>
      </c>
      <c r="V139" s="47">
        <f>SUMIF(Data!$E:$E,$I139,Data!$AI:$AI)</f>
        <v>0</v>
      </c>
    </row>
    <row r="140" spans="1:22" x14ac:dyDescent="0.25">
      <c r="A140" s="46" t="s">
        <v>1101</v>
      </c>
      <c r="B140" s="46" t="s">
        <v>120</v>
      </c>
      <c r="C140" s="46" t="s">
        <v>1201</v>
      </c>
      <c r="D140" s="46">
        <v>2.3635999999999999</v>
      </c>
      <c r="E140" s="47">
        <f>SUMIF(Data!$E:$E,$C140,Data!$AI:$AI)</f>
        <v>0</v>
      </c>
      <c r="I140" s="13" t="s">
        <v>1202</v>
      </c>
      <c r="J140" s="13" t="s">
        <v>1203</v>
      </c>
      <c r="K140" s="13" t="s">
        <v>137</v>
      </c>
      <c r="L140" s="13" t="s">
        <v>1204</v>
      </c>
      <c r="M140" s="13" t="s">
        <v>1205</v>
      </c>
      <c r="N140" s="13">
        <v>549.20100000000002</v>
      </c>
      <c r="O140" s="13" t="s">
        <v>1206</v>
      </c>
      <c r="P140" s="13" t="s">
        <v>1207</v>
      </c>
      <c r="Q140" s="13" t="s">
        <v>694</v>
      </c>
      <c r="R140" s="13" t="s">
        <v>1208</v>
      </c>
      <c r="S140" s="13" t="s">
        <v>192</v>
      </c>
      <c r="T140" s="13" t="s">
        <v>146</v>
      </c>
      <c r="U140" s="13" t="s">
        <v>110</v>
      </c>
      <c r="V140" s="47">
        <f>SUMIF(Data!$E:$E,$I140,Data!$AI:$AI)</f>
        <v>0</v>
      </c>
    </row>
    <row r="141" spans="1:22" x14ac:dyDescent="0.25">
      <c r="A141" s="46" t="s">
        <v>1209</v>
      </c>
      <c r="B141" s="46" t="s">
        <v>120</v>
      </c>
      <c r="C141" s="46">
        <v>6003973</v>
      </c>
      <c r="D141" s="46">
        <v>0.34210000000000002</v>
      </c>
      <c r="E141" s="47">
        <f>SUMIF(Data!$E:$E,$C141,Data!$AI:$AI)</f>
        <v>0</v>
      </c>
      <c r="I141" s="13">
        <v>8306</v>
      </c>
      <c r="J141" s="13" t="s">
        <v>1210</v>
      </c>
      <c r="K141" s="13" t="s">
        <v>137</v>
      </c>
      <c r="L141" s="13" t="s">
        <v>1204</v>
      </c>
      <c r="M141" s="13" t="s">
        <v>1211</v>
      </c>
      <c r="N141" s="13" t="s">
        <v>1212</v>
      </c>
      <c r="O141" s="13" t="s">
        <v>1213</v>
      </c>
      <c r="P141" s="13" t="s">
        <v>1214</v>
      </c>
      <c r="Q141" s="13" t="s">
        <v>190</v>
      </c>
      <c r="R141" s="13" t="s">
        <v>1215</v>
      </c>
      <c r="S141" s="13" t="s">
        <v>441</v>
      </c>
      <c r="T141" s="13" t="s">
        <v>442</v>
      </c>
      <c r="U141" s="13" t="s">
        <v>443</v>
      </c>
      <c r="V141" s="47">
        <f>SUMIF(Data!$E:$E,$I141,Data!$AI:$AI)</f>
        <v>0</v>
      </c>
    </row>
    <row r="142" spans="1:22" x14ac:dyDescent="0.25">
      <c r="A142" s="46" t="s">
        <v>1209</v>
      </c>
      <c r="B142" s="46" t="s">
        <v>120</v>
      </c>
      <c r="C142" s="46">
        <v>6011318</v>
      </c>
      <c r="D142" s="46">
        <v>0.1608</v>
      </c>
      <c r="E142" s="47">
        <f>SUMIF(Data!$E:$E,$C142,Data!$AI:$AI)</f>
        <v>0</v>
      </c>
      <c r="I142" s="13" t="s">
        <v>1216</v>
      </c>
      <c r="J142" s="13" t="s">
        <v>1217</v>
      </c>
      <c r="K142" s="13" t="s">
        <v>137</v>
      </c>
      <c r="L142" s="13" t="s">
        <v>1204</v>
      </c>
      <c r="M142" s="13" t="s">
        <v>1218</v>
      </c>
      <c r="N142" s="13">
        <v>602.47900000000004</v>
      </c>
      <c r="O142" s="13" t="s">
        <v>1219</v>
      </c>
      <c r="P142" s="13" t="s">
        <v>1220</v>
      </c>
      <c r="Q142" s="13" t="s">
        <v>190</v>
      </c>
      <c r="R142" s="13" t="s">
        <v>1221</v>
      </c>
      <c r="S142" s="13" t="s">
        <v>560</v>
      </c>
      <c r="T142" s="13" t="s">
        <v>561</v>
      </c>
      <c r="U142" s="13" t="s">
        <v>525</v>
      </c>
      <c r="V142" s="47">
        <f>SUMIF(Data!$E:$E,$I142,Data!$AI:$AI)</f>
        <v>0</v>
      </c>
    </row>
    <row r="143" spans="1:22" x14ac:dyDescent="0.25">
      <c r="A143" s="46" t="s">
        <v>1209</v>
      </c>
      <c r="B143" s="46" t="s">
        <v>120</v>
      </c>
      <c r="C143" s="46">
        <v>6016670</v>
      </c>
      <c r="D143" s="46">
        <v>0.29949999999999999</v>
      </c>
      <c r="E143" s="47">
        <f>SUMIF(Data!$E:$E,$C143,Data!$AI:$AI)</f>
        <v>0</v>
      </c>
      <c r="I143" s="13" t="s">
        <v>1222</v>
      </c>
      <c r="J143" s="13" t="s">
        <v>1223</v>
      </c>
      <c r="K143" s="13" t="s">
        <v>137</v>
      </c>
      <c r="L143" s="13" t="s">
        <v>1204</v>
      </c>
      <c r="M143" s="13" t="s">
        <v>1224</v>
      </c>
      <c r="N143" s="13">
        <v>153.52199999999999</v>
      </c>
      <c r="O143" s="13" t="s">
        <v>1225</v>
      </c>
      <c r="P143" s="13" t="s">
        <v>1226</v>
      </c>
      <c r="Q143" s="13" t="s">
        <v>416</v>
      </c>
      <c r="R143" s="13" t="s">
        <v>1227</v>
      </c>
      <c r="S143" s="13" t="s">
        <v>192</v>
      </c>
      <c r="T143" s="13" t="s">
        <v>146</v>
      </c>
      <c r="U143" s="13" t="s">
        <v>110</v>
      </c>
      <c r="V143" s="47">
        <f>SUMIF(Data!$E:$E,$I143,Data!$AI:$AI)</f>
        <v>0</v>
      </c>
    </row>
    <row r="144" spans="1:22" x14ac:dyDescent="0.25">
      <c r="A144" s="46" t="s">
        <v>1209</v>
      </c>
      <c r="B144" s="46" t="s">
        <v>120</v>
      </c>
      <c r="C144" s="46">
        <v>6036991</v>
      </c>
      <c r="D144" s="46">
        <v>0.2485</v>
      </c>
      <c r="E144" s="47">
        <f>SUMIF(Data!$E:$E,$C144,Data!$AI:$AI)</f>
        <v>0</v>
      </c>
      <c r="I144" s="13" t="s">
        <v>1228</v>
      </c>
      <c r="J144" s="13" t="s">
        <v>1229</v>
      </c>
      <c r="K144" s="13" t="s">
        <v>137</v>
      </c>
      <c r="L144" s="13" t="s">
        <v>1204</v>
      </c>
      <c r="M144" s="13" t="s">
        <v>1230</v>
      </c>
      <c r="N144" s="13">
        <v>659.48800000000006</v>
      </c>
      <c r="O144" s="13" t="s">
        <v>1231</v>
      </c>
      <c r="P144" s="13" t="s">
        <v>1232</v>
      </c>
      <c r="Q144" s="13" t="s">
        <v>190</v>
      </c>
      <c r="R144" s="13" t="s">
        <v>1233</v>
      </c>
      <c r="S144" s="13" t="s">
        <v>192</v>
      </c>
      <c r="T144" s="13" t="s">
        <v>146</v>
      </c>
      <c r="U144" s="13" t="s">
        <v>110</v>
      </c>
      <c r="V144" s="47">
        <f>SUMIF(Data!$E:$E,$I144,Data!$AI:$AI)</f>
        <v>0</v>
      </c>
    </row>
    <row r="145" spans="1:22" x14ac:dyDescent="0.25">
      <c r="A145" s="46" t="s">
        <v>1209</v>
      </c>
      <c r="B145" s="46" t="s">
        <v>120</v>
      </c>
      <c r="C145" s="46">
        <v>6037596</v>
      </c>
      <c r="D145" s="46">
        <v>0.14399999999999999</v>
      </c>
      <c r="E145" s="47">
        <f>SUMIF(Data!$E:$E,$C145,Data!$AI:$AI)</f>
        <v>0</v>
      </c>
      <c r="I145" s="13" t="s">
        <v>1234</v>
      </c>
      <c r="J145" s="13" t="s">
        <v>1235</v>
      </c>
      <c r="K145" s="13" t="s">
        <v>137</v>
      </c>
      <c r="L145" s="13" t="s">
        <v>1204</v>
      </c>
      <c r="M145" s="13" t="s">
        <v>1236</v>
      </c>
      <c r="N145" s="13">
        <v>275.48500000000001</v>
      </c>
      <c r="O145" s="13" t="s">
        <v>1237</v>
      </c>
      <c r="P145" s="13" t="s">
        <v>1238</v>
      </c>
      <c r="Q145" s="13" t="s">
        <v>162</v>
      </c>
      <c r="R145" s="13" t="s">
        <v>1239</v>
      </c>
      <c r="S145" s="13" t="s">
        <v>192</v>
      </c>
      <c r="T145" s="13" t="s">
        <v>146</v>
      </c>
      <c r="U145" s="13" t="s">
        <v>110</v>
      </c>
      <c r="V145" s="47">
        <f>SUMIF(Data!$E:$E,$I145,Data!$AI:$AI)</f>
        <v>0</v>
      </c>
    </row>
    <row r="146" spans="1:22" x14ac:dyDescent="0.25">
      <c r="A146" s="46" t="s">
        <v>1209</v>
      </c>
      <c r="B146" s="46" t="s">
        <v>120</v>
      </c>
      <c r="C146" s="46">
        <v>6040550</v>
      </c>
      <c r="D146" s="46">
        <v>0.1767</v>
      </c>
      <c r="E146" s="47">
        <f>SUMIF(Data!$E:$E,$C146,Data!$AI:$AI)</f>
        <v>0</v>
      </c>
      <c r="I146" s="13" t="s">
        <v>1240</v>
      </c>
      <c r="J146" s="13" t="s">
        <v>1241</v>
      </c>
      <c r="K146" s="13" t="s">
        <v>137</v>
      </c>
      <c r="L146" s="13" t="s">
        <v>1204</v>
      </c>
      <c r="M146" s="13" t="s">
        <v>1242</v>
      </c>
      <c r="N146" s="13">
        <v>252.79900000000001</v>
      </c>
      <c r="O146" s="13" t="s">
        <v>1243</v>
      </c>
      <c r="P146" s="13" t="s">
        <v>1244</v>
      </c>
      <c r="Q146" s="13" t="s">
        <v>208</v>
      </c>
      <c r="R146" s="13" t="s">
        <v>1245</v>
      </c>
      <c r="S146" s="13" t="s">
        <v>192</v>
      </c>
      <c r="T146" s="13" t="s">
        <v>146</v>
      </c>
      <c r="U146" s="13" t="s">
        <v>110</v>
      </c>
      <c r="V146" s="47">
        <f>SUMIF(Data!$E:$E,$I146,Data!$AI:$AI)</f>
        <v>0</v>
      </c>
    </row>
    <row r="147" spans="1:22" x14ac:dyDescent="0.25">
      <c r="A147" s="46" t="s">
        <v>1209</v>
      </c>
      <c r="B147" s="46" t="s">
        <v>120</v>
      </c>
      <c r="C147" s="46">
        <v>6042017</v>
      </c>
      <c r="D147" s="46">
        <v>0.32579999999999998</v>
      </c>
      <c r="E147" s="47">
        <f>SUMIF(Data!$E:$E,$C147,Data!$AI:$AI)</f>
        <v>0</v>
      </c>
      <c r="I147" s="13" t="s">
        <v>1246</v>
      </c>
      <c r="J147" s="13" t="s">
        <v>1247</v>
      </c>
      <c r="K147" s="13" t="s">
        <v>137</v>
      </c>
      <c r="L147" s="13" t="s">
        <v>1204</v>
      </c>
      <c r="M147" s="13" t="s">
        <v>1248</v>
      </c>
      <c r="N147" s="13">
        <v>748.53099999999995</v>
      </c>
      <c r="O147" s="13" t="s">
        <v>1249</v>
      </c>
      <c r="P147" s="13" t="s">
        <v>1250</v>
      </c>
      <c r="Q147" s="13" t="s">
        <v>208</v>
      </c>
      <c r="R147" s="13" t="s">
        <v>1251</v>
      </c>
      <c r="S147" s="13" t="s">
        <v>192</v>
      </c>
      <c r="T147" s="13" t="s">
        <v>146</v>
      </c>
      <c r="U147" s="13" t="s">
        <v>110</v>
      </c>
      <c r="V147" s="47">
        <f>SUMIF(Data!$E:$E,$I147,Data!$AI:$AI)</f>
        <v>0</v>
      </c>
    </row>
    <row r="148" spans="1:22" x14ac:dyDescent="0.25">
      <c r="A148" s="46" t="s">
        <v>1209</v>
      </c>
      <c r="B148" s="46" t="s">
        <v>120</v>
      </c>
      <c r="C148" s="46">
        <v>6073062</v>
      </c>
      <c r="D148" s="46">
        <v>0.624</v>
      </c>
      <c r="E148" s="47">
        <f>SUMIF(Data!$E:$E,$C148,Data!$AI:$AI)</f>
        <v>0</v>
      </c>
      <c r="I148" s="13">
        <v>6861</v>
      </c>
      <c r="J148" s="13" t="s">
        <v>1252</v>
      </c>
      <c r="K148" s="13" t="s">
        <v>137</v>
      </c>
      <c r="L148" s="13" t="s">
        <v>1204</v>
      </c>
      <c r="M148" s="13" t="s">
        <v>1253</v>
      </c>
      <c r="N148" s="13">
        <v>94.103999999999999</v>
      </c>
      <c r="O148" s="13" t="s">
        <v>1254</v>
      </c>
      <c r="P148" s="13" t="s">
        <v>1255</v>
      </c>
      <c r="Q148" s="13" t="s">
        <v>143</v>
      </c>
      <c r="R148" s="13" t="s">
        <v>1256</v>
      </c>
      <c r="S148" s="13" t="s">
        <v>441</v>
      </c>
      <c r="T148" s="13" t="s">
        <v>442</v>
      </c>
      <c r="U148" s="13" t="s">
        <v>443</v>
      </c>
      <c r="V148" s="47">
        <f>SUMIF(Data!$E:$E,$I148,Data!$AI:$AI)</f>
        <v>0</v>
      </c>
    </row>
    <row r="149" spans="1:22" x14ac:dyDescent="0.25">
      <c r="A149" s="46" t="s">
        <v>1209</v>
      </c>
      <c r="B149" s="46" t="s">
        <v>120</v>
      </c>
      <c r="C149" s="46">
        <v>6085261</v>
      </c>
      <c r="D149" s="46">
        <v>0.18429999999999999</v>
      </c>
      <c r="E149" s="47">
        <f>SUMIF(Data!$E:$E,$C149,Data!$AI:$AI)</f>
        <v>0</v>
      </c>
      <c r="I149" s="13" t="s">
        <v>1257</v>
      </c>
      <c r="J149" s="13" t="s">
        <v>1258</v>
      </c>
      <c r="K149" s="13" t="s">
        <v>137</v>
      </c>
      <c r="L149" s="13" t="s">
        <v>1204</v>
      </c>
      <c r="M149" s="13" t="s">
        <v>1259</v>
      </c>
      <c r="N149" s="13">
        <v>83.039000000000001</v>
      </c>
      <c r="O149" s="13" t="s">
        <v>1260</v>
      </c>
      <c r="P149" s="13" t="s">
        <v>1261</v>
      </c>
      <c r="Q149" s="13" t="s">
        <v>190</v>
      </c>
      <c r="R149" s="13" t="s">
        <v>1262</v>
      </c>
      <c r="S149" s="13" t="s">
        <v>226</v>
      </c>
      <c r="T149" s="13" t="s">
        <v>227</v>
      </c>
      <c r="U149" s="13" t="s">
        <v>228</v>
      </c>
      <c r="V149" s="47">
        <f>SUMIF(Data!$E:$E,$I149,Data!$AI:$AI)</f>
        <v>0</v>
      </c>
    </row>
    <row r="150" spans="1:22" x14ac:dyDescent="0.25">
      <c r="A150" s="46" t="s">
        <v>1209</v>
      </c>
      <c r="B150" s="46" t="s">
        <v>120</v>
      </c>
      <c r="C150" s="46">
        <v>6086297</v>
      </c>
      <c r="D150" s="46">
        <v>0.19350000000000001</v>
      </c>
      <c r="E150" s="47">
        <f>SUMIF(Data!$E:$E,$C150,Data!$AI:$AI)</f>
        <v>0</v>
      </c>
      <c r="I150" s="13" t="s">
        <v>1263</v>
      </c>
      <c r="J150" s="13" t="s">
        <v>1264</v>
      </c>
      <c r="K150" s="13" t="s">
        <v>137</v>
      </c>
      <c r="L150" s="13" t="s">
        <v>1204</v>
      </c>
      <c r="M150" s="13" t="s">
        <v>925</v>
      </c>
      <c r="N150" s="13">
        <v>599.40300000000002</v>
      </c>
      <c r="O150" s="13" t="s">
        <v>1265</v>
      </c>
      <c r="P150" s="13" t="s">
        <v>1266</v>
      </c>
      <c r="Q150" s="13" t="s">
        <v>143</v>
      </c>
      <c r="R150" s="13" t="s">
        <v>1267</v>
      </c>
      <c r="S150" s="13" t="s">
        <v>145</v>
      </c>
      <c r="T150" s="13" t="s">
        <v>146</v>
      </c>
      <c r="U150" s="13" t="s">
        <v>110</v>
      </c>
      <c r="V150" s="47">
        <f>SUMIF(Data!$E:$E,$I150,Data!$AI:$AI)</f>
        <v>0</v>
      </c>
    </row>
    <row r="151" spans="1:22" x14ac:dyDescent="0.25">
      <c r="A151" s="46" t="s">
        <v>1209</v>
      </c>
      <c r="B151" s="46" t="s">
        <v>120</v>
      </c>
      <c r="C151" s="46">
        <v>6086974</v>
      </c>
      <c r="D151" s="46">
        <v>0.98070000000000002</v>
      </c>
      <c r="E151" s="47">
        <f>SUMIF(Data!$E:$E,$C151,Data!$AI:$AI)</f>
        <v>0</v>
      </c>
      <c r="I151" s="13" t="s">
        <v>1268</v>
      </c>
      <c r="J151" s="13" t="s">
        <v>1269</v>
      </c>
      <c r="K151" s="13" t="s">
        <v>137</v>
      </c>
      <c r="L151" s="13" t="s">
        <v>1204</v>
      </c>
      <c r="M151" s="13" t="s">
        <v>1270</v>
      </c>
      <c r="N151" s="13">
        <v>414.25900000000001</v>
      </c>
      <c r="O151" s="13" t="s">
        <v>1271</v>
      </c>
      <c r="P151" s="13" t="s">
        <v>1272</v>
      </c>
      <c r="Q151" s="13" t="s">
        <v>224</v>
      </c>
      <c r="R151" s="13" t="s">
        <v>1273</v>
      </c>
      <c r="S151" s="13" t="s">
        <v>1274</v>
      </c>
      <c r="T151" s="13" t="s">
        <v>1275</v>
      </c>
      <c r="U151" s="13" t="s">
        <v>525</v>
      </c>
      <c r="V151" s="47">
        <f>SUMIF(Data!$E:$E,$I151,Data!$AI:$AI)</f>
        <v>0</v>
      </c>
    </row>
    <row r="152" spans="1:22" x14ac:dyDescent="0.25">
      <c r="A152" s="46" t="s">
        <v>1209</v>
      </c>
      <c r="B152" s="46" t="s">
        <v>120</v>
      </c>
      <c r="C152" s="46">
        <v>6093048</v>
      </c>
      <c r="D152" s="46">
        <v>0.2301</v>
      </c>
      <c r="E152" s="47">
        <f>SUMIF(Data!$E:$E,$C152,Data!$AI:$AI)</f>
        <v>0</v>
      </c>
      <c r="I152" s="13" t="s">
        <v>1276</v>
      </c>
      <c r="J152" s="13" t="s">
        <v>1277</v>
      </c>
      <c r="K152" s="13" t="s">
        <v>107</v>
      </c>
      <c r="L152" s="13" t="s">
        <v>1204</v>
      </c>
      <c r="M152" s="13" t="s">
        <v>1278</v>
      </c>
      <c r="N152" s="13" t="s">
        <v>1279</v>
      </c>
      <c r="O152" s="13" t="s">
        <v>1279</v>
      </c>
      <c r="P152" s="13" t="s">
        <v>1280</v>
      </c>
      <c r="Q152" s="13" t="s">
        <v>759</v>
      </c>
      <c r="R152" s="13" t="s">
        <v>1281</v>
      </c>
      <c r="S152" s="13" t="s">
        <v>760</v>
      </c>
      <c r="T152" s="13" t="s">
        <v>1282</v>
      </c>
      <c r="U152" s="13" t="s">
        <v>110</v>
      </c>
      <c r="V152" s="47">
        <f>SUMIF(Data!$E:$E,$I152,Data!$AI:$AI)</f>
        <v>0</v>
      </c>
    </row>
    <row r="153" spans="1:22" x14ac:dyDescent="0.25">
      <c r="A153" s="46" t="s">
        <v>1209</v>
      </c>
      <c r="B153" s="46" t="s">
        <v>120</v>
      </c>
      <c r="C153" s="46">
        <v>6093060</v>
      </c>
      <c r="D153" s="46">
        <v>0.20100000000000001</v>
      </c>
      <c r="E153" s="47">
        <f>SUMIF(Data!$E:$E,$C153,Data!$AI:$AI)</f>
        <v>0</v>
      </c>
      <c r="I153" s="13" t="s">
        <v>1283</v>
      </c>
      <c r="J153" s="13" t="s">
        <v>1284</v>
      </c>
      <c r="K153" s="13" t="s">
        <v>137</v>
      </c>
      <c r="L153" s="13" t="s">
        <v>1204</v>
      </c>
      <c r="M153" s="13" t="s">
        <v>1285</v>
      </c>
      <c r="N153" s="13" t="s">
        <v>1286</v>
      </c>
      <c r="O153" s="13" t="s">
        <v>1287</v>
      </c>
      <c r="P153" s="13" t="s">
        <v>1288</v>
      </c>
      <c r="Q153" s="13" t="s">
        <v>694</v>
      </c>
      <c r="R153" s="13" t="s">
        <v>1289</v>
      </c>
      <c r="S153" s="13" t="s">
        <v>1164</v>
      </c>
      <c r="T153" s="13" t="s">
        <v>1165</v>
      </c>
      <c r="U153" s="13" t="s">
        <v>525</v>
      </c>
      <c r="V153" s="47">
        <f>SUMIF(Data!$E:$E,$I153,Data!$AI:$AI)</f>
        <v>0</v>
      </c>
    </row>
    <row r="154" spans="1:22" x14ac:dyDescent="0.25">
      <c r="A154" s="46" t="s">
        <v>1209</v>
      </c>
      <c r="B154" s="46" t="s">
        <v>120</v>
      </c>
      <c r="C154" s="46">
        <v>6104780</v>
      </c>
      <c r="D154" s="46">
        <v>0.33910000000000001</v>
      </c>
      <c r="E154" s="47">
        <f>SUMIF(Data!$E:$E,$C154,Data!$AI:$AI)</f>
        <v>0</v>
      </c>
      <c r="I154" s="13" t="s">
        <v>1290</v>
      </c>
      <c r="J154" s="13" t="s">
        <v>1291</v>
      </c>
      <c r="K154" s="13" t="s">
        <v>137</v>
      </c>
      <c r="L154" s="13" t="s">
        <v>1204</v>
      </c>
      <c r="M154" s="13" t="s">
        <v>1292</v>
      </c>
      <c r="N154" s="13">
        <v>594.279</v>
      </c>
      <c r="O154" s="13" t="s">
        <v>1293</v>
      </c>
      <c r="P154" s="13" t="s">
        <v>1294</v>
      </c>
      <c r="Q154" s="13" t="s">
        <v>224</v>
      </c>
      <c r="R154" s="13" t="s">
        <v>1295</v>
      </c>
      <c r="S154" s="13" t="s">
        <v>476</v>
      </c>
      <c r="T154" s="13" t="s">
        <v>477</v>
      </c>
      <c r="U154" s="13" t="s">
        <v>478</v>
      </c>
      <c r="V154" s="47">
        <f>SUMIF(Data!$E:$E,$I154,Data!$AI:$AI)</f>
        <v>0</v>
      </c>
    </row>
    <row r="155" spans="1:22" x14ac:dyDescent="0.25">
      <c r="A155" s="46" t="s">
        <v>1209</v>
      </c>
      <c r="B155" s="46" t="s">
        <v>120</v>
      </c>
      <c r="C155" s="46">
        <v>6107176</v>
      </c>
      <c r="D155" s="46">
        <v>0.52059999999999995</v>
      </c>
      <c r="E155" s="47">
        <f>SUMIF(Data!$E:$E,$C155,Data!$AI:$AI)</f>
        <v>0</v>
      </c>
      <c r="I155" s="13" t="s">
        <v>1296</v>
      </c>
      <c r="J155" s="13" t="s">
        <v>1297</v>
      </c>
      <c r="K155" s="13" t="s">
        <v>137</v>
      </c>
      <c r="L155" s="13" t="s">
        <v>1204</v>
      </c>
      <c r="M155" s="13" t="s">
        <v>1298</v>
      </c>
      <c r="N155" s="13">
        <v>172.749</v>
      </c>
      <c r="O155" s="13" t="s">
        <v>1299</v>
      </c>
      <c r="P155" s="13" t="s">
        <v>1300</v>
      </c>
      <c r="Q155" s="13" t="s">
        <v>208</v>
      </c>
      <c r="R155" s="13" t="s">
        <v>1301</v>
      </c>
      <c r="S155" s="13" t="s">
        <v>192</v>
      </c>
      <c r="T155" s="13" t="s">
        <v>146</v>
      </c>
      <c r="U155" s="13" t="s">
        <v>110</v>
      </c>
      <c r="V155" s="47">
        <f>SUMIF(Data!$E:$E,$I155,Data!$AI:$AI)</f>
        <v>0</v>
      </c>
    </row>
    <row r="156" spans="1:22" x14ac:dyDescent="0.25">
      <c r="A156" s="46" t="s">
        <v>1209</v>
      </c>
      <c r="B156" s="46" t="s">
        <v>120</v>
      </c>
      <c r="C156" s="46">
        <v>6107284</v>
      </c>
      <c r="D156" s="46">
        <v>0.36280000000000001</v>
      </c>
      <c r="E156" s="47">
        <f>SUMIF(Data!$E:$E,$C156,Data!$AI:$AI)</f>
        <v>0</v>
      </c>
      <c r="I156" s="13" t="s">
        <v>1302</v>
      </c>
      <c r="J156" s="13" t="s">
        <v>1303</v>
      </c>
      <c r="K156" s="13" t="s">
        <v>137</v>
      </c>
      <c r="L156" s="13" t="s">
        <v>1304</v>
      </c>
      <c r="M156" s="13" t="s">
        <v>1305</v>
      </c>
      <c r="N156" s="13">
        <v>95.022999999999996</v>
      </c>
      <c r="O156" s="13" t="s">
        <v>1306</v>
      </c>
      <c r="P156" s="13" t="s">
        <v>1307</v>
      </c>
      <c r="Q156" s="13" t="s">
        <v>162</v>
      </c>
      <c r="R156" s="13" t="s">
        <v>1308</v>
      </c>
      <c r="S156" s="13" t="s">
        <v>523</v>
      </c>
      <c r="T156" s="13" t="s">
        <v>524</v>
      </c>
      <c r="U156" s="13" t="s">
        <v>525</v>
      </c>
      <c r="V156" s="47">
        <f>SUMIF(Data!$E:$E,$I156,Data!$AI:$AI)</f>
        <v>0</v>
      </c>
    </row>
    <row r="157" spans="1:22" x14ac:dyDescent="0.25">
      <c r="A157" s="46" t="s">
        <v>1209</v>
      </c>
      <c r="B157" s="46" t="s">
        <v>120</v>
      </c>
      <c r="C157" s="46">
        <v>6109901</v>
      </c>
      <c r="D157" s="46">
        <v>1.0076000000000001</v>
      </c>
      <c r="E157" s="47">
        <f>SUMIF(Data!$E:$E,$C157,Data!$AI:$AI)</f>
        <v>0</v>
      </c>
      <c r="I157" s="13" t="s">
        <v>1309</v>
      </c>
      <c r="J157" s="13" t="s">
        <v>1310</v>
      </c>
      <c r="K157" s="13" t="s">
        <v>137</v>
      </c>
      <c r="L157" s="13" t="s">
        <v>1304</v>
      </c>
      <c r="M157" s="13" t="s">
        <v>1311</v>
      </c>
      <c r="N157" s="13">
        <v>86.647000000000006</v>
      </c>
      <c r="O157" s="13" t="s">
        <v>1312</v>
      </c>
      <c r="P157" s="13" t="s">
        <v>1313</v>
      </c>
      <c r="Q157" s="13" t="s">
        <v>416</v>
      </c>
      <c r="R157" s="13" t="s">
        <v>1314</v>
      </c>
      <c r="S157" s="13" t="s">
        <v>192</v>
      </c>
      <c r="T157" s="13" t="s">
        <v>146</v>
      </c>
      <c r="U157" s="13" t="s">
        <v>110</v>
      </c>
      <c r="V157" s="47">
        <f>SUMIF(Data!$E:$E,$I157,Data!$AI:$AI)</f>
        <v>0</v>
      </c>
    </row>
    <row r="158" spans="1:22" x14ac:dyDescent="0.25">
      <c r="A158" s="46" t="s">
        <v>1209</v>
      </c>
      <c r="B158" s="46" t="s">
        <v>120</v>
      </c>
      <c r="C158" s="46">
        <v>6110088</v>
      </c>
      <c r="D158" s="46">
        <v>0.23080000000000001</v>
      </c>
      <c r="E158" s="47">
        <f>SUMIF(Data!$E:$E,$C158,Data!$AI:$AI)</f>
        <v>0</v>
      </c>
      <c r="I158" s="13">
        <v>4502</v>
      </c>
      <c r="J158" s="13" t="s">
        <v>1315</v>
      </c>
      <c r="K158" s="13" t="s">
        <v>137</v>
      </c>
      <c r="L158" s="13" t="s">
        <v>1304</v>
      </c>
      <c r="M158" s="13" t="s">
        <v>968</v>
      </c>
      <c r="N158" s="13">
        <v>808.79499999999996</v>
      </c>
      <c r="O158" s="13" t="s">
        <v>1316</v>
      </c>
      <c r="P158" s="13" t="s">
        <v>1317</v>
      </c>
      <c r="Q158" s="13" t="s">
        <v>208</v>
      </c>
      <c r="R158" s="13" t="s">
        <v>1318</v>
      </c>
      <c r="S158" s="13" t="s">
        <v>441</v>
      </c>
      <c r="T158" s="13" t="s">
        <v>442</v>
      </c>
      <c r="U158" s="13" t="s">
        <v>443</v>
      </c>
      <c r="V158" s="47">
        <f>SUMIF(Data!$E:$E,$I158,Data!$AI:$AI)</f>
        <v>0</v>
      </c>
    </row>
    <row r="159" spans="1:22" x14ac:dyDescent="0.25">
      <c r="A159" s="46" t="s">
        <v>1209</v>
      </c>
      <c r="B159" s="46" t="s">
        <v>120</v>
      </c>
      <c r="C159" s="46">
        <v>6110107</v>
      </c>
      <c r="D159" s="46">
        <v>0.2442</v>
      </c>
      <c r="E159" s="47">
        <f>SUMIF(Data!$E:$E,$C159,Data!$AI:$AI)</f>
        <v>0</v>
      </c>
      <c r="I159" s="13" t="s">
        <v>1319</v>
      </c>
      <c r="J159" s="13" t="s">
        <v>1320</v>
      </c>
      <c r="K159" s="13" t="s">
        <v>137</v>
      </c>
      <c r="L159" s="13" t="s">
        <v>1304</v>
      </c>
      <c r="M159" s="13" t="s">
        <v>1321</v>
      </c>
      <c r="N159" s="13">
        <v>450.11700000000002</v>
      </c>
      <c r="O159" s="13" t="s">
        <v>1322</v>
      </c>
      <c r="P159" s="13" t="s">
        <v>1323</v>
      </c>
      <c r="Q159" s="13" t="s">
        <v>224</v>
      </c>
      <c r="R159" s="13" t="s">
        <v>1324</v>
      </c>
      <c r="S159" s="13" t="s">
        <v>192</v>
      </c>
      <c r="T159" s="13" t="s">
        <v>146</v>
      </c>
      <c r="U159" s="13" t="s">
        <v>110</v>
      </c>
      <c r="V159" s="47">
        <f>SUMIF(Data!$E:$E,$I159,Data!$AI:$AI)</f>
        <v>0</v>
      </c>
    </row>
    <row r="160" spans="1:22" x14ac:dyDescent="0.25">
      <c r="A160" s="46" t="s">
        <v>1209</v>
      </c>
      <c r="B160" s="46" t="s">
        <v>120</v>
      </c>
      <c r="C160" s="46">
        <v>6112910</v>
      </c>
      <c r="D160" s="46">
        <v>0.1575</v>
      </c>
      <c r="E160" s="47">
        <f>SUMIF(Data!$E:$E,$C160,Data!$AI:$AI)</f>
        <v>0</v>
      </c>
      <c r="I160" s="13" t="s">
        <v>1325</v>
      </c>
      <c r="J160" s="13" t="s">
        <v>1326</v>
      </c>
      <c r="K160" s="13" t="s">
        <v>137</v>
      </c>
      <c r="L160" s="13" t="s">
        <v>1304</v>
      </c>
      <c r="M160" s="13" t="s">
        <v>1327</v>
      </c>
      <c r="N160" s="13">
        <v>221.607</v>
      </c>
      <c r="O160" s="13" t="s">
        <v>1328</v>
      </c>
      <c r="P160" s="13" t="s">
        <v>1329</v>
      </c>
      <c r="Q160" s="13" t="s">
        <v>806</v>
      </c>
      <c r="R160" s="13" t="s">
        <v>1330</v>
      </c>
      <c r="S160" s="13" t="s">
        <v>192</v>
      </c>
      <c r="T160" s="13" t="s">
        <v>146</v>
      </c>
      <c r="U160" s="13" t="s">
        <v>110</v>
      </c>
      <c r="V160" s="47">
        <f>SUMIF(Data!$E:$E,$I160,Data!$AI:$AI)</f>
        <v>0</v>
      </c>
    </row>
    <row r="161" spans="1:22" x14ac:dyDescent="0.25">
      <c r="A161" s="46" t="s">
        <v>1209</v>
      </c>
      <c r="B161" s="46" t="s">
        <v>120</v>
      </c>
      <c r="C161" s="46">
        <v>6116008</v>
      </c>
      <c r="D161" s="46">
        <v>0.1658</v>
      </c>
      <c r="E161" s="47">
        <f>SUMIF(Data!$E:$E,$C161,Data!$AI:$AI)</f>
        <v>0</v>
      </c>
      <c r="I161" s="13" t="s">
        <v>1331</v>
      </c>
      <c r="J161" s="13" t="s">
        <v>1332</v>
      </c>
      <c r="K161" s="13" t="s">
        <v>137</v>
      </c>
      <c r="L161" s="13" t="s">
        <v>1304</v>
      </c>
      <c r="M161" s="13" t="s">
        <v>1333</v>
      </c>
      <c r="N161" s="13">
        <v>61.343000000000004</v>
      </c>
      <c r="O161" s="13" t="s">
        <v>1334</v>
      </c>
      <c r="P161" s="13" t="s">
        <v>1335</v>
      </c>
      <c r="Q161" s="13" t="s">
        <v>190</v>
      </c>
      <c r="R161" s="13" t="s">
        <v>1336</v>
      </c>
      <c r="S161" s="13" t="s">
        <v>192</v>
      </c>
      <c r="T161" s="13" t="s">
        <v>146</v>
      </c>
      <c r="U161" s="13" t="s">
        <v>110</v>
      </c>
      <c r="V161" s="47">
        <f>SUMIF(Data!$E:$E,$I161,Data!$AI:$AI)</f>
        <v>0</v>
      </c>
    </row>
    <row r="162" spans="1:22" x14ac:dyDescent="0.25">
      <c r="A162" s="46" t="s">
        <v>1209</v>
      </c>
      <c r="B162" s="46" t="s">
        <v>120</v>
      </c>
      <c r="C162" s="46">
        <v>6117874</v>
      </c>
      <c r="D162" s="46">
        <v>0.158</v>
      </c>
      <c r="E162" s="47">
        <f>SUMIF(Data!$E:$E,$C162,Data!$AI:$AI)</f>
        <v>0</v>
      </c>
      <c r="I162" s="13" t="s">
        <v>1337</v>
      </c>
      <c r="J162" s="13" t="s">
        <v>1338</v>
      </c>
      <c r="K162" s="13" t="s">
        <v>137</v>
      </c>
      <c r="L162" s="13" t="s">
        <v>1304</v>
      </c>
      <c r="M162" s="13" t="s">
        <v>1339</v>
      </c>
      <c r="N162" s="13">
        <v>656.27</v>
      </c>
      <c r="O162" s="13" t="s">
        <v>1340</v>
      </c>
      <c r="P162" s="13" t="s">
        <v>1341</v>
      </c>
      <c r="Q162" s="13" t="s">
        <v>190</v>
      </c>
      <c r="R162" s="13" t="s">
        <v>1342</v>
      </c>
      <c r="S162" s="13" t="s">
        <v>192</v>
      </c>
      <c r="T162" s="13" t="s">
        <v>146</v>
      </c>
      <c r="U162" s="13" t="s">
        <v>110</v>
      </c>
      <c r="V162" s="47">
        <f>SUMIF(Data!$E:$E,$I162,Data!$AI:$AI)</f>
        <v>0</v>
      </c>
    </row>
    <row r="163" spans="1:22" x14ac:dyDescent="0.25">
      <c r="A163" s="46" t="s">
        <v>1209</v>
      </c>
      <c r="B163" s="46" t="s">
        <v>120</v>
      </c>
      <c r="C163" s="46">
        <v>6119289</v>
      </c>
      <c r="D163" s="46">
        <v>4.65E-2</v>
      </c>
      <c r="E163" s="47">
        <f>SUMIF(Data!$E:$E,$C163,Data!$AI:$AI)</f>
        <v>0</v>
      </c>
      <c r="I163" s="13" t="s">
        <v>1343</v>
      </c>
      <c r="J163" s="13" t="s">
        <v>1344</v>
      </c>
      <c r="K163" s="13" t="s">
        <v>137</v>
      </c>
      <c r="L163" s="13" t="s">
        <v>1304</v>
      </c>
      <c r="M163" s="13" t="s">
        <v>1345</v>
      </c>
      <c r="N163" s="13" t="s">
        <v>1346</v>
      </c>
      <c r="O163" s="13" t="s">
        <v>1347</v>
      </c>
      <c r="P163" s="13" t="s">
        <v>1348</v>
      </c>
      <c r="Q163" s="13" t="s">
        <v>190</v>
      </c>
      <c r="R163" s="13" t="s">
        <v>1349</v>
      </c>
      <c r="S163" s="13" t="s">
        <v>847</v>
      </c>
      <c r="T163" s="13" t="s">
        <v>848</v>
      </c>
      <c r="U163" s="13" t="s">
        <v>849</v>
      </c>
      <c r="V163" s="47">
        <f>SUMIF(Data!$E:$E,$I163,Data!$AI:$AI)</f>
        <v>0</v>
      </c>
    </row>
    <row r="164" spans="1:22" x14ac:dyDescent="0.25">
      <c r="A164" s="46" t="s">
        <v>1209</v>
      </c>
      <c r="B164" s="46" t="s">
        <v>120</v>
      </c>
      <c r="C164" s="46">
        <v>6121187</v>
      </c>
      <c r="D164" s="46">
        <v>0.31859999999999999</v>
      </c>
      <c r="E164" s="47">
        <f>SUMIF(Data!$E:$E,$C164,Data!$AI:$AI)</f>
        <v>0</v>
      </c>
      <c r="I164" s="13" t="s">
        <v>1350</v>
      </c>
      <c r="J164" s="13" t="s">
        <v>1351</v>
      </c>
      <c r="K164" s="13" t="s">
        <v>137</v>
      </c>
      <c r="L164" s="13" t="s">
        <v>1304</v>
      </c>
      <c r="M164" s="13" t="s">
        <v>1352</v>
      </c>
      <c r="N164" s="13">
        <v>502.553</v>
      </c>
      <c r="O164" s="13" t="s">
        <v>1353</v>
      </c>
      <c r="P164" s="13" t="s">
        <v>1354</v>
      </c>
      <c r="Q164" s="13" t="s">
        <v>143</v>
      </c>
      <c r="R164" s="13" t="s">
        <v>1355</v>
      </c>
      <c r="S164" s="13" t="s">
        <v>145</v>
      </c>
      <c r="T164" s="13" t="s">
        <v>146</v>
      </c>
      <c r="U164" s="13" t="s">
        <v>110</v>
      </c>
      <c r="V164" s="47">
        <f>SUMIF(Data!$E:$E,$I164,Data!$AI:$AI)</f>
        <v>0</v>
      </c>
    </row>
    <row r="165" spans="1:22" x14ac:dyDescent="0.25">
      <c r="A165" s="46" t="s">
        <v>1209</v>
      </c>
      <c r="B165" s="46" t="s">
        <v>120</v>
      </c>
      <c r="C165" s="46">
        <v>6128780</v>
      </c>
      <c r="D165" s="46">
        <v>0.22839999999999999</v>
      </c>
      <c r="E165" s="47">
        <f>SUMIF(Data!$E:$E,$C165,Data!$AI:$AI)</f>
        <v>0</v>
      </c>
      <c r="I165" s="13" t="s">
        <v>1356</v>
      </c>
      <c r="J165" s="13" t="s">
        <v>1357</v>
      </c>
      <c r="K165" s="13" t="s">
        <v>137</v>
      </c>
      <c r="L165" s="13" t="s">
        <v>1304</v>
      </c>
      <c r="M165" s="13" t="s">
        <v>1358</v>
      </c>
      <c r="N165" s="13">
        <v>133.96299999999999</v>
      </c>
      <c r="O165" s="13" t="s">
        <v>1359</v>
      </c>
      <c r="P165" s="13" t="s">
        <v>1360</v>
      </c>
      <c r="Q165" s="13" t="s">
        <v>208</v>
      </c>
      <c r="R165" s="13" t="s">
        <v>1361</v>
      </c>
      <c r="S165" s="13" t="s">
        <v>145</v>
      </c>
      <c r="T165" s="13" t="s">
        <v>146</v>
      </c>
      <c r="U165" s="13" t="s">
        <v>110</v>
      </c>
      <c r="V165" s="47">
        <f>SUMIF(Data!$E:$E,$I165,Data!$AI:$AI)</f>
        <v>0</v>
      </c>
    </row>
    <row r="166" spans="1:22" x14ac:dyDescent="0.25">
      <c r="A166" s="46" t="s">
        <v>1209</v>
      </c>
      <c r="B166" s="46" t="s">
        <v>120</v>
      </c>
      <c r="C166" s="46">
        <v>6131012</v>
      </c>
      <c r="D166" s="46">
        <v>0.1951</v>
      </c>
      <c r="E166" s="47">
        <f>SUMIF(Data!$E:$E,$C166,Data!$AI:$AI)</f>
        <v>0</v>
      </c>
      <c r="I166" s="13" t="s">
        <v>1362</v>
      </c>
      <c r="J166" s="13" t="s">
        <v>1363</v>
      </c>
      <c r="K166" s="13" t="s">
        <v>137</v>
      </c>
      <c r="L166" s="13" t="s">
        <v>1304</v>
      </c>
      <c r="M166" s="13" t="s">
        <v>1364</v>
      </c>
      <c r="N166" s="13">
        <v>341.54700000000003</v>
      </c>
      <c r="O166" s="13" t="s">
        <v>1365</v>
      </c>
      <c r="P166" s="13" t="s">
        <v>1366</v>
      </c>
      <c r="Q166" s="13" t="s">
        <v>806</v>
      </c>
      <c r="R166" s="13" t="s">
        <v>1367</v>
      </c>
      <c r="S166" s="13" t="s">
        <v>192</v>
      </c>
      <c r="T166" s="13" t="s">
        <v>146</v>
      </c>
      <c r="U166" s="13" t="s">
        <v>110</v>
      </c>
      <c r="V166" s="47">
        <f>SUMIF(Data!$E:$E,$I166,Data!$AI:$AI)</f>
        <v>0</v>
      </c>
    </row>
    <row r="167" spans="1:22" x14ac:dyDescent="0.25">
      <c r="A167" s="46" t="s">
        <v>1209</v>
      </c>
      <c r="B167" s="46" t="s">
        <v>120</v>
      </c>
      <c r="C167" s="46">
        <v>6158594</v>
      </c>
      <c r="D167" s="46">
        <v>0.1709</v>
      </c>
      <c r="E167" s="47">
        <f>SUMIF(Data!$E:$E,$C167,Data!$AI:$AI)</f>
        <v>0</v>
      </c>
      <c r="I167" s="13" t="s">
        <v>1368</v>
      </c>
      <c r="J167" s="13" t="s">
        <v>1369</v>
      </c>
      <c r="K167" s="13" t="s">
        <v>137</v>
      </c>
      <c r="L167" s="13" t="s">
        <v>1304</v>
      </c>
      <c r="M167" s="13" t="s">
        <v>1370</v>
      </c>
      <c r="N167" s="13">
        <v>386.59100000000001</v>
      </c>
      <c r="O167" s="13" t="s">
        <v>1371</v>
      </c>
      <c r="P167" s="13" t="s">
        <v>1372</v>
      </c>
      <c r="Q167" s="13" t="s">
        <v>224</v>
      </c>
      <c r="R167" s="13" t="s">
        <v>1373</v>
      </c>
      <c r="S167" s="13" t="s">
        <v>476</v>
      </c>
      <c r="T167" s="13" t="s">
        <v>477</v>
      </c>
      <c r="U167" s="13" t="s">
        <v>478</v>
      </c>
      <c r="V167" s="47">
        <f>SUMIF(Data!$E:$E,$I167,Data!$AI:$AI)</f>
        <v>0</v>
      </c>
    </row>
    <row r="168" spans="1:22" x14ac:dyDescent="0.25">
      <c r="A168" s="46" t="s">
        <v>1209</v>
      </c>
      <c r="B168" s="46" t="s">
        <v>120</v>
      </c>
      <c r="C168" s="46">
        <v>6177685</v>
      </c>
      <c r="D168" s="46">
        <v>0.13500000000000001</v>
      </c>
      <c r="E168" s="47">
        <f>SUMIF(Data!$E:$E,$C168,Data!$AI:$AI)</f>
        <v>0</v>
      </c>
      <c r="I168" s="13" t="s">
        <v>1374</v>
      </c>
      <c r="J168" s="13" t="s">
        <v>1375</v>
      </c>
      <c r="K168" s="13" t="s">
        <v>137</v>
      </c>
      <c r="L168" s="13" t="s">
        <v>1376</v>
      </c>
      <c r="M168" s="13" t="s">
        <v>1377</v>
      </c>
      <c r="N168" s="13">
        <v>414.41899999999998</v>
      </c>
      <c r="O168" s="13" t="s">
        <v>1378</v>
      </c>
      <c r="P168" s="13" t="s">
        <v>1379</v>
      </c>
      <c r="Q168" s="13" t="s">
        <v>416</v>
      </c>
      <c r="R168" s="13" t="s">
        <v>1380</v>
      </c>
      <c r="S168" s="13" t="s">
        <v>145</v>
      </c>
      <c r="T168" s="13" t="s">
        <v>146</v>
      </c>
      <c r="U168" s="13" t="s">
        <v>110</v>
      </c>
      <c r="V168" s="47">
        <f>SUMIF(Data!$E:$E,$I168,Data!$AI:$AI)</f>
        <v>0</v>
      </c>
    </row>
    <row r="169" spans="1:22" x14ac:dyDescent="0.25">
      <c r="A169" s="46" t="s">
        <v>1209</v>
      </c>
      <c r="B169" s="46" t="s">
        <v>120</v>
      </c>
      <c r="C169" s="46">
        <v>6180809</v>
      </c>
      <c r="D169" s="46">
        <v>0.19800000000000001</v>
      </c>
      <c r="E169" s="47">
        <f>SUMIF(Data!$E:$E,$C169,Data!$AI:$AI)</f>
        <v>0</v>
      </c>
      <c r="I169" s="13" t="s">
        <v>1381</v>
      </c>
      <c r="J169" s="13" t="s">
        <v>1382</v>
      </c>
      <c r="K169" s="13" t="s">
        <v>137</v>
      </c>
      <c r="L169" s="13" t="s">
        <v>1376</v>
      </c>
      <c r="M169" s="13" t="s">
        <v>1383</v>
      </c>
      <c r="N169" s="13">
        <v>274.08999999999997</v>
      </c>
      <c r="O169" s="13" t="s">
        <v>1384</v>
      </c>
      <c r="P169" s="13" t="s">
        <v>1385</v>
      </c>
      <c r="Q169" s="13" t="s">
        <v>416</v>
      </c>
      <c r="R169" s="13" t="s">
        <v>1386</v>
      </c>
      <c r="S169" s="13" t="s">
        <v>560</v>
      </c>
      <c r="T169" s="13" t="s">
        <v>561</v>
      </c>
      <c r="U169" s="13" t="s">
        <v>525</v>
      </c>
      <c r="V169" s="47">
        <f>SUMIF(Data!$E:$E,$I169,Data!$AI:$AI)</f>
        <v>0</v>
      </c>
    </row>
    <row r="170" spans="1:22" x14ac:dyDescent="0.25">
      <c r="A170" s="46" t="s">
        <v>1209</v>
      </c>
      <c r="B170" s="46" t="s">
        <v>120</v>
      </c>
      <c r="C170" s="46">
        <v>6182043</v>
      </c>
      <c r="D170" s="46">
        <v>1.3409</v>
      </c>
      <c r="E170" s="47">
        <f>SUMIF(Data!$E:$E,$C170,Data!$AI:$AI)</f>
        <v>0</v>
      </c>
      <c r="I170" s="13" t="s">
        <v>1387</v>
      </c>
      <c r="J170" s="13" t="s">
        <v>1388</v>
      </c>
      <c r="K170" s="13" t="s">
        <v>137</v>
      </c>
      <c r="L170" s="13" t="s">
        <v>1376</v>
      </c>
      <c r="M170" s="13" t="s">
        <v>1389</v>
      </c>
      <c r="N170" s="13" t="s">
        <v>1390</v>
      </c>
      <c r="O170" s="13" t="s">
        <v>1391</v>
      </c>
      <c r="P170" s="13" t="s">
        <v>1392</v>
      </c>
      <c r="Q170" s="13" t="s">
        <v>172</v>
      </c>
      <c r="R170" s="13" t="s">
        <v>1393</v>
      </c>
      <c r="S170" s="13" t="s">
        <v>523</v>
      </c>
      <c r="T170" s="13" t="s">
        <v>524</v>
      </c>
      <c r="U170" s="13" t="s">
        <v>525</v>
      </c>
      <c r="V170" s="47">
        <f>SUMIF(Data!$E:$E,$I170,Data!$AI:$AI)</f>
        <v>0</v>
      </c>
    </row>
    <row r="171" spans="1:22" x14ac:dyDescent="0.25">
      <c r="A171" s="46" t="s">
        <v>1209</v>
      </c>
      <c r="B171" s="46" t="s">
        <v>120</v>
      </c>
      <c r="C171" s="46">
        <v>6188052</v>
      </c>
      <c r="D171" s="46">
        <v>0.18720000000000001</v>
      </c>
      <c r="E171" s="47">
        <f>SUMIF(Data!$E:$E,$C171,Data!$AI:$AI)</f>
        <v>0</v>
      </c>
      <c r="I171" s="13" t="s">
        <v>1394</v>
      </c>
      <c r="J171" s="13" t="s">
        <v>1395</v>
      </c>
      <c r="K171" s="13" t="s">
        <v>137</v>
      </c>
      <c r="L171" s="13" t="s">
        <v>1376</v>
      </c>
      <c r="M171" s="13" t="s">
        <v>1396</v>
      </c>
      <c r="N171" s="13" t="s">
        <v>1397</v>
      </c>
      <c r="O171" s="13" t="s">
        <v>1398</v>
      </c>
      <c r="P171" s="13" t="s">
        <v>1399</v>
      </c>
      <c r="Q171" s="13" t="s">
        <v>190</v>
      </c>
      <c r="R171" s="13" t="s">
        <v>1400</v>
      </c>
      <c r="S171" s="13" t="s">
        <v>476</v>
      </c>
      <c r="T171" s="13" t="s">
        <v>477</v>
      </c>
      <c r="U171" s="13" t="s">
        <v>478</v>
      </c>
      <c r="V171" s="47">
        <f>SUMIF(Data!$E:$E,$I171,Data!$AI:$AI)</f>
        <v>0</v>
      </c>
    </row>
    <row r="172" spans="1:22" x14ac:dyDescent="0.25">
      <c r="A172" s="46" t="s">
        <v>1209</v>
      </c>
      <c r="B172" s="46" t="s">
        <v>120</v>
      </c>
      <c r="C172" s="46">
        <v>6193948</v>
      </c>
      <c r="D172" s="46">
        <v>0.25609999999999999</v>
      </c>
      <c r="E172" s="47">
        <f>SUMIF(Data!$E:$E,$C172,Data!$AI:$AI)</f>
        <v>0</v>
      </c>
      <c r="I172" s="13" t="s">
        <v>1401</v>
      </c>
      <c r="J172" s="13" t="s">
        <v>1402</v>
      </c>
      <c r="K172" s="13" t="s">
        <v>137</v>
      </c>
      <c r="L172" s="13" t="s">
        <v>1376</v>
      </c>
      <c r="M172" s="13" t="s">
        <v>1403</v>
      </c>
      <c r="N172" s="13">
        <v>99.525000000000006</v>
      </c>
      <c r="O172" s="13" t="s">
        <v>1404</v>
      </c>
      <c r="P172" s="13" t="s">
        <v>1405</v>
      </c>
      <c r="Q172" s="13" t="s">
        <v>143</v>
      </c>
      <c r="R172" s="13" t="s">
        <v>1406</v>
      </c>
      <c r="S172" s="13" t="s">
        <v>192</v>
      </c>
      <c r="T172" s="13" t="s">
        <v>146</v>
      </c>
      <c r="U172" s="13" t="s">
        <v>110</v>
      </c>
      <c r="V172" s="47">
        <f>SUMIF(Data!$E:$E,$I172,Data!$AI:$AI)</f>
        <v>0</v>
      </c>
    </row>
    <row r="173" spans="1:22" x14ac:dyDescent="0.25">
      <c r="A173" s="46" t="s">
        <v>1209</v>
      </c>
      <c r="B173" s="46" t="s">
        <v>120</v>
      </c>
      <c r="C173" s="46">
        <v>6201498</v>
      </c>
      <c r="D173" s="46">
        <v>0.2077</v>
      </c>
      <c r="E173" s="47">
        <f>SUMIF(Data!$E:$E,$C173,Data!$AI:$AI)</f>
        <v>0</v>
      </c>
      <c r="I173" s="13" t="s">
        <v>1407</v>
      </c>
      <c r="J173" s="13" t="s">
        <v>1408</v>
      </c>
      <c r="K173" s="13" t="s">
        <v>137</v>
      </c>
      <c r="L173" s="13" t="s">
        <v>1376</v>
      </c>
      <c r="M173" s="13" t="s">
        <v>1409</v>
      </c>
      <c r="N173" s="13" t="s">
        <v>1410</v>
      </c>
      <c r="O173" s="13" t="s">
        <v>1411</v>
      </c>
      <c r="P173" s="13" t="s">
        <v>1412</v>
      </c>
      <c r="Q173" s="13" t="s">
        <v>190</v>
      </c>
      <c r="R173" s="13" t="s">
        <v>1413</v>
      </c>
      <c r="S173" s="13" t="s">
        <v>560</v>
      </c>
      <c r="T173" s="13" t="s">
        <v>561</v>
      </c>
      <c r="U173" s="13" t="s">
        <v>525</v>
      </c>
      <c r="V173" s="47">
        <f>SUMIF(Data!$E:$E,$I173,Data!$AI:$AI)</f>
        <v>0</v>
      </c>
    </row>
    <row r="174" spans="1:22" x14ac:dyDescent="0.25">
      <c r="A174" s="46" t="s">
        <v>1209</v>
      </c>
      <c r="B174" s="46" t="s">
        <v>120</v>
      </c>
      <c r="C174" s="46">
        <v>6247964</v>
      </c>
      <c r="D174" s="46">
        <v>0.1222</v>
      </c>
      <c r="E174" s="47">
        <f>SUMIF(Data!$E:$E,$C174,Data!$AI:$AI)</f>
        <v>0</v>
      </c>
      <c r="I174" s="13" t="s">
        <v>1414</v>
      </c>
      <c r="J174" s="13" t="s">
        <v>1415</v>
      </c>
      <c r="K174" s="13" t="s">
        <v>137</v>
      </c>
      <c r="L174" s="13" t="s">
        <v>1376</v>
      </c>
      <c r="M174" s="13" t="s">
        <v>1416</v>
      </c>
      <c r="N174" s="13">
        <v>155.874</v>
      </c>
      <c r="O174" s="13" t="s">
        <v>1417</v>
      </c>
      <c r="P174" s="13" t="s">
        <v>1418</v>
      </c>
      <c r="Q174" s="13" t="s">
        <v>143</v>
      </c>
      <c r="R174" s="13" t="s">
        <v>1419</v>
      </c>
      <c r="S174" s="13" t="s">
        <v>192</v>
      </c>
      <c r="T174" s="13" t="s">
        <v>146</v>
      </c>
      <c r="U174" s="13" t="s">
        <v>110</v>
      </c>
      <c r="V174" s="47">
        <f>SUMIF(Data!$E:$E,$I174,Data!$AI:$AI)</f>
        <v>0</v>
      </c>
    </row>
    <row r="175" spans="1:22" x14ac:dyDescent="0.25">
      <c r="A175" s="46" t="s">
        <v>1209</v>
      </c>
      <c r="B175" s="46" t="s">
        <v>120</v>
      </c>
      <c r="C175" s="46">
        <v>6281519</v>
      </c>
      <c r="D175" s="46">
        <v>0.15049999999999999</v>
      </c>
      <c r="E175" s="47">
        <f>SUMIF(Data!$E:$E,$C175,Data!$AI:$AI)</f>
        <v>0</v>
      </c>
      <c r="I175" s="13" t="s">
        <v>1420</v>
      </c>
      <c r="J175" s="13" t="s">
        <v>1421</v>
      </c>
      <c r="K175" s="13" t="s">
        <v>137</v>
      </c>
      <c r="L175" s="13" t="s">
        <v>1376</v>
      </c>
      <c r="M175" s="13" t="s">
        <v>1422</v>
      </c>
      <c r="N175" s="13">
        <v>262.69299999999998</v>
      </c>
      <c r="O175" s="13" t="s">
        <v>1423</v>
      </c>
      <c r="P175" s="13" t="s">
        <v>1424</v>
      </c>
      <c r="Q175" s="13" t="s">
        <v>190</v>
      </c>
      <c r="R175" s="13" t="s">
        <v>1425</v>
      </c>
      <c r="S175" s="13" t="s">
        <v>192</v>
      </c>
      <c r="T175" s="13" t="s">
        <v>146</v>
      </c>
      <c r="U175" s="13" t="s">
        <v>110</v>
      </c>
      <c r="V175" s="47">
        <f>SUMIF(Data!$E:$E,$I175,Data!$AI:$AI)</f>
        <v>0</v>
      </c>
    </row>
    <row r="176" spans="1:22" x14ac:dyDescent="0.25">
      <c r="A176" s="46" t="s">
        <v>1209</v>
      </c>
      <c r="B176" s="46" t="s">
        <v>120</v>
      </c>
      <c r="C176" s="46">
        <v>6288457</v>
      </c>
      <c r="D176" s="46">
        <v>0.93879999999999997</v>
      </c>
      <c r="E176" s="47">
        <f>SUMIF(Data!$E:$E,$C176,Data!$AI:$AI)</f>
        <v>0</v>
      </c>
      <c r="I176" s="13" t="s">
        <v>1426</v>
      </c>
      <c r="J176" s="13" t="s">
        <v>1427</v>
      </c>
      <c r="K176" s="13" t="s">
        <v>137</v>
      </c>
      <c r="L176" s="13" t="s">
        <v>1376</v>
      </c>
      <c r="M176" s="13" t="s">
        <v>1428</v>
      </c>
      <c r="N176" s="13">
        <v>148.16999999999999</v>
      </c>
      <c r="O176" s="13" t="s">
        <v>1429</v>
      </c>
      <c r="P176" s="13" t="s">
        <v>1430</v>
      </c>
      <c r="Q176" s="13" t="s">
        <v>416</v>
      </c>
      <c r="R176" s="13" t="s">
        <v>1431</v>
      </c>
      <c r="S176" s="13" t="s">
        <v>192</v>
      </c>
      <c r="T176" s="13" t="s">
        <v>146</v>
      </c>
      <c r="U176" s="13" t="s">
        <v>110</v>
      </c>
      <c r="V176" s="47">
        <f>SUMIF(Data!$E:$E,$I176,Data!$AI:$AI)</f>
        <v>0</v>
      </c>
    </row>
    <row r="177" spans="1:22" x14ac:dyDescent="0.25">
      <c r="A177" s="46" t="s">
        <v>1209</v>
      </c>
      <c r="B177" s="46" t="s">
        <v>120</v>
      </c>
      <c r="C177" s="46">
        <v>6289977</v>
      </c>
      <c r="D177" s="46">
        <v>0.18240000000000001</v>
      </c>
      <c r="E177" s="47">
        <f>SUMIF(Data!$E:$E,$C177,Data!$AI:$AI)</f>
        <v>0</v>
      </c>
      <c r="I177" s="13">
        <v>9433</v>
      </c>
      <c r="J177" s="13" t="s">
        <v>1432</v>
      </c>
      <c r="K177" s="13" t="s">
        <v>137</v>
      </c>
      <c r="L177" s="13" t="s">
        <v>1376</v>
      </c>
      <c r="M177" s="13" t="s">
        <v>1433</v>
      </c>
      <c r="N177" s="13">
        <v>972.85</v>
      </c>
      <c r="O177" s="13" t="s">
        <v>1434</v>
      </c>
      <c r="P177" s="13" t="s">
        <v>1435</v>
      </c>
      <c r="Q177" s="13" t="s">
        <v>172</v>
      </c>
      <c r="R177" s="13" t="s">
        <v>1436</v>
      </c>
      <c r="S177" s="13" t="s">
        <v>441</v>
      </c>
      <c r="T177" s="13" t="s">
        <v>442</v>
      </c>
      <c r="U177" s="13" t="s">
        <v>443</v>
      </c>
      <c r="V177" s="47">
        <f>SUMIF(Data!$E:$E,$I177,Data!$AI:$AI)</f>
        <v>0</v>
      </c>
    </row>
    <row r="178" spans="1:22" x14ac:dyDescent="0.25">
      <c r="A178" s="46" t="s">
        <v>1209</v>
      </c>
      <c r="B178" s="46" t="s">
        <v>120</v>
      </c>
      <c r="C178" s="46">
        <v>6307954</v>
      </c>
      <c r="D178" s="46">
        <v>0.60550000000000004</v>
      </c>
      <c r="E178" s="47">
        <f>SUMIF(Data!$E:$E,$C178,Data!$AI:$AI)</f>
        <v>0</v>
      </c>
      <c r="I178" s="13" t="s">
        <v>1437</v>
      </c>
      <c r="J178" s="13" t="s">
        <v>1438</v>
      </c>
      <c r="K178" s="13" t="s">
        <v>137</v>
      </c>
      <c r="L178" s="13" t="s">
        <v>1376</v>
      </c>
      <c r="M178" s="13" t="s">
        <v>1439</v>
      </c>
      <c r="N178" s="13">
        <v>847.721</v>
      </c>
      <c r="O178" s="13" t="s">
        <v>1440</v>
      </c>
      <c r="P178" s="13" t="s">
        <v>1441</v>
      </c>
      <c r="Q178" s="13" t="s">
        <v>260</v>
      </c>
      <c r="R178" s="13" t="s">
        <v>1442</v>
      </c>
      <c r="S178" s="13" t="s">
        <v>725</v>
      </c>
      <c r="T178" s="13" t="s">
        <v>726</v>
      </c>
      <c r="U178" s="13" t="s">
        <v>727</v>
      </c>
      <c r="V178" s="47">
        <f>SUMIF(Data!$E:$E,$I178,Data!$AI:$AI)</f>
        <v>0</v>
      </c>
    </row>
    <row r="179" spans="1:22" x14ac:dyDescent="0.25">
      <c r="A179" s="46" t="s">
        <v>1209</v>
      </c>
      <c r="B179" s="46" t="s">
        <v>120</v>
      </c>
      <c r="C179" s="46">
        <v>6310747</v>
      </c>
      <c r="D179" s="46">
        <v>1.7573000000000001</v>
      </c>
      <c r="E179" s="47">
        <f>SUMIF(Data!$E:$E,$C179,Data!$AI:$AI)</f>
        <v>0</v>
      </c>
      <c r="I179" s="13" t="s">
        <v>1437</v>
      </c>
      <c r="J179" s="13" t="s">
        <v>1443</v>
      </c>
      <c r="K179" s="13" t="s">
        <v>137</v>
      </c>
      <c r="L179" s="13" t="s">
        <v>1376</v>
      </c>
      <c r="M179" s="13" t="s">
        <v>1444</v>
      </c>
      <c r="N179" s="13">
        <v>283.46300000000002</v>
      </c>
      <c r="O179" s="13" t="s">
        <v>1445</v>
      </c>
      <c r="P179" s="13" t="s">
        <v>1446</v>
      </c>
      <c r="Q179" s="13" t="s">
        <v>416</v>
      </c>
      <c r="R179" s="13" t="s">
        <v>1447</v>
      </c>
      <c r="S179" s="13" t="s">
        <v>560</v>
      </c>
      <c r="T179" s="13" t="s">
        <v>561</v>
      </c>
      <c r="U179" s="13" t="s">
        <v>525</v>
      </c>
      <c r="V179" s="47">
        <f>SUMIF(Data!$E:$E,$I179,Data!$AI:$AI)</f>
        <v>0</v>
      </c>
    </row>
    <row r="180" spans="1:22" x14ac:dyDescent="0.25">
      <c r="A180" s="46" t="s">
        <v>1209</v>
      </c>
      <c r="B180" s="46" t="s">
        <v>120</v>
      </c>
      <c r="C180" s="46">
        <v>6313092</v>
      </c>
      <c r="D180" s="46">
        <v>0.19209999999999999</v>
      </c>
      <c r="E180" s="47">
        <f>SUMIF(Data!$E:$E,$C180,Data!$AI:$AI)</f>
        <v>0</v>
      </c>
      <c r="I180" s="13" t="s">
        <v>1448</v>
      </c>
      <c r="J180" s="13" t="s">
        <v>1449</v>
      </c>
      <c r="K180" s="13" t="s">
        <v>137</v>
      </c>
      <c r="L180" s="13" t="s">
        <v>1376</v>
      </c>
      <c r="M180" s="13" t="s">
        <v>1450</v>
      </c>
      <c r="N180" s="13">
        <v>97.766999999999996</v>
      </c>
      <c r="O180" s="13" t="s">
        <v>1451</v>
      </c>
      <c r="P180" s="13" t="s">
        <v>1452</v>
      </c>
      <c r="Q180" s="13" t="s">
        <v>208</v>
      </c>
      <c r="R180" s="13" t="s">
        <v>1453</v>
      </c>
      <c r="S180" s="13" t="s">
        <v>145</v>
      </c>
      <c r="T180" s="13" t="s">
        <v>146</v>
      </c>
      <c r="U180" s="13" t="s">
        <v>110</v>
      </c>
      <c r="V180" s="47">
        <f>SUMIF(Data!$E:$E,$I180,Data!$AI:$AI)</f>
        <v>0</v>
      </c>
    </row>
    <row r="181" spans="1:22" x14ac:dyDescent="0.25">
      <c r="A181" s="46" t="s">
        <v>1209</v>
      </c>
      <c r="B181" s="46" t="s">
        <v>120</v>
      </c>
      <c r="C181" s="46">
        <v>6314932</v>
      </c>
      <c r="D181" s="46">
        <v>0.53400000000000003</v>
      </c>
      <c r="E181" s="47">
        <f>SUMIF(Data!$E:$E,$C181,Data!$AI:$AI)</f>
        <v>0</v>
      </c>
      <c r="I181" s="13" t="s">
        <v>1454</v>
      </c>
      <c r="J181" s="13" t="s">
        <v>1455</v>
      </c>
      <c r="K181" s="13" t="s">
        <v>137</v>
      </c>
      <c r="L181" s="13" t="s">
        <v>1376</v>
      </c>
      <c r="M181" s="13" t="s">
        <v>1456</v>
      </c>
      <c r="N181" s="13">
        <v>161.76599999999999</v>
      </c>
      <c r="O181" s="13" t="s">
        <v>1457</v>
      </c>
      <c r="P181" s="13" t="s">
        <v>1458</v>
      </c>
      <c r="Q181" s="13" t="s">
        <v>416</v>
      </c>
      <c r="R181" s="13" t="s">
        <v>1459</v>
      </c>
      <c r="S181" s="13" t="s">
        <v>192</v>
      </c>
      <c r="T181" s="13" t="s">
        <v>146</v>
      </c>
      <c r="U181" s="13" t="s">
        <v>110</v>
      </c>
      <c r="V181" s="47">
        <f>SUMIF(Data!$E:$E,$I181,Data!$AI:$AI)</f>
        <v>0</v>
      </c>
    </row>
    <row r="182" spans="1:22" x14ac:dyDescent="0.25">
      <c r="A182" s="46" t="s">
        <v>1209</v>
      </c>
      <c r="B182" s="46" t="s">
        <v>120</v>
      </c>
      <c r="C182" s="46">
        <v>6315838</v>
      </c>
      <c r="D182" s="46">
        <v>0.1522</v>
      </c>
      <c r="E182" s="47">
        <f>SUMIF(Data!$E:$E,$C182,Data!$AI:$AI)</f>
        <v>0</v>
      </c>
      <c r="I182" s="13" t="s">
        <v>1460</v>
      </c>
      <c r="J182" s="13" t="s">
        <v>1461</v>
      </c>
      <c r="K182" s="13" t="s">
        <v>137</v>
      </c>
      <c r="L182" s="13" t="s">
        <v>1376</v>
      </c>
      <c r="M182" s="13" t="s">
        <v>1462</v>
      </c>
      <c r="N182" s="13">
        <v>305.06900000000002</v>
      </c>
      <c r="O182" s="13" t="s">
        <v>1463</v>
      </c>
      <c r="P182" s="13" t="s">
        <v>1464</v>
      </c>
      <c r="Q182" s="13" t="s">
        <v>190</v>
      </c>
      <c r="R182" s="13" t="s">
        <v>1465</v>
      </c>
      <c r="S182" s="13" t="s">
        <v>192</v>
      </c>
      <c r="T182" s="13" t="s">
        <v>146</v>
      </c>
      <c r="U182" s="13" t="s">
        <v>110</v>
      </c>
      <c r="V182" s="47">
        <f>SUMIF(Data!$E:$E,$I182,Data!$AI:$AI)</f>
        <v>0</v>
      </c>
    </row>
    <row r="183" spans="1:22" x14ac:dyDescent="0.25">
      <c r="A183" s="46" t="s">
        <v>1209</v>
      </c>
      <c r="B183" s="46" t="s">
        <v>120</v>
      </c>
      <c r="C183" s="46">
        <v>6320887</v>
      </c>
      <c r="D183" s="46">
        <v>0.10589999999999999</v>
      </c>
      <c r="E183" s="47">
        <f>SUMIF(Data!$E:$E,$C183,Data!$AI:$AI)</f>
        <v>0</v>
      </c>
      <c r="I183" s="13" t="s">
        <v>1466</v>
      </c>
      <c r="J183" s="13" t="s">
        <v>1467</v>
      </c>
      <c r="K183" s="13" t="s">
        <v>137</v>
      </c>
      <c r="L183" s="13" t="s">
        <v>1376</v>
      </c>
      <c r="M183" s="13" t="s">
        <v>1468</v>
      </c>
      <c r="N183" s="13" t="s">
        <v>1469</v>
      </c>
      <c r="O183" s="13" t="s">
        <v>1470</v>
      </c>
      <c r="P183" s="13" t="s">
        <v>1471</v>
      </c>
      <c r="Q183" s="13" t="s">
        <v>172</v>
      </c>
      <c r="R183" s="13" t="s">
        <v>1472</v>
      </c>
      <c r="S183" s="13" t="s">
        <v>476</v>
      </c>
      <c r="T183" s="13" t="s">
        <v>477</v>
      </c>
      <c r="U183" s="13" t="s">
        <v>478</v>
      </c>
      <c r="V183" s="47">
        <f>SUMIF(Data!$E:$E,$I183,Data!$AI:$AI)</f>
        <v>0</v>
      </c>
    </row>
    <row r="184" spans="1:22" x14ac:dyDescent="0.25">
      <c r="A184" s="46" t="s">
        <v>1209</v>
      </c>
      <c r="B184" s="46" t="s">
        <v>120</v>
      </c>
      <c r="C184" s="46">
        <v>6320973</v>
      </c>
      <c r="D184" s="46">
        <v>0.2399</v>
      </c>
      <c r="E184" s="47">
        <f>SUMIF(Data!$E:$E,$C184,Data!$AI:$AI)</f>
        <v>0</v>
      </c>
      <c r="I184" s="13" t="s">
        <v>1473</v>
      </c>
      <c r="J184" s="13" t="s">
        <v>1474</v>
      </c>
      <c r="K184" s="13" t="s">
        <v>137</v>
      </c>
      <c r="L184" s="13" t="s">
        <v>1376</v>
      </c>
      <c r="M184" s="13" t="s">
        <v>1475</v>
      </c>
      <c r="N184" s="13">
        <v>713.63099999999997</v>
      </c>
      <c r="O184" s="13" t="s">
        <v>1476</v>
      </c>
      <c r="P184" s="13" t="s">
        <v>1477</v>
      </c>
      <c r="Q184" s="13" t="s">
        <v>260</v>
      </c>
      <c r="R184" s="13" t="s">
        <v>1478</v>
      </c>
      <c r="S184" s="13" t="s">
        <v>192</v>
      </c>
      <c r="T184" s="13" t="s">
        <v>146</v>
      </c>
      <c r="U184" s="13" t="s">
        <v>110</v>
      </c>
      <c r="V184" s="47">
        <f>SUMIF(Data!$E:$E,$I184,Data!$AI:$AI)</f>
        <v>0</v>
      </c>
    </row>
    <row r="185" spans="1:22" x14ac:dyDescent="0.25">
      <c r="A185" s="46" t="s">
        <v>1209</v>
      </c>
      <c r="B185" s="46" t="s">
        <v>120</v>
      </c>
      <c r="C185" s="46">
        <v>6334350</v>
      </c>
      <c r="D185" s="46">
        <v>0.5524</v>
      </c>
      <c r="E185" s="47">
        <f>SUMIF(Data!$E:$E,$C185,Data!$AI:$AI)</f>
        <v>0</v>
      </c>
      <c r="I185" s="13">
        <v>6098</v>
      </c>
      <c r="J185" s="13" t="s">
        <v>1479</v>
      </c>
      <c r="K185" s="13" t="s">
        <v>137</v>
      </c>
      <c r="L185" s="13" t="s">
        <v>1376</v>
      </c>
      <c r="M185" s="13" t="s">
        <v>1480</v>
      </c>
      <c r="N185" s="13">
        <v>731.2</v>
      </c>
      <c r="O185" s="13" t="s">
        <v>1481</v>
      </c>
      <c r="P185" s="13" t="s">
        <v>1482</v>
      </c>
      <c r="Q185" s="13" t="s">
        <v>416</v>
      </c>
      <c r="R185" s="13" t="s">
        <v>1483</v>
      </c>
      <c r="S185" s="13" t="s">
        <v>441</v>
      </c>
      <c r="T185" s="13" t="s">
        <v>442</v>
      </c>
      <c r="U185" s="13" t="s">
        <v>443</v>
      </c>
      <c r="V185" s="47">
        <f>SUMIF(Data!$E:$E,$I185,Data!$AI:$AI)</f>
        <v>0</v>
      </c>
    </row>
    <row r="186" spans="1:22" x14ac:dyDescent="0.25">
      <c r="A186" s="46" t="s">
        <v>1209</v>
      </c>
      <c r="B186" s="46" t="s">
        <v>120</v>
      </c>
      <c r="C186" s="46">
        <v>6335933</v>
      </c>
      <c r="D186" s="46">
        <v>0.3422</v>
      </c>
      <c r="E186" s="47">
        <f>SUMIF(Data!$E:$E,$C186,Data!$AI:$AI)</f>
        <v>0</v>
      </c>
      <c r="I186" s="13" t="s">
        <v>1484</v>
      </c>
      <c r="J186" s="13" t="s">
        <v>1485</v>
      </c>
      <c r="K186" s="13" t="s">
        <v>137</v>
      </c>
      <c r="L186" s="13" t="s">
        <v>1376</v>
      </c>
      <c r="M186" s="13" t="s">
        <v>1486</v>
      </c>
      <c r="N186" s="13">
        <v>162.54599999999999</v>
      </c>
      <c r="O186" s="13" t="s">
        <v>1487</v>
      </c>
      <c r="P186" s="13" t="s">
        <v>1488</v>
      </c>
      <c r="Q186" s="13" t="s">
        <v>416</v>
      </c>
      <c r="R186" s="13" t="s">
        <v>1489</v>
      </c>
      <c r="S186" s="13" t="s">
        <v>192</v>
      </c>
      <c r="T186" s="13" t="s">
        <v>146</v>
      </c>
      <c r="U186" s="13" t="s">
        <v>110</v>
      </c>
      <c r="V186" s="47">
        <f>SUMIF(Data!$E:$E,$I186,Data!$AI:$AI)</f>
        <v>0</v>
      </c>
    </row>
    <row r="187" spans="1:22" x14ac:dyDescent="0.25">
      <c r="A187" s="46" t="s">
        <v>1209</v>
      </c>
      <c r="B187" s="46" t="s">
        <v>120</v>
      </c>
      <c r="C187" s="46">
        <v>6346678</v>
      </c>
      <c r="D187" s="46">
        <v>0.1605</v>
      </c>
      <c r="E187" s="47">
        <f>SUMIF(Data!$E:$E,$C187,Data!$AI:$AI)</f>
        <v>0</v>
      </c>
      <c r="I187" s="13" t="s">
        <v>1490</v>
      </c>
      <c r="J187" s="13" t="s">
        <v>1491</v>
      </c>
      <c r="K187" s="13" t="s">
        <v>137</v>
      </c>
      <c r="L187" s="13" t="s">
        <v>1492</v>
      </c>
      <c r="M187" s="13" t="s">
        <v>1493</v>
      </c>
      <c r="N187" s="13">
        <v>42.414999999999999</v>
      </c>
      <c r="O187" s="13" t="s">
        <v>1494</v>
      </c>
      <c r="P187" s="13" t="s">
        <v>1495</v>
      </c>
      <c r="Q187" s="13" t="s">
        <v>162</v>
      </c>
      <c r="R187" s="13" t="s">
        <v>1496</v>
      </c>
      <c r="S187" s="13" t="s">
        <v>560</v>
      </c>
      <c r="T187" s="13" t="s">
        <v>561</v>
      </c>
      <c r="U187" s="13" t="s">
        <v>525</v>
      </c>
      <c r="V187" s="47">
        <f>SUMIF(Data!$E:$E,$I187,Data!$AI:$AI)</f>
        <v>0</v>
      </c>
    </row>
    <row r="188" spans="1:22" x14ac:dyDescent="0.25">
      <c r="A188" s="46" t="s">
        <v>1209</v>
      </c>
      <c r="B188" s="46" t="s">
        <v>120</v>
      </c>
      <c r="C188" s="46">
        <v>6353537</v>
      </c>
      <c r="D188" s="46">
        <v>0.33119999999999999</v>
      </c>
      <c r="E188" s="47">
        <f>SUMIF(Data!$E:$E,$C188,Data!$AI:$AI)</f>
        <v>0</v>
      </c>
      <c r="I188" s="13" t="s">
        <v>1497</v>
      </c>
      <c r="J188" s="13" t="s">
        <v>1498</v>
      </c>
      <c r="K188" s="13" t="s">
        <v>137</v>
      </c>
      <c r="L188" s="13" t="s">
        <v>1492</v>
      </c>
      <c r="M188" s="13" t="s">
        <v>1499</v>
      </c>
      <c r="N188" s="13">
        <v>133.72200000000001</v>
      </c>
      <c r="O188" s="13" t="s">
        <v>1500</v>
      </c>
      <c r="P188" s="13" t="s">
        <v>1501</v>
      </c>
      <c r="Q188" s="13" t="s">
        <v>190</v>
      </c>
      <c r="R188" s="13" t="s">
        <v>1502</v>
      </c>
      <c r="S188" s="13" t="s">
        <v>192</v>
      </c>
      <c r="T188" s="13" t="s">
        <v>146</v>
      </c>
      <c r="U188" s="13" t="s">
        <v>110</v>
      </c>
      <c r="V188" s="47">
        <f>SUMIF(Data!$E:$E,$I188,Data!$AI:$AI)</f>
        <v>0</v>
      </c>
    </row>
    <row r="189" spans="1:22" x14ac:dyDescent="0.25">
      <c r="A189" s="46" t="s">
        <v>1209</v>
      </c>
      <c r="B189" s="46" t="s">
        <v>120</v>
      </c>
      <c r="C189" s="46">
        <v>6373728</v>
      </c>
      <c r="D189" s="46">
        <v>0.57479999999999998</v>
      </c>
      <c r="E189" s="47">
        <f>SUMIF(Data!$E:$E,$C189,Data!$AI:$AI)</f>
        <v>0</v>
      </c>
      <c r="I189" s="13" t="s">
        <v>1503</v>
      </c>
      <c r="J189" s="13" t="s">
        <v>1504</v>
      </c>
      <c r="K189" s="13" t="s">
        <v>137</v>
      </c>
      <c r="L189" s="13" t="s">
        <v>1492</v>
      </c>
      <c r="M189" s="13" t="s">
        <v>1505</v>
      </c>
      <c r="N189" s="13">
        <v>82.376999999999995</v>
      </c>
      <c r="O189" s="13" t="s">
        <v>1506</v>
      </c>
      <c r="P189" s="13" t="s">
        <v>1507</v>
      </c>
      <c r="Q189" s="13" t="s">
        <v>208</v>
      </c>
      <c r="R189" s="13" t="s">
        <v>1508</v>
      </c>
      <c r="S189" s="13" t="s">
        <v>145</v>
      </c>
      <c r="T189" s="13" t="s">
        <v>146</v>
      </c>
      <c r="U189" s="13" t="s">
        <v>110</v>
      </c>
      <c r="V189" s="47">
        <f>SUMIF(Data!$E:$E,$I189,Data!$AI:$AI)</f>
        <v>0</v>
      </c>
    </row>
    <row r="190" spans="1:22" x14ac:dyDescent="0.25">
      <c r="A190" s="46" t="s">
        <v>1209</v>
      </c>
      <c r="B190" s="46" t="s">
        <v>120</v>
      </c>
      <c r="C190" s="46">
        <v>6377214</v>
      </c>
      <c r="D190" s="46">
        <v>0.26579999999999998</v>
      </c>
      <c r="E190" s="47">
        <f>SUMIF(Data!$E:$E,$C190,Data!$AI:$AI)</f>
        <v>0</v>
      </c>
      <c r="I190" s="13" t="s">
        <v>1509</v>
      </c>
      <c r="J190" s="13" t="s">
        <v>1510</v>
      </c>
      <c r="K190" s="13" t="s">
        <v>137</v>
      </c>
      <c r="L190" s="13" t="s">
        <v>1492</v>
      </c>
      <c r="M190" s="13" t="s">
        <v>1511</v>
      </c>
      <c r="N190" s="13" t="s">
        <v>1512</v>
      </c>
      <c r="O190" s="13" t="s">
        <v>1513</v>
      </c>
      <c r="P190" s="13" t="s">
        <v>1514</v>
      </c>
      <c r="Q190" s="13" t="s">
        <v>416</v>
      </c>
      <c r="R190" s="13" t="s">
        <v>1515</v>
      </c>
      <c r="S190" s="13" t="s">
        <v>476</v>
      </c>
      <c r="T190" s="13" t="s">
        <v>477</v>
      </c>
      <c r="U190" s="13" t="s">
        <v>478</v>
      </c>
      <c r="V190" s="47">
        <f>SUMIF(Data!$E:$E,$I190,Data!$AI:$AI)</f>
        <v>0</v>
      </c>
    </row>
    <row r="191" spans="1:22" x14ac:dyDescent="0.25">
      <c r="A191" s="46" t="s">
        <v>1209</v>
      </c>
      <c r="B191" s="46" t="s">
        <v>120</v>
      </c>
      <c r="C191" s="46">
        <v>6388885</v>
      </c>
      <c r="D191" s="46">
        <v>0.16830000000000001</v>
      </c>
      <c r="E191" s="47">
        <f>SUMIF(Data!$E:$E,$C191,Data!$AI:$AI)</f>
        <v>0</v>
      </c>
      <c r="I191" s="13" t="s">
        <v>1516</v>
      </c>
      <c r="J191" s="13" t="s">
        <v>1517</v>
      </c>
      <c r="K191" s="13" t="s">
        <v>137</v>
      </c>
      <c r="L191" s="13" t="s">
        <v>1492</v>
      </c>
      <c r="M191" s="13" t="s">
        <v>1518</v>
      </c>
      <c r="N191" s="13">
        <v>522.48099999999999</v>
      </c>
      <c r="O191" s="13" t="s">
        <v>1519</v>
      </c>
      <c r="P191" s="13" t="s">
        <v>1520</v>
      </c>
      <c r="Q191" s="13" t="s">
        <v>260</v>
      </c>
      <c r="R191" s="13" t="s">
        <v>1521</v>
      </c>
      <c r="S191" s="13" t="s">
        <v>725</v>
      </c>
      <c r="T191" s="13" t="s">
        <v>726</v>
      </c>
      <c r="U191" s="13" t="s">
        <v>727</v>
      </c>
      <c r="V191" s="47">
        <f>SUMIF(Data!$E:$E,$I191,Data!$AI:$AI)</f>
        <v>0</v>
      </c>
    </row>
    <row r="192" spans="1:22" x14ac:dyDescent="0.25">
      <c r="A192" s="46" t="s">
        <v>1209</v>
      </c>
      <c r="B192" s="46" t="s">
        <v>120</v>
      </c>
      <c r="C192" s="46">
        <v>6412687</v>
      </c>
      <c r="D192" s="46">
        <v>0.27700000000000002</v>
      </c>
      <c r="E192" s="47">
        <f>SUMIF(Data!$E:$E,$C192,Data!$AI:$AI)</f>
        <v>0</v>
      </c>
      <c r="I192" s="13" t="s">
        <v>1522</v>
      </c>
      <c r="J192" s="13" t="s">
        <v>1523</v>
      </c>
      <c r="K192" s="13" t="s">
        <v>137</v>
      </c>
      <c r="L192" s="13" t="s">
        <v>1492</v>
      </c>
      <c r="M192" s="13" t="s">
        <v>1524</v>
      </c>
      <c r="N192" s="13">
        <v>45.783999999999999</v>
      </c>
      <c r="O192" s="13" t="s">
        <v>1525</v>
      </c>
      <c r="P192" s="13" t="s">
        <v>1526</v>
      </c>
      <c r="Q192" s="13" t="s">
        <v>806</v>
      </c>
      <c r="R192" s="13" t="s">
        <v>1527</v>
      </c>
      <c r="S192" s="13" t="s">
        <v>145</v>
      </c>
      <c r="T192" s="13" t="s">
        <v>146</v>
      </c>
      <c r="U192" s="13" t="s">
        <v>110</v>
      </c>
      <c r="V192" s="47">
        <f>SUMIF(Data!$E:$E,$I192,Data!$AI:$AI)</f>
        <v>0</v>
      </c>
    </row>
    <row r="193" spans="1:22" x14ac:dyDescent="0.25">
      <c r="A193" s="46" t="s">
        <v>1209</v>
      </c>
      <c r="B193" s="46" t="s">
        <v>120</v>
      </c>
      <c r="C193" s="46">
        <v>6414832</v>
      </c>
      <c r="D193" s="46">
        <v>2.4108000000000001</v>
      </c>
      <c r="E193" s="47">
        <f>SUMIF(Data!$E:$E,$C193,Data!$AI:$AI)</f>
        <v>0</v>
      </c>
      <c r="I193" s="13" t="s">
        <v>1528</v>
      </c>
      <c r="J193" s="13" t="s">
        <v>1529</v>
      </c>
      <c r="K193" s="13" t="s">
        <v>137</v>
      </c>
      <c r="L193" s="13" t="s">
        <v>1492</v>
      </c>
      <c r="M193" s="13" t="s">
        <v>1530</v>
      </c>
      <c r="N193" s="13" t="s">
        <v>1531</v>
      </c>
      <c r="O193" s="13" t="s">
        <v>1532</v>
      </c>
      <c r="P193" s="13" t="s">
        <v>1533</v>
      </c>
      <c r="Q193" s="13" t="s">
        <v>190</v>
      </c>
      <c r="R193" s="13" t="s">
        <v>1534</v>
      </c>
      <c r="S193" s="13" t="s">
        <v>847</v>
      </c>
      <c r="T193" s="13" t="s">
        <v>848</v>
      </c>
      <c r="U193" s="13" t="s">
        <v>849</v>
      </c>
      <c r="V193" s="47">
        <f>SUMIF(Data!$E:$E,$I193,Data!$AI:$AI)</f>
        <v>0</v>
      </c>
    </row>
    <row r="194" spans="1:22" x14ac:dyDescent="0.25">
      <c r="A194" s="46" t="s">
        <v>1209</v>
      </c>
      <c r="B194" s="46" t="s">
        <v>120</v>
      </c>
      <c r="C194" s="46">
        <v>6434551</v>
      </c>
      <c r="D194" s="46">
        <v>0.17749999999999999</v>
      </c>
      <c r="E194" s="47">
        <f>SUMIF(Data!$E:$E,$C194,Data!$AI:$AI)</f>
        <v>0</v>
      </c>
      <c r="I194" s="13" t="s">
        <v>1535</v>
      </c>
      <c r="J194" s="13" t="s">
        <v>1536</v>
      </c>
      <c r="K194" s="13" t="s">
        <v>137</v>
      </c>
      <c r="L194" s="13" t="s">
        <v>1492</v>
      </c>
      <c r="M194" s="13" t="s">
        <v>1537</v>
      </c>
      <c r="N194" s="13" t="s">
        <v>1538</v>
      </c>
      <c r="O194" s="13" t="s">
        <v>1539</v>
      </c>
      <c r="P194" s="13" t="s">
        <v>1540</v>
      </c>
      <c r="Q194" s="13" t="s">
        <v>190</v>
      </c>
      <c r="R194" s="13" t="s">
        <v>1541</v>
      </c>
      <c r="S194" s="13" t="s">
        <v>476</v>
      </c>
      <c r="T194" s="13" t="s">
        <v>477</v>
      </c>
      <c r="U194" s="13" t="s">
        <v>478</v>
      </c>
      <c r="V194" s="47">
        <f>SUMIF(Data!$E:$E,$I194,Data!$AI:$AI)</f>
        <v>0</v>
      </c>
    </row>
    <row r="195" spans="1:22" x14ac:dyDescent="0.25">
      <c r="A195" s="46" t="s">
        <v>1209</v>
      </c>
      <c r="B195" s="46" t="s">
        <v>120</v>
      </c>
      <c r="C195" s="46">
        <v>6439794</v>
      </c>
      <c r="D195" s="46">
        <v>0.12620000000000001</v>
      </c>
      <c r="E195" s="47">
        <f>SUMIF(Data!$E:$E,$C195,Data!$AI:$AI)</f>
        <v>0</v>
      </c>
      <c r="I195" s="13" t="s">
        <v>1542</v>
      </c>
      <c r="J195" s="13" t="s">
        <v>1543</v>
      </c>
      <c r="K195" s="13" t="s">
        <v>137</v>
      </c>
      <c r="L195" s="13" t="s">
        <v>1492</v>
      </c>
      <c r="M195" s="13" t="s">
        <v>1544</v>
      </c>
      <c r="N195" s="13">
        <v>461.721</v>
      </c>
      <c r="O195" s="13" t="s">
        <v>1545</v>
      </c>
      <c r="P195" s="13" t="s">
        <v>1546</v>
      </c>
      <c r="Q195" s="13" t="s">
        <v>190</v>
      </c>
      <c r="R195" s="13" t="s">
        <v>1547</v>
      </c>
      <c r="S195" s="13" t="s">
        <v>725</v>
      </c>
      <c r="T195" s="13" t="s">
        <v>726</v>
      </c>
      <c r="U195" s="13" t="s">
        <v>727</v>
      </c>
      <c r="V195" s="47">
        <f>SUMIF(Data!$E:$E,$I195,Data!$AI:$AI)</f>
        <v>0</v>
      </c>
    </row>
    <row r="196" spans="1:22" x14ac:dyDescent="0.25">
      <c r="A196" s="46" t="s">
        <v>1209</v>
      </c>
      <c r="B196" s="46" t="s">
        <v>120</v>
      </c>
      <c r="C196" s="46">
        <v>6441595</v>
      </c>
      <c r="D196" s="46">
        <v>0.46279999999999999</v>
      </c>
      <c r="E196" s="47">
        <f>SUMIF(Data!$E:$E,$C196,Data!$AI:$AI)</f>
        <v>0</v>
      </c>
      <c r="I196" s="13" t="s">
        <v>1548</v>
      </c>
      <c r="J196" s="13" t="s">
        <v>1549</v>
      </c>
      <c r="K196" s="13" t="s">
        <v>137</v>
      </c>
      <c r="L196" s="13" t="s">
        <v>1492</v>
      </c>
      <c r="M196" s="13" t="s">
        <v>1550</v>
      </c>
      <c r="N196" s="13">
        <v>310.61399999999998</v>
      </c>
      <c r="O196" s="13" t="s">
        <v>1551</v>
      </c>
      <c r="P196" s="13" t="s">
        <v>1552</v>
      </c>
      <c r="Q196" s="13" t="s">
        <v>260</v>
      </c>
      <c r="R196" s="13" t="s">
        <v>1553</v>
      </c>
      <c r="S196" s="13" t="s">
        <v>192</v>
      </c>
      <c r="T196" s="13" t="s">
        <v>146</v>
      </c>
      <c r="U196" s="13" t="s">
        <v>110</v>
      </c>
      <c r="V196" s="47">
        <f>SUMIF(Data!$E:$E,$I196,Data!$AI:$AI)</f>
        <v>0</v>
      </c>
    </row>
    <row r="197" spans="1:22" x14ac:dyDescent="0.25">
      <c r="A197" s="46" t="s">
        <v>1209</v>
      </c>
      <c r="B197" s="46" t="s">
        <v>120</v>
      </c>
      <c r="C197" s="46">
        <v>6458841</v>
      </c>
      <c r="D197" s="46">
        <v>1.5494000000000001</v>
      </c>
      <c r="E197" s="47">
        <f>SUMIF(Data!$E:$E,$C197,Data!$AI:$AI)</f>
        <v>0</v>
      </c>
      <c r="I197" s="13" t="s">
        <v>1554</v>
      </c>
      <c r="J197" s="13" t="s">
        <v>1555</v>
      </c>
      <c r="K197" s="13" t="s">
        <v>137</v>
      </c>
      <c r="L197" s="13" t="s">
        <v>1492</v>
      </c>
      <c r="M197" s="13" t="s">
        <v>1556</v>
      </c>
      <c r="N197" s="13" t="s">
        <v>1557</v>
      </c>
      <c r="O197" s="13" t="s">
        <v>1558</v>
      </c>
      <c r="P197" s="13" t="s">
        <v>1559</v>
      </c>
      <c r="Q197" s="13" t="s">
        <v>190</v>
      </c>
      <c r="R197" s="13" t="s">
        <v>1560</v>
      </c>
      <c r="S197" s="13" t="s">
        <v>226</v>
      </c>
      <c r="T197" s="13" t="s">
        <v>227</v>
      </c>
      <c r="U197" s="13" t="s">
        <v>228</v>
      </c>
      <c r="V197" s="47">
        <f>SUMIF(Data!$E:$E,$I197,Data!$AI:$AI)</f>
        <v>0</v>
      </c>
    </row>
    <row r="198" spans="1:22" x14ac:dyDescent="0.25">
      <c r="A198" s="46" t="s">
        <v>1209</v>
      </c>
      <c r="B198" s="46" t="s">
        <v>120</v>
      </c>
      <c r="C198" s="46">
        <v>6479024</v>
      </c>
      <c r="D198" s="46">
        <v>0.28239999999999998</v>
      </c>
      <c r="E198" s="47">
        <f>SUMIF(Data!$E:$E,$C198,Data!$AI:$AI)</f>
        <v>0</v>
      </c>
      <c r="I198" s="13" t="s">
        <v>1561</v>
      </c>
      <c r="J198" s="13" t="s">
        <v>1562</v>
      </c>
      <c r="K198" s="13" t="s">
        <v>137</v>
      </c>
      <c r="L198" s="13" t="s">
        <v>1492</v>
      </c>
      <c r="M198" s="13" t="s">
        <v>1563</v>
      </c>
      <c r="N198" s="13">
        <v>486.40899999999999</v>
      </c>
      <c r="O198" s="13" t="s">
        <v>1564</v>
      </c>
      <c r="P198" s="13" t="s">
        <v>1565</v>
      </c>
      <c r="Q198" s="13" t="s">
        <v>162</v>
      </c>
      <c r="R198" s="13" t="s">
        <v>1566</v>
      </c>
      <c r="S198" s="13" t="s">
        <v>523</v>
      </c>
      <c r="T198" s="13" t="s">
        <v>524</v>
      </c>
      <c r="U198" s="13" t="s">
        <v>525</v>
      </c>
      <c r="V198" s="47">
        <f>SUMIF(Data!$E:$E,$I198,Data!$AI:$AI)</f>
        <v>0</v>
      </c>
    </row>
    <row r="199" spans="1:22" x14ac:dyDescent="0.25">
      <c r="A199" s="46" t="s">
        <v>1209</v>
      </c>
      <c r="B199" s="46" t="s">
        <v>120</v>
      </c>
      <c r="C199" s="46">
        <v>6486228</v>
      </c>
      <c r="D199" s="46">
        <v>7.7200000000000005E-2</v>
      </c>
      <c r="E199" s="47">
        <f>SUMIF(Data!$E:$E,$C199,Data!$AI:$AI)</f>
        <v>0</v>
      </c>
      <c r="I199" s="13" t="s">
        <v>1567</v>
      </c>
      <c r="J199" s="13" t="s">
        <v>1568</v>
      </c>
      <c r="K199" s="13" t="s">
        <v>137</v>
      </c>
      <c r="L199" s="13" t="s">
        <v>1492</v>
      </c>
      <c r="M199" s="13" t="s">
        <v>1569</v>
      </c>
      <c r="N199" s="13">
        <v>331.02</v>
      </c>
      <c r="O199" s="13" t="s">
        <v>1570</v>
      </c>
      <c r="P199" s="13" t="s">
        <v>1571</v>
      </c>
      <c r="Q199" s="13" t="s">
        <v>224</v>
      </c>
      <c r="R199" s="13" t="s">
        <v>1572</v>
      </c>
      <c r="S199" s="13" t="s">
        <v>560</v>
      </c>
      <c r="T199" s="13" t="s">
        <v>561</v>
      </c>
      <c r="U199" s="13" t="s">
        <v>525</v>
      </c>
      <c r="V199" s="47">
        <f>SUMIF(Data!$E:$E,$I199,Data!$AI:$AI)</f>
        <v>0</v>
      </c>
    </row>
    <row r="200" spans="1:22" x14ac:dyDescent="0.25">
      <c r="A200" s="46" t="s">
        <v>1209</v>
      </c>
      <c r="B200" s="46" t="s">
        <v>120</v>
      </c>
      <c r="C200" s="46">
        <v>6504476</v>
      </c>
      <c r="D200" s="46">
        <v>0.13400000000000001</v>
      </c>
      <c r="E200" s="47">
        <f>SUMIF(Data!$E:$E,$C200,Data!$AI:$AI)</f>
        <v>0</v>
      </c>
      <c r="I200" s="13" t="s">
        <v>1573</v>
      </c>
      <c r="J200" s="13" t="s">
        <v>1574</v>
      </c>
      <c r="K200" s="13" t="s">
        <v>137</v>
      </c>
      <c r="L200" s="13" t="s">
        <v>1492</v>
      </c>
      <c r="M200" s="13" t="s">
        <v>1575</v>
      </c>
      <c r="N200" s="13">
        <v>229.63399999999999</v>
      </c>
      <c r="O200" s="13" t="s">
        <v>1576</v>
      </c>
      <c r="P200" s="13" t="s">
        <v>1577</v>
      </c>
      <c r="Q200" s="13" t="s">
        <v>416</v>
      </c>
      <c r="R200" s="13" t="s">
        <v>1578</v>
      </c>
      <c r="S200" s="13" t="s">
        <v>192</v>
      </c>
      <c r="T200" s="13" t="s">
        <v>146</v>
      </c>
      <c r="U200" s="13" t="s">
        <v>110</v>
      </c>
      <c r="V200" s="47">
        <f>SUMIF(Data!$E:$E,$I200,Data!$AI:$AI)</f>
        <v>0</v>
      </c>
    </row>
    <row r="201" spans="1:22" x14ac:dyDescent="0.25">
      <c r="A201" s="46" t="s">
        <v>1209</v>
      </c>
      <c r="B201" s="46" t="s">
        <v>120</v>
      </c>
      <c r="C201" s="46">
        <v>6515854</v>
      </c>
      <c r="D201" s="46">
        <v>0.2054</v>
      </c>
      <c r="E201" s="47">
        <f>SUMIF(Data!$E:$E,$C201,Data!$AI:$AI)</f>
        <v>0</v>
      </c>
      <c r="I201" s="13" t="s">
        <v>1579</v>
      </c>
      <c r="J201" s="13" t="s">
        <v>1580</v>
      </c>
      <c r="K201" s="13" t="s">
        <v>137</v>
      </c>
      <c r="L201" s="13" t="s">
        <v>1492</v>
      </c>
      <c r="M201" s="13" t="s">
        <v>1581</v>
      </c>
      <c r="N201" s="13">
        <v>553.66899999999998</v>
      </c>
      <c r="O201" s="13" t="s">
        <v>1582</v>
      </c>
      <c r="P201" s="13" t="s">
        <v>1583</v>
      </c>
      <c r="Q201" s="13" t="s">
        <v>143</v>
      </c>
      <c r="R201" s="13" t="s">
        <v>1584</v>
      </c>
      <c r="S201" s="13" t="s">
        <v>145</v>
      </c>
      <c r="T201" s="13" t="s">
        <v>146</v>
      </c>
      <c r="U201" s="13" t="s">
        <v>110</v>
      </c>
      <c r="V201" s="47">
        <f>SUMIF(Data!$E:$E,$I201,Data!$AI:$AI)</f>
        <v>0</v>
      </c>
    </row>
    <row r="202" spans="1:22" x14ac:dyDescent="0.25">
      <c r="A202" s="46" t="s">
        <v>1209</v>
      </c>
      <c r="B202" s="46" t="s">
        <v>120</v>
      </c>
      <c r="C202" s="46">
        <v>6517485</v>
      </c>
      <c r="D202" s="46">
        <v>0.36449999999999999</v>
      </c>
      <c r="E202" s="47">
        <f>SUMIF(Data!$E:$E,$C202,Data!$AI:$AI)</f>
        <v>0</v>
      </c>
      <c r="I202" s="13" t="s">
        <v>1585</v>
      </c>
      <c r="J202" s="13" t="s">
        <v>1586</v>
      </c>
      <c r="K202" s="13" t="s">
        <v>137</v>
      </c>
      <c r="L202" s="13" t="s">
        <v>1492</v>
      </c>
      <c r="M202" s="13" t="s">
        <v>1587</v>
      </c>
      <c r="N202" s="13">
        <v>72.884</v>
      </c>
      <c r="O202" s="13" t="s">
        <v>1588</v>
      </c>
      <c r="P202" s="13" t="s">
        <v>1589</v>
      </c>
      <c r="Q202" s="13" t="s">
        <v>208</v>
      </c>
      <c r="R202" s="13" t="s">
        <v>1590</v>
      </c>
      <c r="S202" s="13" t="s">
        <v>192</v>
      </c>
      <c r="T202" s="13" t="s">
        <v>146</v>
      </c>
      <c r="U202" s="13" t="s">
        <v>110</v>
      </c>
      <c r="V202" s="47">
        <f>SUMIF(Data!$E:$E,$I202,Data!$AI:$AI)</f>
        <v>0</v>
      </c>
    </row>
    <row r="203" spans="1:22" x14ac:dyDescent="0.25">
      <c r="A203" s="46" t="s">
        <v>1209</v>
      </c>
      <c r="B203" s="46" t="s">
        <v>120</v>
      </c>
      <c r="C203" s="46">
        <v>6518723</v>
      </c>
      <c r="D203" s="46">
        <v>2.4426000000000001</v>
      </c>
      <c r="E203" s="47">
        <f>SUMIF(Data!$E:$E,$C203,Data!$AI:$AI)</f>
        <v>0</v>
      </c>
      <c r="I203" s="13" t="s">
        <v>1591</v>
      </c>
      <c r="J203" s="13" t="s">
        <v>1592</v>
      </c>
      <c r="K203" s="13" t="s">
        <v>137</v>
      </c>
      <c r="L203" s="13" t="s">
        <v>1492</v>
      </c>
      <c r="M203" s="13" t="s">
        <v>1593</v>
      </c>
      <c r="N203" s="13">
        <v>343.48399999999998</v>
      </c>
      <c r="O203" s="13" t="s">
        <v>1594</v>
      </c>
      <c r="P203" s="13" t="s">
        <v>1595</v>
      </c>
      <c r="Q203" s="13" t="s">
        <v>416</v>
      </c>
      <c r="R203" s="13" t="s">
        <v>1596</v>
      </c>
      <c r="S203" s="13" t="s">
        <v>192</v>
      </c>
      <c r="T203" s="13" t="s">
        <v>146</v>
      </c>
      <c r="U203" s="13" t="s">
        <v>110</v>
      </c>
      <c r="V203" s="47">
        <f>SUMIF(Data!$E:$E,$I203,Data!$AI:$AI)</f>
        <v>0</v>
      </c>
    </row>
    <row r="204" spans="1:22" x14ac:dyDescent="0.25">
      <c r="A204" s="46" t="s">
        <v>1209</v>
      </c>
      <c r="B204" s="46" t="s">
        <v>120</v>
      </c>
      <c r="C204" s="46">
        <v>6529532</v>
      </c>
      <c r="D204" s="46">
        <v>0.17730000000000001</v>
      </c>
      <c r="E204" s="47">
        <f>SUMIF(Data!$E:$E,$C204,Data!$AI:$AI)</f>
        <v>0</v>
      </c>
      <c r="I204" s="13" t="s">
        <v>1597</v>
      </c>
      <c r="J204" s="13" t="s">
        <v>1598</v>
      </c>
      <c r="K204" s="13" t="s">
        <v>137</v>
      </c>
      <c r="L204" s="13" t="s">
        <v>1492</v>
      </c>
      <c r="M204" s="13" t="s">
        <v>1599</v>
      </c>
      <c r="N204" s="13">
        <v>171.553</v>
      </c>
      <c r="O204" s="13" t="s">
        <v>1600</v>
      </c>
      <c r="P204" s="13" t="s">
        <v>1601</v>
      </c>
      <c r="Q204" s="13" t="s">
        <v>416</v>
      </c>
      <c r="R204" s="13" t="s">
        <v>1602</v>
      </c>
      <c r="S204" s="13" t="s">
        <v>560</v>
      </c>
      <c r="T204" s="13" t="s">
        <v>561</v>
      </c>
      <c r="U204" s="13" t="s">
        <v>525</v>
      </c>
      <c r="V204" s="47">
        <f>SUMIF(Data!$E:$E,$I204,Data!$AI:$AI)</f>
        <v>0</v>
      </c>
    </row>
    <row r="205" spans="1:22" x14ac:dyDescent="0.25">
      <c r="A205" s="46" t="s">
        <v>1209</v>
      </c>
      <c r="B205" s="46" t="s">
        <v>120</v>
      </c>
      <c r="C205" s="46">
        <v>6541525</v>
      </c>
      <c r="D205" s="46">
        <v>0.2112</v>
      </c>
      <c r="E205" s="47">
        <f>SUMIF(Data!$E:$E,$C205,Data!$AI:$AI)</f>
        <v>0</v>
      </c>
      <c r="I205" s="13" t="s">
        <v>1603</v>
      </c>
      <c r="J205" s="13" t="s">
        <v>1604</v>
      </c>
      <c r="K205" s="13" t="s">
        <v>137</v>
      </c>
      <c r="L205" s="13" t="s">
        <v>1492</v>
      </c>
      <c r="M205" s="13" t="s">
        <v>1605</v>
      </c>
      <c r="N205" s="13">
        <v>187.44</v>
      </c>
      <c r="O205" s="13" t="s">
        <v>1606</v>
      </c>
      <c r="P205" s="13" t="s">
        <v>1607</v>
      </c>
      <c r="Q205" s="13" t="s">
        <v>224</v>
      </c>
      <c r="R205" s="13" t="s">
        <v>1608</v>
      </c>
      <c r="S205" s="13" t="s">
        <v>192</v>
      </c>
      <c r="T205" s="13" t="s">
        <v>146</v>
      </c>
      <c r="U205" s="13" t="s">
        <v>110</v>
      </c>
      <c r="V205" s="47">
        <f>SUMIF(Data!$E:$E,$I205,Data!$AI:$AI)</f>
        <v>0</v>
      </c>
    </row>
    <row r="206" spans="1:22" x14ac:dyDescent="0.25">
      <c r="A206" s="46" t="s">
        <v>1209</v>
      </c>
      <c r="B206" s="46" t="s">
        <v>120</v>
      </c>
      <c r="C206" s="46">
        <v>6547998</v>
      </c>
      <c r="D206" s="46">
        <v>0.58309999999999995</v>
      </c>
      <c r="E206" s="47">
        <f>SUMIF(Data!$E:$E,$C206,Data!$AI:$AI)</f>
        <v>0</v>
      </c>
      <c r="I206" s="13">
        <v>8316</v>
      </c>
      <c r="J206" s="13" t="s">
        <v>1609</v>
      </c>
      <c r="K206" s="13" t="s">
        <v>137</v>
      </c>
      <c r="L206" s="13" t="s">
        <v>1492</v>
      </c>
      <c r="M206" s="13" t="s">
        <v>1610</v>
      </c>
      <c r="N206" s="13">
        <v>711.97799999999995</v>
      </c>
      <c r="O206" s="13" t="s">
        <v>1611</v>
      </c>
      <c r="P206" s="13" t="s">
        <v>1612</v>
      </c>
      <c r="Q206" s="13" t="s">
        <v>190</v>
      </c>
      <c r="R206" s="13" t="s">
        <v>1613</v>
      </c>
      <c r="S206" s="13" t="s">
        <v>441</v>
      </c>
      <c r="T206" s="13" t="s">
        <v>442</v>
      </c>
      <c r="U206" s="13" t="s">
        <v>443</v>
      </c>
      <c r="V206" s="47">
        <f>SUMIF(Data!$E:$E,$I206,Data!$AI:$AI)</f>
        <v>0</v>
      </c>
    </row>
    <row r="207" spans="1:22" x14ac:dyDescent="0.25">
      <c r="A207" s="46" t="s">
        <v>1209</v>
      </c>
      <c r="B207" s="46" t="s">
        <v>120</v>
      </c>
      <c r="C207" s="46">
        <v>6561051</v>
      </c>
      <c r="D207" s="46">
        <v>0.1288</v>
      </c>
      <c r="E207" s="47">
        <f>SUMIF(Data!$E:$E,$C207,Data!$AI:$AI)</f>
        <v>0</v>
      </c>
      <c r="I207" s="13" t="s">
        <v>1614</v>
      </c>
      <c r="J207" s="13" t="s">
        <v>1615</v>
      </c>
      <c r="K207" s="13" t="s">
        <v>137</v>
      </c>
      <c r="L207" s="13" t="s">
        <v>1492</v>
      </c>
      <c r="M207" s="13" t="s">
        <v>1616</v>
      </c>
      <c r="N207" s="13">
        <v>112.614</v>
      </c>
      <c r="O207" s="13" t="s">
        <v>1617</v>
      </c>
      <c r="P207" s="13" t="s">
        <v>1618</v>
      </c>
      <c r="Q207" s="13" t="s">
        <v>734</v>
      </c>
      <c r="R207" s="13" t="s">
        <v>1619</v>
      </c>
      <c r="S207" s="13" t="s">
        <v>192</v>
      </c>
      <c r="T207" s="13" t="s">
        <v>146</v>
      </c>
      <c r="U207" s="13" t="s">
        <v>110</v>
      </c>
      <c r="V207" s="47">
        <f>SUMIF(Data!$E:$E,$I207,Data!$AI:$AI)</f>
        <v>0</v>
      </c>
    </row>
    <row r="208" spans="1:22" x14ac:dyDescent="0.25">
      <c r="A208" s="46" t="s">
        <v>1209</v>
      </c>
      <c r="B208" s="46" t="s">
        <v>120</v>
      </c>
      <c r="C208" s="46">
        <v>6648824</v>
      </c>
      <c r="D208" s="46">
        <v>0.27139999999999997</v>
      </c>
      <c r="E208" s="47">
        <f>SUMIF(Data!$E:$E,$C208,Data!$AI:$AI)</f>
        <v>0</v>
      </c>
      <c r="I208" s="13" t="s">
        <v>1620</v>
      </c>
      <c r="J208" s="13" t="s">
        <v>1621</v>
      </c>
      <c r="K208" s="13" t="s">
        <v>137</v>
      </c>
      <c r="L208" s="13" t="s">
        <v>1492</v>
      </c>
      <c r="M208" s="13" t="s">
        <v>1622</v>
      </c>
      <c r="N208" s="13">
        <v>87.340999999999994</v>
      </c>
      <c r="O208" s="13" t="s">
        <v>1623</v>
      </c>
      <c r="P208" s="13" t="s">
        <v>1624</v>
      </c>
      <c r="Q208" s="13" t="s">
        <v>190</v>
      </c>
      <c r="R208" s="13" t="s">
        <v>1625</v>
      </c>
      <c r="S208" s="13" t="s">
        <v>523</v>
      </c>
      <c r="T208" s="13" t="s">
        <v>524</v>
      </c>
      <c r="U208" s="13" t="s">
        <v>525</v>
      </c>
      <c r="V208" s="47">
        <f>SUMIF(Data!$E:$E,$I208,Data!$AI:$AI)</f>
        <v>0</v>
      </c>
    </row>
    <row r="209" spans="1:22" x14ac:dyDescent="0.25">
      <c r="A209" s="46" t="s">
        <v>1209</v>
      </c>
      <c r="B209" s="46" t="s">
        <v>120</v>
      </c>
      <c r="C209" s="46">
        <v>6651297</v>
      </c>
      <c r="D209" s="46">
        <v>0.1948</v>
      </c>
      <c r="E209" s="47">
        <f>SUMIF(Data!$E:$E,$C209,Data!$AI:$AI)</f>
        <v>0</v>
      </c>
      <c r="I209" s="13" t="s">
        <v>1626</v>
      </c>
      <c r="J209" s="13" t="s">
        <v>1627</v>
      </c>
      <c r="K209" s="13" t="s">
        <v>137</v>
      </c>
      <c r="L209" s="13" t="s">
        <v>1492</v>
      </c>
      <c r="M209" s="13" t="s">
        <v>1628</v>
      </c>
      <c r="N209" s="13">
        <v>333.59899999999999</v>
      </c>
      <c r="O209" s="13" t="s">
        <v>1629</v>
      </c>
      <c r="P209" s="13" t="s">
        <v>1630</v>
      </c>
      <c r="Q209" s="13" t="s">
        <v>190</v>
      </c>
      <c r="R209" s="13" t="s">
        <v>1631</v>
      </c>
      <c r="S209" s="13" t="s">
        <v>725</v>
      </c>
      <c r="T209" s="13" t="s">
        <v>726</v>
      </c>
      <c r="U209" s="13" t="s">
        <v>727</v>
      </c>
      <c r="V209" s="47">
        <f>SUMIF(Data!$E:$E,$I209,Data!$AI:$AI)</f>
        <v>0</v>
      </c>
    </row>
    <row r="210" spans="1:22" x14ac:dyDescent="0.25">
      <c r="A210" s="46" t="s">
        <v>1209</v>
      </c>
      <c r="B210" s="46" t="s">
        <v>120</v>
      </c>
      <c r="C210" s="46">
        <v>6664972</v>
      </c>
      <c r="D210" s="46">
        <v>0.26910000000000001</v>
      </c>
      <c r="E210" s="47">
        <f>SUMIF(Data!$E:$E,$C210,Data!$AI:$AI)</f>
        <v>0</v>
      </c>
      <c r="I210" s="13" t="s">
        <v>1632</v>
      </c>
      <c r="J210" s="13" t="s">
        <v>1633</v>
      </c>
      <c r="K210" s="13" t="s">
        <v>137</v>
      </c>
      <c r="L210" s="13" t="s">
        <v>1492</v>
      </c>
      <c r="M210" s="13" t="s">
        <v>1634</v>
      </c>
      <c r="N210" s="13" t="s">
        <v>1635</v>
      </c>
      <c r="O210" s="13" t="s">
        <v>1636</v>
      </c>
      <c r="P210" s="13" t="s">
        <v>1637</v>
      </c>
      <c r="Q210" s="13" t="s">
        <v>190</v>
      </c>
      <c r="R210" s="13" t="s">
        <v>1638</v>
      </c>
      <c r="S210" s="13" t="s">
        <v>847</v>
      </c>
      <c r="T210" s="13" t="s">
        <v>848</v>
      </c>
      <c r="U210" s="13" t="s">
        <v>849</v>
      </c>
      <c r="V210" s="47">
        <f>SUMIF(Data!$E:$E,$I210,Data!$AI:$AI)</f>
        <v>0</v>
      </c>
    </row>
    <row r="211" spans="1:22" x14ac:dyDescent="0.25">
      <c r="A211" s="46" t="s">
        <v>1209</v>
      </c>
      <c r="B211" s="46" t="s">
        <v>120</v>
      </c>
      <c r="C211" s="46">
        <v>6673280</v>
      </c>
      <c r="D211" s="46">
        <v>0.2165</v>
      </c>
      <c r="E211" s="47">
        <f>SUMIF(Data!$E:$E,$C211,Data!$AI:$AI)</f>
        <v>0</v>
      </c>
      <c r="I211" s="13" t="s">
        <v>1639</v>
      </c>
      <c r="J211" s="13" t="s">
        <v>1640</v>
      </c>
      <c r="K211" s="13" t="s">
        <v>137</v>
      </c>
      <c r="L211" s="13" t="s">
        <v>1492</v>
      </c>
      <c r="M211" s="13" t="s">
        <v>1641</v>
      </c>
      <c r="N211" s="13" t="s">
        <v>1642</v>
      </c>
      <c r="O211" s="13" t="s">
        <v>1643</v>
      </c>
      <c r="P211" s="13" t="s">
        <v>1644</v>
      </c>
      <c r="Q211" s="13" t="s">
        <v>190</v>
      </c>
      <c r="R211" s="13" t="s">
        <v>1645</v>
      </c>
      <c r="S211" s="13" t="s">
        <v>642</v>
      </c>
      <c r="T211" s="13" t="s">
        <v>643</v>
      </c>
      <c r="U211" s="13" t="s">
        <v>525</v>
      </c>
      <c r="V211" s="47">
        <f>SUMIF(Data!$E:$E,$I211,Data!$AI:$AI)</f>
        <v>0</v>
      </c>
    </row>
    <row r="212" spans="1:22" x14ac:dyDescent="0.25">
      <c r="A212" s="46" t="s">
        <v>1209</v>
      </c>
      <c r="B212" s="46" t="s">
        <v>120</v>
      </c>
      <c r="C212" s="46">
        <v>6676825</v>
      </c>
      <c r="D212" s="46">
        <v>0.1714</v>
      </c>
      <c r="E212" s="47">
        <f>SUMIF(Data!$E:$E,$C212,Data!$AI:$AI)</f>
        <v>0</v>
      </c>
      <c r="I212" s="13" t="s">
        <v>1646</v>
      </c>
      <c r="J212" s="13" t="s">
        <v>1647</v>
      </c>
      <c r="K212" s="13" t="s">
        <v>137</v>
      </c>
      <c r="L212" s="13" t="s">
        <v>1492</v>
      </c>
      <c r="M212" s="13" t="s">
        <v>1648</v>
      </c>
      <c r="N212" s="13">
        <v>243.69800000000001</v>
      </c>
      <c r="O212" s="13" t="s">
        <v>1649</v>
      </c>
      <c r="P212" s="13" t="s">
        <v>1650</v>
      </c>
      <c r="Q212" s="13" t="s">
        <v>260</v>
      </c>
      <c r="R212" s="13" t="s">
        <v>1651</v>
      </c>
      <c r="S212" s="13" t="s">
        <v>192</v>
      </c>
      <c r="T212" s="13" t="s">
        <v>146</v>
      </c>
      <c r="U212" s="13" t="s">
        <v>110</v>
      </c>
      <c r="V212" s="47">
        <f>SUMIF(Data!$E:$E,$I212,Data!$AI:$AI)</f>
        <v>0</v>
      </c>
    </row>
    <row r="213" spans="1:22" x14ac:dyDescent="0.25">
      <c r="A213" s="46" t="s">
        <v>1209</v>
      </c>
      <c r="B213" s="46" t="s">
        <v>120</v>
      </c>
      <c r="C213" s="46">
        <v>6683438</v>
      </c>
      <c r="D213" s="46">
        <v>0.55079999999999996</v>
      </c>
      <c r="E213" s="47">
        <f>SUMIF(Data!$E:$E,$C213,Data!$AI:$AI)</f>
        <v>0</v>
      </c>
      <c r="I213" s="13" t="s">
        <v>1652</v>
      </c>
      <c r="J213" s="13" t="s">
        <v>1653</v>
      </c>
      <c r="K213" s="13" t="s">
        <v>137</v>
      </c>
      <c r="L213" s="13" t="s">
        <v>1654</v>
      </c>
      <c r="M213" s="13" t="s">
        <v>1655</v>
      </c>
      <c r="N213" s="13">
        <v>109.509</v>
      </c>
      <c r="O213" s="13" t="s">
        <v>1656</v>
      </c>
      <c r="P213" s="13" t="s">
        <v>1657</v>
      </c>
      <c r="Q213" s="13" t="s">
        <v>208</v>
      </c>
      <c r="R213" s="13" t="s">
        <v>1658</v>
      </c>
      <c r="S213" s="13" t="s">
        <v>192</v>
      </c>
      <c r="T213" s="13" t="s">
        <v>146</v>
      </c>
      <c r="U213" s="13" t="s">
        <v>110</v>
      </c>
      <c r="V213" s="47">
        <f>SUMIF(Data!$E:$E,$I213,Data!$AI:$AI)</f>
        <v>0</v>
      </c>
    </row>
    <row r="214" spans="1:22" x14ac:dyDescent="0.25">
      <c r="A214" s="46" t="s">
        <v>1209</v>
      </c>
      <c r="B214" s="46" t="s">
        <v>120</v>
      </c>
      <c r="C214" s="46">
        <v>6683461</v>
      </c>
      <c r="D214" s="46">
        <v>0.21640000000000001</v>
      </c>
      <c r="E214" s="47">
        <f>SUMIF(Data!$E:$E,$C214,Data!$AI:$AI)</f>
        <v>0</v>
      </c>
      <c r="I214" s="13" t="s">
        <v>1659</v>
      </c>
      <c r="J214" s="13" t="s">
        <v>1660</v>
      </c>
      <c r="K214" s="13" t="s">
        <v>137</v>
      </c>
      <c r="L214" s="13" t="s">
        <v>1654</v>
      </c>
      <c r="M214" s="13" t="s">
        <v>1661</v>
      </c>
      <c r="N214" s="13">
        <v>250.93199999999999</v>
      </c>
      <c r="O214" s="13" t="s">
        <v>1662</v>
      </c>
      <c r="P214" s="13" t="s">
        <v>1663</v>
      </c>
      <c r="Q214" s="13" t="s">
        <v>190</v>
      </c>
      <c r="R214" s="13" t="s">
        <v>1664</v>
      </c>
      <c r="S214" s="13" t="s">
        <v>192</v>
      </c>
      <c r="T214" s="13" t="s">
        <v>146</v>
      </c>
      <c r="U214" s="13" t="s">
        <v>110</v>
      </c>
      <c r="V214" s="47">
        <f>SUMIF(Data!$E:$E,$I214,Data!$AI:$AI)</f>
        <v>0</v>
      </c>
    </row>
    <row r="215" spans="1:22" x14ac:dyDescent="0.25">
      <c r="A215" s="46" t="s">
        <v>1209</v>
      </c>
      <c r="B215" s="46" t="s">
        <v>120</v>
      </c>
      <c r="C215" s="46">
        <v>6695228</v>
      </c>
      <c r="D215" s="46">
        <v>0.22309999999999999</v>
      </c>
      <c r="E215" s="47">
        <f>SUMIF(Data!$E:$E,$C215,Data!$AI:$AI)</f>
        <v>0</v>
      </c>
      <c r="I215" s="13" t="s">
        <v>981</v>
      </c>
      <c r="J215" s="13" t="s">
        <v>1665</v>
      </c>
      <c r="K215" s="13" t="s">
        <v>137</v>
      </c>
      <c r="L215" s="13" t="s">
        <v>1654</v>
      </c>
      <c r="M215" s="13" t="s">
        <v>1666</v>
      </c>
      <c r="N215" s="13" t="s">
        <v>1667</v>
      </c>
      <c r="O215" s="13" t="s">
        <v>1668</v>
      </c>
      <c r="P215" s="13" t="s">
        <v>1669</v>
      </c>
      <c r="Q215" s="13" t="s">
        <v>734</v>
      </c>
      <c r="R215" s="13" t="s">
        <v>1670</v>
      </c>
      <c r="S215" s="13" t="s">
        <v>476</v>
      </c>
      <c r="T215" s="13" t="s">
        <v>477</v>
      </c>
      <c r="U215" s="13" t="s">
        <v>478</v>
      </c>
      <c r="V215" s="47">
        <f>SUMIF(Data!$E:$E,$I215,Data!$AI:$AI)</f>
        <v>0</v>
      </c>
    </row>
    <row r="216" spans="1:22" x14ac:dyDescent="0.25">
      <c r="A216" s="46" t="s">
        <v>1209</v>
      </c>
      <c r="B216" s="46" t="s">
        <v>120</v>
      </c>
      <c r="C216" s="46">
        <v>6711630</v>
      </c>
      <c r="D216" s="46">
        <v>0.92179999999999995</v>
      </c>
      <c r="E216" s="47">
        <f>SUMIF(Data!$E:$E,$C216,Data!$AI:$AI)</f>
        <v>0</v>
      </c>
      <c r="I216" s="13" t="s">
        <v>1671</v>
      </c>
      <c r="J216" s="13" t="s">
        <v>1672</v>
      </c>
      <c r="K216" s="13" t="s">
        <v>137</v>
      </c>
      <c r="L216" s="13" t="s">
        <v>1654</v>
      </c>
      <c r="M216" s="13" t="s">
        <v>1673</v>
      </c>
      <c r="N216" s="13">
        <v>120.223</v>
      </c>
      <c r="O216" s="13" t="s">
        <v>1674</v>
      </c>
      <c r="P216" s="13" t="s">
        <v>1675</v>
      </c>
      <c r="Q216" s="13" t="s">
        <v>416</v>
      </c>
      <c r="R216" s="13" t="s">
        <v>1676</v>
      </c>
      <c r="S216" s="13" t="s">
        <v>192</v>
      </c>
      <c r="T216" s="13" t="s">
        <v>146</v>
      </c>
      <c r="U216" s="13" t="s">
        <v>110</v>
      </c>
      <c r="V216" s="47">
        <f>SUMIF(Data!$E:$E,$I216,Data!$AI:$AI)</f>
        <v>0</v>
      </c>
    </row>
    <row r="217" spans="1:22" x14ac:dyDescent="0.25">
      <c r="A217" s="46" t="s">
        <v>1209</v>
      </c>
      <c r="B217" s="46" t="s">
        <v>120</v>
      </c>
      <c r="C217" s="46">
        <v>6716884</v>
      </c>
      <c r="D217" s="46">
        <v>0.4264</v>
      </c>
      <c r="E217" s="47">
        <f>SUMIF(Data!$E:$E,$C217,Data!$AI:$AI)</f>
        <v>0</v>
      </c>
      <c r="I217" s="13" t="s">
        <v>1677</v>
      </c>
      <c r="J217" s="13" t="s">
        <v>1678</v>
      </c>
      <c r="K217" s="13" t="s">
        <v>137</v>
      </c>
      <c r="L217" s="13" t="s">
        <v>1654</v>
      </c>
      <c r="M217" s="13" t="s">
        <v>1679</v>
      </c>
      <c r="N217" s="13">
        <v>133.47499999999999</v>
      </c>
      <c r="O217" s="13" t="s">
        <v>1680</v>
      </c>
      <c r="P217" s="13" t="s">
        <v>1681</v>
      </c>
      <c r="Q217" s="13" t="s">
        <v>734</v>
      </c>
      <c r="R217" s="13" t="s">
        <v>1682</v>
      </c>
      <c r="S217" s="13" t="s">
        <v>192</v>
      </c>
      <c r="T217" s="13" t="s">
        <v>146</v>
      </c>
      <c r="U217" s="13" t="s">
        <v>110</v>
      </c>
      <c r="V217" s="47">
        <f>SUMIF(Data!$E:$E,$I217,Data!$AI:$AI)</f>
        <v>0</v>
      </c>
    </row>
    <row r="218" spans="1:22" x14ac:dyDescent="0.25">
      <c r="A218" s="46" t="s">
        <v>1209</v>
      </c>
      <c r="B218" s="46" t="s">
        <v>120</v>
      </c>
      <c r="C218" s="46">
        <v>6727604</v>
      </c>
      <c r="D218" s="46">
        <v>0.34039999999999998</v>
      </c>
      <c r="E218" s="47">
        <f>SUMIF(Data!$E:$E,$C218,Data!$AI:$AI)</f>
        <v>0</v>
      </c>
      <c r="I218" s="13" t="s">
        <v>1683</v>
      </c>
      <c r="J218" s="13" t="s">
        <v>1684</v>
      </c>
      <c r="K218" s="13" t="s">
        <v>137</v>
      </c>
      <c r="L218" s="13" t="s">
        <v>1654</v>
      </c>
      <c r="M218" s="13" t="s">
        <v>1685</v>
      </c>
      <c r="N218" s="13" t="s">
        <v>1686</v>
      </c>
      <c r="O218" s="13" t="s">
        <v>1687</v>
      </c>
      <c r="P218" s="13" t="s">
        <v>1688</v>
      </c>
      <c r="Q218" s="13" t="s">
        <v>416</v>
      </c>
      <c r="R218" s="13" t="s">
        <v>1689</v>
      </c>
      <c r="S218" s="13" t="s">
        <v>226</v>
      </c>
      <c r="T218" s="13" t="s">
        <v>227</v>
      </c>
      <c r="U218" s="13" t="s">
        <v>228</v>
      </c>
      <c r="V218" s="47">
        <f>SUMIF(Data!$E:$E,$I218,Data!$AI:$AI)</f>
        <v>0</v>
      </c>
    </row>
    <row r="219" spans="1:22" x14ac:dyDescent="0.25">
      <c r="A219" s="46" t="s">
        <v>1209</v>
      </c>
      <c r="B219" s="46" t="s">
        <v>120</v>
      </c>
      <c r="C219" s="46">
        <v>6731133</v>
      </c>
      <c r="D219" s="46">
        <v>0.24179999999999999</v>
      </c>
      <c r="E219" s="47">
        <f>SUMIF(Data!$E:$E,$C219,Data!$AI:$AI)</f>
        <v>0</v>
      </c>
      <c r="I219" s="13" t="s">
        <v>1690</v>
      </c>
      <c r="J219" s="13" t="s">
        <v>1691</v>
      </c>
      <c r="K219" s="13" t="s">
        <v>137</v>
      </c>
      <c r="L219" s="13" t="s">
        <v>1654</v>
      </c>
      <c r="M219" s="13" t="s">
        <v>1692</v>
      </c>
      <c r="N219" s="13">
        <v>264.84300000000002</v>
      </c>
      <c r="O219" s="13" t="s">
        <v>1693</v>
      </c>
      <c r="P219" s="13" t="s">
        <v>1694</v>
      </c>
      <c r="Q219" s="13" t="s">
        <v>694</v>
      </c>
      <c r="R219" s="13" t="s">
        <v>1695</v>
      </c>
      <c r="S219" s="13" t="s">
        <v>192</v>
      </c>
      <c r="T219" s="13" t="s">
        <v>146</v>
      </c>
      <c r="U219" s="13" t="s">
        <v>110</v>
      </c>
      <c r="V219" s="47">
        <f>SUMIF(Data!$E:$E,$I219,Data!$AI:$AI)</f>
        <v>0</v>
      </c>
    </row>
    <row r="220" spans="1:22" x14ac:dyDescent="0.25">
      <c r="A220" s="46" t="s">
        <v>1209</v>
      </c>
      <c r="B220" s="46" t="s">
        <v>120</v>
      </c>
      <c r="C220" s="46">
        <v>6773511</v>
      </c>
      <c r="D220" s="46">
        <v>0.52480000000000004</v>
      </c>
      <c r="E220" s="47">
        <f>SUMIF(Data!$E:$E,$C220,Data!$AI:$AI)</f>
        <v>0</v>
      </c>
      <c r="I220" s="13" t="s">
        <v>1696</v>
      </c>
      <c r="J220" s="13" t="s">
        <v>1697</v>
      </c>
      <c r="K220" s="13" t="s">
        <v>137</v>
      </c>
      <c r="L220" s="13" t="s">
        <v>1654</v>
      </c>
      <c r="M220" s="13" t="s">
        <v>1698</v>
      </c>
      <c r="N220" s="13">
        <v>138.81200000000001</v>
      </c>
      <c r="O220" s="13" t="s">
        <v>1699</v>
      </c>
      <c r="P220" s="13" t="s">
        <v>1700</v>
      </c>
      <c r="Q220" s="13" t="s">
        <v>416</v>
      </c>
      <c r="R220" s="13" t="s">
        <v>1701</v>
      </c>
      <c r="S220" s="13" t="s">
        <v>192</v>
      </c>
      <c r="T220" s="13" t="s">
        <v>146</v>
      </c>
      <c r="U220" s="13" t="s">
        <v>110</v>
      </c>
      <c r="V220" s="47">
        <f>SUMIF(Data!$E:$E,$I220,Data!$AI:$AI)</f>
        <v>0</v>
      </c>
    </row>
    <row r="221" spans="1:22" x14ac:dyDescent="0.25">
      <c r="A221" s="46" t="s">
        <v>1209</v>
      </c>
      <c r="B221" s="46" t="s">
        <v>120</v>
      </c>
      <c r="C221" s="46">
        <v>6783941</v>
      </c>
      <c r="D221" s="46">
        <v>0.25380000000000003</v>
      </c>
      <c r="E221" s="47">
        <f>SUMIF(Data!$E:$E,$C221,Data!$AI:$AI)</f>
        <v>0</v>
      </c>
      <c r="I221" s="13" t="s">
        <v>1702</v>
      </c>
      <c r="J221" s="13" t="s">
        <v>1703</v>
      </c>
      <c r="K221" s="13" t="s">
        <v>137</v>
      </c>
      <c r="L221" s="13" t="s">
        <v>1654</v>
      </c>
      <c r="M221" s="13" t="s">
        <v>1704</v>
      </c>
      <c r="N221" s="13">
        <v>417.322</v>
      </c>
      <c r="O221" s="13" t="s">
        <v>1705</v>
      </c>
      <c r="P221" s="13" t="s">
        <v>1706</v>
      </c>
      <c r="Q221" s="13" t="s">
        <v>172</v>
      </c>
      <c r="R221" s="13" t="s">
        <v>1707</v>
      </c>
      <c r="S221" s="13" t="s">
        <v>145</v>
      </c>
      <c r="T221" s="13" t="s">
        <v>146</v>
      </c>
      <c r="U221" s="13" t="s">
        <v>110</v>
      </c>
      <c r="V221" s="47">
        <f>SUMIF(Data!$E:$E,$I221,Data!$AI:$AI)</f>
        <v>0</v>
      </c>
    </row>
    <row r="222" spans="1:22" x14ac:dyDescent="0.25">
      <c r="A222" s="46" t="s">
        <v>1209</v>
      </c>
      <c r="B222" s="46" t="s">
        <v>120</v>
      </c>
      <c r="C222" s="46">
        <v>6801382</v>
      </c>
      <c r="D222" s="46">
        <v>0.24840000000000001</v>
      </c>
      <c r="E222" s="47">
        <f>SUMIF(Data!$E:$E,$C222,Data!$AI:$AI)</f>
        <v>0</v>
      </c>
      <c r="I222" s="13" t="s">
        <v>1708</v>
      </c>
      <c r="J222" s="13" t="s">
        <v>1709</v>
      </c>
      <c r="K222" s="13" t="s">
        <v>137</v>
      </c>
      <c r="L222" s="13" t="s">
        <v>1654</v>
      </c>
      <c r="M222" s="13" t="s">
        <v>1710</v>
      </c>
      <c r="N222" s="13">
        <v>83.408000000000001</v>
      </c>
      <c r="O222" s="13" t="s">
        <v>1711</v>
      </c>
      <c r="P222" s="13" t="s">
        <v>1712</v>
      </c>
      <c r="Q222" s="13" t="s">
        <v>143</v>
      </c>
      <c r="R222" s="13" t="s">
        <v>1713</v>
      </c>
      <c r="S222" s="13" t="s">
        <v>145</v>
      </c>
      <c r="T222" s="13" t="s">
        <v>146</v>
      </c>
      <c r="U222" s="13" t="s">
        <v>110</v>
      </c>
      <c r="V222" s="47">
        <f>SUMIF(Data!$E:$E,$I222,Data!$AI:$AI)</f>
        <v>0</v>
      </c>
    </row>
    <row r="223" spans="1:22" x14ac:dyDescent="0.25">
      <c r="A223" s="46" t="s">
        <v>1209</v>
      </c>
      <c r="B223" s="46" t="s">
        <v>120</v>
      </c>
      <c r="C223" s="46">
        <v>6801713</v>
      </c>
      <c r="D223" s="46">
        <v>0.32940000000000003</v>
      </c>
      <c r="E223" s="47">
        <f>SUMIF(Data!$E:$E,$C223,Data!$AI:$AI)</f>
        <v>0</v>
      </c>
      <c r="I223" s="13" t="s">
        <v>1714</v>
      </c>
      <c r="J223" s="13" t="s">
        <v>1715</v>
      </c>
      <c r="K223" s="13" t="s">
        <v>137</v>
      </c>
      <c r="L223" s="13" t="s">
        <v>1654</v>
      </c>
      <c r="M223" s="13" t="s">
        <v>1716</v>
      </c>
      <c r="N223" s="13">
        <v>202.274</v>
      </c>
      <c r="O223" s="13" t="s">
        <v>1717</v>
      </c>
      <c r="P223" s="13" t="s">
        <v>1718</v>
      </c>
      <c r="Q223" s="13" t="s">
        <v>162</v>
      </c>
      <c r="R223" s="13" t="s">
        <v>1719</v>
      </c>
      <c r="S223" s="13" t="s">
        <v>145</v>
      </c>
      <c r="T223" s="13" t="s">
        <v>146</v>
      </c>
      <c r="U223" s="13" t="s">
        <v>110</v>
      </c>
      <c r="V223" s="47">
        <f>SUMIF(Data!$E:$E,$I223,Data!$AI:$AI)</f>
        <v>0</v>
      </c>
    </row>
    <row r="224" spans="1:22" x14ac:dyDescent="0.25">
      <c r="A224" s="46" t="s">
        <v>1209</v>
      </c>
      <c r="B224" s="46" t="s">
        <v>120</v>
      </c>
      <c r="C224" s="46">
        <v>6801791</v>
      </c>
      <c r="D224" s="46">
        <v>0.1203</v>
      </c>
      <c r="E224" s="47">
        <f>SUMIF(Data!$E:$E,$C224,Data!$AI:$AI)</f>
        <v>0</v>
      </c>
      <c r="I224" s="13" t="s">
        <v>1720</v>
      </c>
      <c r="J224" s="13" t="s">
        <v>1721</v>
      </c>
      <c r="K224" s="13" t="s">
        <v>137</v>
      </c>
      <c r="L224" s="13" t="s">
        <v>1654</v>
      </c>
      <c r="M224" s="13" t="s">
        <v>1722</v>
      </c>
      <c r="N224" s="13">
        <v>155.34700000000001</v>
      </c>
      <c r="O224" s="13" t="s">
        <v>1723</v>
      </c>
      <c r="P224" s="13" t="s">
        <v>1724</v>
      </c>
      <c r="Q224" s="13" t="s">
        <v>162</v>
      </c>
      <c r="R224" s="13" t="s">
        <v>1725</v>
      </c>
      <c r="S224" s="13" t="s">
        <v>560</v>
      </c>
      <c r="T224" s="13" t="s">
        <v>561</v>
      </c>
      <c r="U224" s="13" t="s">
        <v>525</v>
      </c>
      <c r="V224" s="47">
        <f>SUMIF(Data!$E:$E,$I224,Data!$AI:$AI)</f>
        <v>0</v>
      </c>
    </row>
    <row r="225" spans="1:22" x14ac:dyDescent="0.25">
      <c r="A225" s="46" t="s">
        <v>1209</v>
      </c>
      <c r="B225" s="46" t="s">
        <v>120</v>
      </c>
      <c r="C225" s="46">
        <v>6802006</v>
      </c>
      <c r="D225" s="46">
        <v>0.88400000000000001</v>
      </c>
      <c r="E225" s="47">
        <f>SUMIF(Data!$E:$E,$C225,Data!$AI:$AI)</f>
        <v>0</v>
      </c>
      <c r="I225" s="13" t="s">
        <v>1726</v>
      </c>
      <c r="J225" s="13" t="s">
        <v>1727</v>
      </c>
      <c r="K225" s="13" t="s">
        <v>137</v>
      </c>
      <c r="L225" s="13" t="s">
        <v>1654</v>
      </c>
      <c r="M225" s="13" t="s">
        <v>1728</v>
      </c>
      <c r="N225" s="13">
        <v>56.643999999999998</v>
      </c>
      <c r="O225" s="13" t="s">
        <v>1729</v>
      </c>
      <c r="P225" s="13" t="s">
        <v>1730</v>
      </c>
      <c r="Q225" s="13" t="s">
        <v>143</v>
      </c>
      <c r="R225" s="13" t="s">
        <v>1731</v>
      </c>
      <c r="S225" s="13" t="s">
        <v>725</v>
      </c>
      <c r="T225" s="13" t="s">
        <v>726</v>
      </c>
      <c r="U225" s="13" t="s">
        <v>727</v>
      </c>
      <c r="V225" s="47">
        <f>SUMIF(Data!$E:$E,$I225,Data!$AI:$AI)</f>
        <v>0</v>
      </c>
    </row>
    <row r="226" spans="1:22" x14ac:dyDescent="0.25">
      <c r="A226" s="46" t="s">
        <v>1209</v>
      </c>
      <c r="B226" s="46" t="s">
        <v>120</v>
      </c>
      <c r="C226" s="46">
        <v>6802471</v>
      </c>
      <c r="D226" s="46">
        <v>0.1376</v>
      </c>
      <c r="E226" s="47">
        <f>SUMIF(Data!$E:$E,$C226,Data!$AI:$AI)</f>
        <v>0</v>
      </c>
      <c r="I226" s="13" t="s">
        <v>1732</v>
      </c>
      <c r="J226" s="13" t="s">
        <v>1733</v>
      </c>
      <c r="K226" s="13" t="s">
        <v>137</v>
      </c>
      <c r="L226" s="13" t="s">
        <v>1654</v>
      </c>
      <c r="M226" s="13" t="s">
        <v>1734</v>
      </c>
      <c r="N226" s="13">
        <v>42.902000000000001</v>
      </c>
      <c r="O226" s="13" t="s">
        <v>1735</v>
      </c>
      <c r="P226" s="13" t="s">
        <v>1736</v>
      </c>
      <c r="Q226" s="13" t="s">
        <v>734</v>
      </c>
      <c r="R226" s="13" t="s">
        <v>1737</v>
      </c>
      <c r="S226" s="13" t="s">
        <v>192</v>
      </c>
      <c r="T226" s="13" t="s">
        <v>146</v>
      </c>
      <c r="U226" s="13" t="s">
        <v>110</v>
      </c>
      <c r="V226" s="47">
        <f>SUMIF(Data!$E:$E,$I226,Data!$AI:$AI)</f>
        <v>0</v>
      </c>
    </row>
    <row r="227" spans="1:22" x14ac:dyDescent="0.25">
      <c r="A227" s="46" t="s">
        <v>1209</v>
      </c>
      <c r="B227" s="46" t="s">
        <v>120</v>
      </c>
      <c r="C227" s="46">
        <v>6803098</v>
      </c>
      <c r="D227" s="46">
        <v>0.17899999999999999</v>
      </c>
      <c r="E227" s="47">
        <f>SUMIF(Data!$E:$E,$C227,Data!$AI:$AI)</f>
        <v>0</v>
      </c>
      <c r="I227" s="13">
        <v>7267</v>
      </c>
      <c r="J227" s="13" t="s">
        <v>1738</v>
      </c>
      <c r="K227" s="13" t="s">
        <v>137</v>
      </c>
      <c r="L227" s="13" t="s">
        <v>1654</v>
      </c>
      <c r="M227" s="13" t="s">
        <v>1739</v>
      </c>
      <c r="N227" s="13">
        <v>869.25</v>
      </c>
      <c r="O227" s="13" t="s">
        <v>1740</v>
      </c>
      <c r="P227" s="13" t="s">
        <v>1741</v>
      </c>
      <c r="Q227" s="13" t="s">
        <v>162</v>
      </c>
      <c r="R227" s="13" t="s">
        <v>1742</v>
      </c>
      <c r="S227" s="13" t="s">
        <v>441</v>
      </c>
      <c r="T227" s="13" t="s">
        <v>442</v>
      </c>
      <c r="U227" s="13" t="s">
        <v>443</v>
      </c>
      <c r="V227" s="47">
        <f>SUMIF(Data!$E:$E,$I227,Data!$AI:$AI)</f>
        <v>0</v>
      </c>
    </row>
    <row r="228" spans="1:22" x14ac:dyDescent="0.25">
      <c r="A228" s="46" t="s">
        <v>1209</v>
      </c>
      <c r="B228" s="46" t="s">
        <v>120</v>
      </c>
      <c r="C228" s="46">
        <v>6803708</v>
      </c>
      <c r="D228" s="46">
        <v>1.6560999999999999</v>
      </c>
      <c r="E228" s="47">
        <f>SUMIF(Data!$E:$E,$C228,Data!$AI:$AI)</f>
        <v>0</v>
      </c>
      <c r="I228" s="13" t="s">
        <v>1743</v>
      </c>
      <c r="J228" s="13" t="s">
        <v>1744</v>
      </c>
      <c r="K228" s="13" t="s">
        <v>137</v>
      </c>
      <c r="L228" s="13" t="s">
        <v>1654</v>
      </c>
      <c r="M228" s="13" t="s">
        <v>1745</v>
      </c>
      <c r="N228" s="13">
        <v>490.214</v>
      </c>
      <c r="O228" s="13" t="s">
        <v>1746</v>
      </c>
      <c r="P228" s="13" t="s">
        <v>1747</v>
      </c>
      <c r="Q228" s="13" t="s">
        <v>208</v>
      </c>
      <c r="R228" s="13" t="s">
        <v>1748</v>
      </c>
      <c r="S228" s="13" t="s">
        <v>642</v>
      </c>
      <c r="T228" s="13" t="s">
        <v>643</v>
      </c>
      <c r="U228" s="13" t="s">
        <v>525</v>
      </c>
      <c r="V228" s="47">
        <f>SUMIF(Data!$E:$E,$I228,Data!$AI:$AI)</f>
        <v>0</v>
      </c>
    </row>
    <row r="229" spans="1:22" x14ac:dyDescent="0.25">
      <c r="A229" s="46" t="s">
        <v>1209</v>
      </c>
      <c r="B229" s="46" t="s">
        <v>120</v>
      </c>
      <c r="C229" s="46">
        <v>6817088</v>
      </c>
      <c r="D229" s="46">
        <v>0.11269999999999999</v>
      </c>
      <c r="E229" s="47">
        <f>SUMIF(Data!$E:$E,$C229,Data!$AI:$AI)</f>
        <v>0</v>
      </c>
      <c r="I229" s="13" t="s">
        <v>1720</v>
      </c>
      <c r="J229" s="13" t="s">
        <v>1749</v>
      </c>
      <c r="K229" s="13" t="s">
        <v>137</v>
      </c>
      <c r="L229" s="13" t="s">
        <v>1654</v>
      </c>
      <c r="M229" s="13" t="s">
        <v>1750</v>
      </c>
      <c r="N229" s="13">
        <v>114.04600000000001</v>
      </c>
      <c r="O229" s="13" t="s">
        <v>1751</v>
      </c>
      <c r="P229" s="13" t="s">
        <v>1752</v>
      </c>
      <c r="Q229" s="13" t="s">
        <v>224</v>
      </c>
      <c r="R229" s="13" t="s">
        <v>1753</v>
      </c>
      <c r="S229" s="13" t="s">
        <v>192</v>
      </c>
      <c r="T229" s="13" t="s">
        <v>146</v>
      </c>
      <c r="U229" s="13" t="s">
        <v>110</v>
      </c>
      <c r="V229" s="47">
        <f>SUMIF(Data!$E:$E,$I229,Data!$AI:$AI)</f>
        <v>0</v>
      </c>
    </row>
    <row r="230" spans="1:22" x14ac:dyDescent="0.25">
      <c r="A230" s="46" t="s">
        <v>1209</v>
      </c>
      <c r="B230" s="46" t="s">
        <v>120</v>
      </c>
      <c r="C230" s="46">
        <v>6817367</v>
      </c>
      <c r="D230" s="46">
        <v>0.11509999999999999</v>
      </c>
      <c r="E230" s="47">
        <f>SUMIF(Data!$E:$E,$C230,Data!$AI:$AI)</f>
        <v>0</v>
      </c>
      <c r="I230" s="13" t="s">
        <v>1754</v>
      </c>
      <c r="J230" s="13" t="s">
        <v>1755</v>
      </c>
      <c r="K230" s="13" t="s">
        <v>137</v>
      </c>
      <c r="L230" s="13" t="s">
        <v>1654</v>
      </c>
      <c r="M230" s="13" t="s">
        <v>1756</v>
      </c>
      <c r="N230" s="13">
        <v>403.76100000000002</v>
      </c>
      <c r="O230" s="13" t="s">
        <v>1757</v>
      </c>
      <c r="P230" s="13" t="s">
        <v>1758</v>
      </c>
      <c r="Q230" s="13" t="s">
        <v>734</v>
      </c>
      <c r="R230" s="13" t="s">
        <v>1759</v>
      </c>
      <c r="S230" s="13" t="s">
        <v>192</v>
      </c>
      <c r="T230" s="13" t="s">
        <v>146</v>
      </c>
      <c r="U230" s="13" t="s">
        <v>110</v>
      </c>
      <c r="V230" s="47">
        <f>SUMIF(Data!$E:$E,$I230,Data!$AI:$AI)</f>
        <v>0</v>
      </c>
    </row>
    <row r="231" spans="1:22" x14ac:dyDescent="0.25">
      <c r="A231" s="46" t="s">
        <v>1209</v>
      </c>
      <c r="B231" s="46" t="s">
        <v>120</v>
      </c>
      <c r="C231" s="46">
        <v>6878331</v>
      </c>
      <c r="D231" s="46">
        <v>0.17319999999999999</v>
      </c>
      <c r="E231" s="47">
        <f>SUMIF(Data!$E:$E,$C231,Data!$AI:$AI)</f>
        <v>0</v>
      </c>
      <c r="I231" s="13" t="s">
        <v>1760</v>
      </c>
      <c r="J231" s="13" t="s">
        <v>1761</v>
      </c>
      <c r="K231" s="13" t="s">
        <v>137</v>
      </c>
      <c r="L231" s="13" t="s">
        <v>1654</v>
      </c>
      <c r="M231" s="13" t="s">
        <v>1762</v>
      </c>
      <c r="N231" s="13">
        <v>461.63200000000001</v>
      </c>
      <c r="O231" s="13" t="s">
        <v>1763</v>
      </c>
      <c r="P231" s="13" t="s">
        <v>1764</v>
      </c>
      <c r="Q231" s="13" t="s">
        <v>190</v>
      </c>
      <c r="R231" s="13" t="s">
        <v>1765</v>
      </c>
      <c r="S231" s="13" t="s">
        <v>192</v>
      </c>
      <c r="T231" s="13" t="s">
        <v>146</v>
      </c>
      <c r="U231" s="13" t="s">
        <v>110</v>
      </c>
      <c r="V231" s="47">
        <f>SUMIF(Data!$E:$E,$I231,Data!$AI:$AI)</f>
        <v>0</v>
      </c>
    </row>
    <row r="232" spans="1:22" x14ac:dyDescent="0.25">
      <c r="A232" s="46" t="s">
        <v>1209</v>
      </c>
      <c r="B232" s="46" t="s">
        <v>120</v>
      </c>
      <c r="C232" s="46">
        <v>6932323</v>
      </c>
      <c r="D232" s="46">
        <v>0.15429999999999999</v>
      </c>
      <c r="E232" s="47">
        <f>SUMIF(Data!$E:$E,$C232,Data!$AI:$AI)</f>
        <v>0</v>
      </c>
      <c r="I232" s="13">
        <v>7974</v>
      </c>
      <c r="J232" s="13" t="s">
        <v>1766</v>
      </c>
      <c r="K232" s="13" t="s">
        <v>137</v>
      </c>
      <c r="L232" s="13" t="s">
        <v>1654</v>
      </c>
      <c r="M232" s="13" t="s">
        <v>1767</v>
      </c>
      <c r="N232" s="13">
        <v>60.576999999999998</v>
      </c>
      <c r="O232" s="13" t="s">
        <v>1768</v>
      </c>
      <c r="P232" s="13" t="s">
        <v>1769</v>
      </c>
      <c r="Q232" s="13" t="s">
        <v>172</v>
      </c>
      <c r="R232" s="13" t="s">
        <v>1770</v>
      </c>
      <c r="S232" s="13" t="s">
        <v>441</v>
      </c>
      <c r="T232" s="13" t="s">
        <v>442</v>
      </c>
      <c r="U232" s="13" t="s">
        <v>443</v>
      </c>
      <c r="V232" s="47">
        <f>SUMIF(Data!$E:$E,$I232,Data!$AI:$AI)</f>
        <v>0</v>
      </c>
    </row>
    <row r="233" spans="1:22" x14ac:dyDescent="0.25">
      <c r="A233" s="46" t="s">
        <v>1209</v>
      </c>
      <c r="B233" s="46" t="s">
        <v>120</v>
      </c>
      <c r="C233" s="46">
        <v>6984045</v>
      </c>
      <c r="D233" s="46">
        <v>0.43769999999999998</v>
      </c>
      <c r="E233" s="47">
        <f>SUMIF(Data!$E:$E,$C233,Data!$AI:$AI)</f>
        <v>0</v>
      </c>
      <c r="I233" s="13" t="s">
        <v>1771</v>
      </c>
      <c r="J233" s="13" t="s">
        <v>1772</v>
      </c>
      <c r="K233" s="13" t="s">
        <v>137</v>
      </c>
      <c r="L233" s="13" t="s">
        <v>1654</v>
      </c>
      <c r="M233" s="13" t="s">
        <v>1773</v>
      </c>
      <c r="N233" s="13">
        <v>201.982</v>
      </c>
      <c r="O233" s="13" t="s">
        <v>1774</v>
      </c>
      <c r="P233" s="13" t="s">
        <v>1775</v>
      </c>
      <c r="Q233" s="13" t="s">
        <v>143</v>
      </c>
      <c r="R233" s="13" t="s">
        <v>1776</v>
      </c>
      <c r="S233" s="13" t="s">
        <v>145</v>
      </c>
      <c r="T233" s="13" t="s">
        <v>146</v>
      </c>
      <c r="U233" s="13" t="s">
        <v>110</v>
      </c>
      <c r="V233" s="47">
        <f>SUMIF(Data!$E:$E,$I233,Data!$AI:$AI)</f>
        <v>0</v>
      </c>
    </row>
    <row r="234" spans="1:22" x14ac:dyDescent="0.25">
      <c r="A234" s="46" t="s">
        <v>1209</v>
      </c>
      <c r="B234" s="46" t="s">
        <v>120</v>
      </c>
      <c r="C234" s="46">
        <v>6990257</v>
      </c>
      <c r="D234" s="46">
        <v>1.6904999999999999</v>
      </c>
      <c r="E234" s="47">
        <f>SUMIF(Data!$E:$E,$C234,Data!$AI:$AI)</f>
        <v>0</v>
      </c>
      <c r="I234" s="13" t="s">
        <v>1777</v>
      </c>
      <c r="J234" s="13" t="s">
        <v>1778</v>
      </c>
      <c r="K234" s="13" t="s">
        <v>137</v>
      </c>
      <c r="L234" s="13" t="s">
        <v>1654</v>
      </c>
      <c r="M234" s="13" t="s">
        <v>1779</v>
      </c>
      <c r="N234" s="13">
        <v>159.37100000000001</v>
      </c>
      <c r="O234" s="13" t="s">
        <v>1780</v>
      </c>
      <c r="P234" s="13" t="s">
        <v>1781</v>
      </c>
      <c r="Q234" s="13" t="s">
        <v>694</v>
      </c>
      <c r="R234" s="13" t="s">
        <v>1782</v>
      </c>
      <c r="S234" s="13" t="s">
        <v>192</v>
      </c>
      <c r="T234" s="13" t="s">
        <v>146</v>
      </c>
      <c r="U234" s="13" t="s">
        <v>110</v>
      </c>
      <c r="V234" s="47">
        <f>SUMIF(Data!$E:$E,$I234,Data!$AI:$AI)</f>
        <v>0</v>
      </c>
    </row>
    <row r="235" spans="1:22" x14ac:dyDescent="0.25">
      <c r="A235" s="46" t="s">
        <v>1209</v>
      </c>
      <c r="B235" s="46" t="s">
        <v>120</v>
      </c>
      <c r="C235" s="46">
        <v>6990718</v>
      </c>
      <c r="D235" s="46">
        <v>0.30280000000000001</v>
      </c>
      <c r="E235" s="47">
        <f>SUMIF(Data!$E:$E,$C235,Data!$AI:$AI)</f>
        <v>0</v>
      </c>
      <c r="I235" s="13" t="s">
        <v>1783</v>
      </c>
      <c r="J235" s="13" t="s">
        <v>1784</v>
      </c>
      <c r="K235" s="13" t="s">
        <v>137</v>
      </c>
      <c r="L235" s="13" t="s">
        <v>1654</v>
      </c>
      <c r="M235" s="13" t="s">
        <v>1785</v>
      </c>
      <c r="N235" s="13">
        <v>163.65199999999999</v>
      </c>
      <c r="O235" s="13" t="s">
        <v>1786</v>
      </c>
      <c r="P235" s="13" t="s">
        <v>1787</v>
      </c>
      <c r="Q235" s="13" t="s">
        <v>806</v>
      </c>
      <c r="R235" s="13" t="s">
        <v>1788</v>
      </c>
      <c r="S235" s="13" t="s">
        <v>192</v>
      </c>
      <c r="T235" s="13" t="s">
        <v>146</v>
      </c>
      <c r="U235" s="13" t="s">
        <v>110</v>
      </c>
      <c r="V235" s="47">
        <f>SUMIF(Data!$E:$E,$I235,Data!$AI:$AI)</f>
        <v>0</v>
      </c>
    </row>
    <row r="236" spans="1:22" x14ac:dyDescent="0.25">
      <c r="A236" s="46" t="s">
        <v>1209</v>
      </c>
      <c r="B236" s="46" t="s">
        <v>120</v>
      </c>
      <c r="C236" s="46" t="s">
        <v>1789</v>
      </c>
      <c r="D236" s="46">
        <v>0.14069999999999999</v>
      </c>
      <c r="E236" s="47">
        <f>SUMIF(Data!$E:$E,$C236,Data!$AI:$AI)</f>
        <v>0</v>
      </c>
      <c r="I236" s="13" t="s">
        <v>1790</v>
      </c>
      <c r="J236" s="13" t="s">
        <v>1791</v>
      </c>
      <c r="K236" s="13" t="s">
        <v>137</v>
      </c>
      <c r="L236" s="13" t="s">
        <v>1654</v>
      </c>
      <c r="M236" s="13" t="s">
        <v>1792</v>
      </c>
      <c r="N236" s="13">
        <v>506.44099999999997</v>
      </c>
      <c r="O236" s="13" t="s">
        <v>1793</v>
      </c>
      <c r="P236" s="13" t="s">
        <v>1794</v>
      </c>
      <c r="Q236" s="13" t="s">
        <v>694</v>
      </c>
      <c r="R236" s="13" t="s">
        <v>1795</v>
      </c>
      <c r="S236" s="13" t="s">
        <v>145</v>
      </c>
      <c r="T236" s="13" t="s">
        <v>146</v>
      </c>
      <c r="U236" s="13" t="s">
        <v>110</v>
      </c>
      <c r="V236" s="47">
        <f>SUMIF(Data!$E:$E,$I236,Data!$AI:$AI)</f>
        <v>0</v>
      </c>
    </row>
    <row r="237" spans="1:22" x14ac:dyDescent="0.25">
      <c r="A237" s="46" t="s">
        <v>1209</v>
      </c>
      <c r="B237" s="46" t="s">
        <v>120</v>
      </c>
      <c r="C237" s="46" t="s">
        <v>1796</v>
      </c>
      <c r="D237" s="46">
        <v>0.4521</v>
      </c>
      <c r="E237" s="47">
        <f>SUMIF(Data!$E:$E,$C237,Data!$AI:$AI)</f>
        <v>0</v>
      </c>
      <c r="I237" s="13" t="s">
        <v>1797</v>
      </c>
      <c r="J237" s="13" t="s">
        <v>1798</v>
      </c>
      <c r="K237" s="13" t="s">
        <v>137</v>
      </c>
      <c r="L237" s="13" t="s">
        <v>1654</v>
      </c>
      <c r="M237" s="13" t="s">
        <v>1799</v>
      </c>
      <c r="N237" s="13">
        <v>443.92500000000001</v>
      </c>
      <c r="O237" s="13" t="s">
        <v>1800</v>
      </c>
      <c r="P237" s="13" t="s">
        <v>1801</v>
      </c>
      <c r="Q237" s="13" t="s">
        <v>190</v>
      </c>
      <c r="R237" s="13" t="s">
        <v>1802</v>
      </c>
      <c r="S237" s="13" t="s">
        <v>192</v>
      </c>
      <c r="T237" s="13" t="s">
        <v>146</v>
      </c>
      <c r="U237" s="13" t="s">
        <v>110</v>
      </c>
      <c r="V237" s="47">
        <f>SUMIF(Data!$E:$E,$I237,Data!$AI:$AI)</f>
        <v>0</v>
      </c>
    </row>
    <row r="238" spans="1:22" x14ac:dyDescent="0.25">
      <c r="A238" s="46" t="s">
        <v>1209</v>
      </c>
      <c r="B238" s="46" t="s">
        <v>120</v>
      </c>
      <c r="C238" s="46" t="s">
        <v>1803</v>
      </c>
      <c r="D238" s="46">
        <v>0.80479999999999996</v>
      </c>
      <c r="E238" s="47">
        <f>SUMIF(Data!$E:$E,$C238,Data!$AI:$AI)</f>
        <v>0</v>
      </c>
      <c r="I238" s="13" t="s">
        <v>1804</v>
      </c>
      <c r="J238" s="13" t="s">
        <v>1805</v>
      </c>
      <c r="K238" s="13" t="s">
        <v>137</v>
      </c>
      <c r="L238" s="13" t="s">
        <v>1806</v>
      </c>
      <c r="M238" s="13" t="s">
        <v>1807</v>
      </c>
      <c r="N238" s="13">
        <v>268.76900000000001</v>
      </c>
      <c r="O238" s="13" t="s">
        <v>1808</v>
      </c>
      <c r="P238" s="13" t="s">
        <v>1809</v>
      </c>
      <c r="Q238" s="13" t="s">
        <v>208</v>
      </c>
      <c r="R238" s="13" t="s">
        <v>1810</v>
      </c>
      <c r="S238" s="13" t="s">
        <v>192</v>
      </c>
      <c r="T238" s="13" t="s">
        <v>146</v>
      </c>
      <c r="U238" s="13" t="s">
        <v>110</v>
      </c>
      <c r="V238" s="47">
        <f>SUMIF(Data!$E:$E,$I238,Data!$AI:$AI)</f>
        <v>0</v>
      </c>
    </row>
    <row r="239" spans="1:22" x14ac:dyDescent="0.25">
      <c r="A239" s="46" t="s">
        <v>1209</v>
      </c>
      <c r="B239" s="46" t="s">
        <v>120</v>
      </c>
      <c r="C239" s="46" t="s">
        <v>1811</v>
      </c>
      <c r="D239" s="46">
        <v>0.48220000000000002</v>
      </c>
      <c r="E239" s="47">
        <f>SUMIF(Data!$E:$E,$C239,Data!$AI:$AI)</f>
        <v>0</v>
      </c>
      <c r="I239" s="13" t="s">
        <v>1812</v>
      </c>
      <c r="J239" s="13" t="s">
        <v>1813</v>
      </c>
      <c r="K239" s="13" t="s">
        <v>137</v>
      </c>
      <c r="L239" s="13" t="s">
        <v>1806</v>
      </c>
      <c r="M239" s="13" t="s">
        <v>1814</v>
      </c>
      <c r="N239" s="13">
        <v>454.553</v>
      </c>
      <c r="O239" s="13" t="s">
        <v>1815</v>
      </c>
      <c r="P239" s="13" t="s">
        <v>1816</v>
      </c>
      <c r="Q239" s="13" t="s">
        <v>190</v>
      </c>
      <c r="R239" s="13" t="s">
        <v>1817</v>
      </c>
      <c r="S239" s="13" t="s">
        <v>192</v>
      </c>
      <c r="T239" s="13" t="s">
        <v>146</v>
      </c>
      <c r="U239" s="13" t="s">
        <v>110</v>
      </c>
      <c r="V239" s="47">
        <f>SUMIF(Data!$E:$E,$I239,Data!$AI:$AI)</f>
        <v>0</v>
      </c>
    </row>
    <row r="240" spans="1:22" x14ac:dyDescent="0.25">
      <c r="A240" s="46" t="s">
        <v>1209</v>
      </c>
      <c r="B240" s="46" t="s">
        <v>120</v>
      </c>
      <c r="C240" s="46" t="s">
        <v>1818</v>
      </c>
      <c r="D240" s="46">
        <v>0.68579999999999997</v>
      </c>
      <c r="E240" s="47">
        <f>SUMIF(Data!$E:$E,$C240,Data!$AI:$AI)</f>
        <v>0</v>
      </c>
      <c r="I240" s="13">
        <v>6367</v>
      </c>
      <c r="J240" s="13" t="s">
        <v>1819</v>
      </c>
      <c r="K240" s="13" t="s">
        <v>137</v>
      </c>
      <c r="L240" s="13" t="s">
        <v>1806</v>
      </c>
      <c r="M240" s="13" t="s">
        <v>1820</v>
      </c>
      <c r="N240" s="13">
        <v>160.749</v>
      </c>
      <c r="O240" s="13" t="s">
        <v>1821</v>
      </c>
      <c r="P240" s="13" t="s">
        <v>1822</v>
      </c>
      <c r="Q240" s="13" t="s">
        <v>416</v>
      </c>
      <c r="R240" s="13" t="s">
        <v>1823</v>
      </c>
      <c r="S240" s="13" t="s">
        <v>441</v>
      </c>
      <c r="T240" s="13" t="s">
        <v>442</v>
      </c>
      <c r="U240" s="13" t="s">
        <v>443</v>
      </c>
      <c r="V240" s="47">
        <f>SUMIF(Data!$E:$E,$I240,Data!$AI:$AI)</f>
        <v>0</v>
      </c>
    </row>
    <row r="241" spans="1:22" x14ac:dyDescent="0.25">
      <c r="A241" s="46" t="s">
        <v>1209</v>
      </c>
      <c r="B241" s="46" t="s">
        <v>120</v>
      </c>
      <c r="C241" s="46" t="s">
        <v>1824</v>
      </c>
      <c r="D241" s="46">
        <v>0.161</v>
      </c>
      <c r="E241" s="47">
        <f>SUMIF(Data!$E:$E,$C241,Data!$AI:$AI)</f>
        <v>0</v>
      </c>
      <c r="I241" s="13">
        <v>4063</v>
      </c>
      <c r="J241" s="13" t="s">
        <v>1825</v>
      </c>
      <c r="K241" s="13" t="s">
        <v>137</v>
      </c>
      <c r="L241" s="13" t="s">
        <v>1806</v>
      </c>
      <c r="M241" s="13" t="s">
        <v>1826</v>
      </c>
      <c r="N241" s="13">
        <v>208.15700000000001</v>
      </c>
      <c r="O241" s="13" t="s">
        <v>1827</v>
      </c>
      <c r="P241" s="13" t="s">
        <v>1828</v>
      </c>
      <c r="Q241" s="13" t="s">
        <v>734</v>
      </c>
      <c r="R241" s="13" t="s">
        <v>1829</v>
      </c>
      <c r="S241" s="13" t="s">
        <v>441</v>
      </c>
      <c r="T241" s="13" t="s">
        <v>442</v>
      </c>
      <c r="U241" s="13" t="s">
        <v>443</v>
      </c>
      <c r="V241" s="47">
        <f>SUMIF(Data!$E:$E,$I241,Data!$AI:$AI)</f>
        <v>0</v>
      </c>
    </row>
    <row r="242" spans="1:22" x14ac:dyDescent="0.25">
      <c r="A242" s="46" t="s">
        <v>1209</v>
      </c>
      <c r="B242" s="46" t="s">
        <v>120</v>
      </c>
      <c r="C242" s="46" t="s">
        <v>1830</v>
      </c>
      <c r="D242" s="46">
        <v>1.1995</v>
      </c>
      <c r="E242" s="47">
        <f>SUMIF(Data!$E:$E,$C242,Data!$AI:$AI)</f>
        <v>0</v>
      </c>
      <c r="I242" s="13" t="s">
        <v>1831</v>
      </c>
      <c r="J242" s="13" t="s">
        <v>1832</v>
      </c>
      <c r="K242" s="13" t="s">
        <v>137</v>
      </c>
      <c r="L242" s="13" t="s">
        <v>1806</v>
      </c>
      <c r="M242" s="13" t="s">
        <v>1833</v>
      </c>
      <c r="N242" s="13">
        <v>152.66999999999999</v>
      </c>
      <c r="O242" s="13" t="s">
        <v>1834</v>
      </c>
      <c r="P242" s="13" t="s">
        <v>1835</v>
      </c>
      <c r="Q242" s="13" t="s">
        <v>208</v>
      </c>
      <c r="R242" s="13" t="s">
        <v>1836</v>
      </c>
      <c r="S242" s="13" t="s">
        <v>192</v>
      </c>
      <c r="T242" s="13" t="s">
        <v>146</v>
      </c>
      <c r="U242" s="13" t="s">
        <v>110</v>
      </c>
      <c r="V242" s="47">
        <f>SUMIF(Data!$E:$E,$I242,Data!$AI:$AI)</f>
        <v>0</v>
      </c>
    </row>
    <row r="243" spans="1:22" x14ac:dyDescent="0.25">
      <c r="A243" s="46" t="s">
        <v>1209</v>
      </c>
      <c r="B243" s="46" t="s">
        <v>120</v>
      </c>
      <c r="C243" s="46" t="s">
        <v>1837</v>
      </c>
      <c r="D243" s="46">
        <v>0.16220000000000001</v>
      </c>
      <c r="E243" s="47">
        <f>SUMIF(Data!$E:$E,$C243,Data!$AI:$AI)</f>
        <v>0</v>
      </c>
      <c r="I243" s="13" t="s">
        <v>1838</v>
      </c>
      <c r="J243" s="13" t="s">
        <v>1839</v>
      </c>
      <c r="K243" s="13" t="s">
        <v>137</v>
      </c>
      <c r="L243" s="13" t="s">
        <v>1806</v>
      </c>
      <c r="M243" s="13" t="s">
        <v>1840</v>
      </c>
      <c r="N243" s="13">
        <v>90.733000000000004</v>
      </c>
      <c r="O243" s="13" t="s">
        <v>1841</v>
      </c>
      <c r="P243" s="13" t="s">
        <v>1842</v>
      </c>
      <c r="Q243" s="13" t="s">
        <v>190</v>
      </c>
      <c r="R243" s="13" t="s">
        <v>1843</v>
      </c>
      <c r="S243" s="13" t="s">
        <v>192</v>
      </c>
      <c r="T243" s="13" t="s">
        <v>146</v>
      </c>
      <c r="U243" s="13" t="s">
        <v>110</v>
      </c>
      <c r="V243" s="47">
        <f>SUMIF(Data!$E:$E,$I243,Data!$AI:$AI)</f>
        <v>0</v>
      </c>
    </row>
    <row r="244" spans="1:22" x14ac:dyDescent="0.25">
      <c r="A244" s="46" t="s">
        <v>1209</v>
      </c>
      <c r="B244" s="46" t="s">
        <v>120</v>
      </c>
      <c r="C244" s="46" t="s">
        <v>1844</v>
      </c>
      <c r="D244" s="46">
        <v>9.7199999999999995E-2</v>
      </c>
      <c r="E244" s="47">
        <f>SUMIF(Data!$E:$E,$C244,Data!$AI:$AI)</f>
        <v>0</v>
      </c>
      <c r="I244" s="13" t="s">
        <v>1845</v>
      </c>
      <c r="J244" s="13" t="s">
        <v>1846</v>
      </c>
      <c r="K244" s="13" t="s">
        <v>137</v>
      </c>
      <c r="L244" s="13" t="s">
        <v>1806</v>
      </c>
      <c r="M244" s="13" t="s">
        <v>1847</v>
      </c>
      <c r="N244" s="13">
        <v>649.255</v>
      </c>
      <c r="O244" s="13" t="s">
        <v>1848</v>
      </c>
      <c r="P244" s="13" t="s">
        <v>1849</v>
      </c>
      <c r="Q244" s="13" t="s">
        <v>162</v>
      </c>
      <c r="R244" s="13" t="s">
        <v>1850</v>
      </c>
      <c r="S244" s="13" t="s">
        <v>192</v>
      </c>
      <c r="T244" s="13" t="s">
        <v>146</v>
      </c>
      <c r="U244" s="13" t="s">
        <v>110</v>
      </c>
      <c r="V244" s="47">
        <f>SUMIF(Data!$E:$E,$I244,Data!$AI:$AI)</f>
        <v>0</v>
      </c>
    </row>
    <row r="245" spans="1:22" x14ac:dyDescent="0.25">
      <c r="A245" s="46" t="s">
        <v>1209</v>
      </c>
      <c r="B245" s="46" t="s">
        <v>120</v>
      </c>
      <c r="C245" s="46" t="s">
        <v>1851</v>
      </c>
      <c r="D245" s="46">
        <v>0.159</v>
      </c>
      <c r="E245" s="47">
        <f>SUMIF(Data!$E:$E,$C245,Data!$AI:$AI)</f>
        <v>0</v>
      </c>
      <c r="I245" s="13" t="s">
        <v>1852</v>
      </c>
      <c r="J245" s="13" t="s">
        <v>1853</v>
      </c>
      <c r="K245" s="13" t="s">
        <v>137</v>
      </c>
      <c r="L245" s="13" t="s">
        <v>1806</v>
      </c>
      <c r="M245" s="13" t="s">
        <v>1854</v>
      </c>
      <c r="N245" s="13">
        <v>303.42599999999999</v>
      </c>
      <c r="O245" s="13" t="s">
        <v>1855</v>
      </c>
      <c r="P245" s="13" t="s">
        <v>1856</v>
      </c>
      <c r="Q245" s="13" t="s">
        <v>190</v>
      </c>
      <c r="R245" s="13" t="s">
        <v>1857</v>
      </c>
      <c r="S245" s="13" t="s">
        <v>192</v>
      </c>
      <c r="T245" s="13" t="s">
        <v>146</v>
      </c>
      <c r="U245" s="13" t="s">
        <v>110</v>
      </c>
      <c r="V245" s="47">
        <f>SUMIF(Data!$E:$E,$I245,Data!$AI:$AI)</f>
        <v>0</v>
      </c>
    </row>
    <row r="246" spans="1:22" x14ac:dyDescent="0.25">
      <c r="A246" s="46" t="s">
        <v>1209</v>
      </c>
      <c r="B246" s="46" t="s">
        <v>120</v>
      </c>
      <c r="C246" s="46" t="s">
        <v>1858</v>
      </c>
      <c r="D246" s="46">
        <v>0.42830000000000001</v>
      </c>
      <c r="E246" s="47">
        <f>SUMIF(Data!$E:$E,$C246,Data!$AI:$AI)</f>
        <v>0</v>
      </c>
      <c r="I246" s="13" t="s">
        <v>1859</v>
      </c>
      <c r="J246" s="13" t="s">
        <v>1860</v>
      </c>
      <c r="K246" s="13" t="s">
        <v>137</v>
      </c>
      <c r="L246" s="13" t="s">
        <v>1806</v>
      </c>
      <c r="M246" s="13" t="s">
        <v>1861</v>
      </c>
      <c r="N246" s="13">
        <v>229.785</v>
      </c>
      <c r="O246" s="13" t="s">
        <v>1862</v>
      </c>
      <c r="P246" s="13" t="s">
        <v>1863</v>
      </c>
      <c r="Q246" s="13" t="s">
        <v>260</v>
      </c>
      <c r="R246" s="13" t="s">
        <v>1864</v>
      </c>
      <c r="S246" s="13" t="s">
        <v>192</v>
      </c>
      <c r="T246" s="13" t="s">
        <v>146</v>
      </c>
      <c r="U246" s="13" t="s">
        <v>110</v>
      </c>
      <c r="V246" s="47">
        <f>SUMIF(Data!$E:$E,$I246,Data!$AI:$AI)</f>
        <v>0</v>
      </c>
    </row>
    <row r="247" spans="1:22" x14ac:dyDescent="0.25">
      <c r="A247" s="46" t="s">
        <v>1209</v>
      </c>
      <c r="B247" s="46" t="s">
        <v>120</v>
      </c>
      <c r="C247" s="46" t="s">
        <v>1865</v>
      </c>
      <c r="D247" s="46">
        <v>1.9975000000000001</v>
      </c>
      <c r="E247" s="47">
        <f>SUMIF(Data!$E:$E,$C247,Data!$AI:$AI)</f>
        <v>0</v>
      </c>
      <c r="I247" s="13" t="s">
        <v>1866</v>
      </c>
      <c r="J247" s="13" t="s">
        <v>1867</v>
      </c>
      <c r="K247" s="13" t="s">
        <v>137</v>
      </c>
      <c r="L247" s="13" t="s">
        <v>1806</v>
      </c>
      <c r="M247" s="13" t="s">
        <v>1868</v>
      </c>
      <c r="N247" s="13">
        <v>115.38800000000001</v>
      </c>
      <c r="O247" s="13" t="s">
        <v>1869</v>
      </c>
      <c r="P247" s="13" t="s">
        <v>1870</v>
      </c>
      <c r="Q247" s="13" t="s">
        <v>143</v>
      </c>
      <c r="R247" s="13" t="s">
        <v>1871</v>
      </c>
      <c r="S247" s="13" t="s">
        <v>145</v>
      </c>
      <c r="T247" s="13" t="s">
        <v>146</v>
      </c>
      <c r="U247" s="13" t="s">
        <v>110</v>
      </c>
      <c r="V247" s="47">
        <f>SUMIF(Data!$E:$E,$I247,Data!$AI:$AI)</f>
        <v>0</v>
      </c>
    </row>
    <row r="248" spans="1:22" x14ac:dyDescent="0.25">
      <c r="A248" s="46" t="s">
        <v>1209</v>
      </c>
      <c r="B248" s="46" t="s">
        <v>120</v>
      </c>
      <c r="C248" s="46" t="s">
        <v>1872</v>
      </c>
      <c r="D248" s="46">
        <v>5.4379</v>
      </c>
      <c r="E248" s="47">
        <f>SUMIF(Data!$E:$E,$C248,Data!$AI:$AI)</f>
        <v>0</v>
      </c>
      <c r="I248" s="13" t="s">
        <v>1873</v>
      </c>
      <c r="J248" s="13" t="s">
        <v>1874</v>
      </c>
      <c r="K248" s="13" t="s">
        <v>137</v>
      </c>
      <c r="L248" s="13" t="s">
        <v>1806</v>
      </c>
      <c r="M248" s="13" t="s">
        <v>1875</v>
      </c>
      <c r="N248" s="13" t="s">
        <v>1876</v>
      </c>
      <c r="O248" s="13" t="s">
        <v>1877</v>
      </c>
      <c r="P248" s="13" t="s">
        <v>1878</v>
      </c>
      <c r="Q248" s="13" t="s">
        <v>260</v>
      </c>
      <c r="R248" s="13" t="s">
        <v>1879</v>
      </c>
      <c r="S248" s="13" t="s">
        <v>192</v>
      </c>
      <c r="T248" s="13" t="s">
        <v>146</v>
      </c>
      <c r="U248" s="13" t="s">
        <v>110</v>
      </c>
      <c r="V248" s="47">
        <f>SUMIF(Data!$E:$E,$I248,Data!$AI:$AI)</f>
        <v>0</v>
      </c>
    </row>
    <row r="249" spans="1:22" x14ac:dyDescent="0.25">
      <c r="A249" s="46" t="s">
        <v>1209</v>
      </c>
      <c r="B249" s="46" t="s">
        <v>120</v>
      </c>
      <c r="C249" s="46" t="s">
        <v>1880</v>
      </c>
      <c r="D249" s="46">
        <v>0.1789</v>
      </c>
      <c r="E249" s="47">
        <f>SUMIF(Data!$E:$E,$C249,Data!$AI:$AI)</f>
        <v>0</v>
      </c>
      <c r="I249" s="13" t="s">
        <v>1881</v>
      </c>
      <c r="J249" s="13" t="s">
        <v>1882</v>
      </c>
      <c r="K249" s="13" t="s">
        <v>137</v>
      </c>
      <c r="L249" s="13" t="s">
        <v>1806</v>
      </c>
      <c r="M249" s="13" t="s">
        <v>1883</v>
      </c>
      <c r="N249" s="13">
        <v>406.86200000000002</v>
      </c>
      <c r="O249" s="13" t="s">
        <v>1884</v>
      </c>
      <c r="P249" s="13" t="s">
        <v>1885</v>
      </c>
      <c r="Q249" s="13" t="s">
        <v>224</v>
      </c>
      <c r="R249" s="13" t="s">
        <v>1886</v>
      </c>
      <c r="S249" s="13" t="s">
        <v>145</v>
      </c>
      <c r="T249" s="13" t="s">
        <v>146</v>
      </c>
      <c r="U249" s="13" t="s">
        <v>110</v>
      </c>
      <c r="V249" s="47">
        <f>SUMIF(Data!$E:$E,$I249,Data!$AI:$AI)</f>
        <v>0</v>
      </c>
    </row>
    <row r="250" spans="1:22" x14ac:dyDescent="0.25">
      <c r="A250" s="46" t="s">
        <v>1209</v>
      </c>
      <c r="B250" s="46" t="s">
        <v>120</v>
      </c>
      <c r="C250" s="46" t="s">
        <v>1887</v>
      </c>
      <c r="D250" s="46">
        <v>1.6093999999999999</v>
      </c>
      <c r="E250" s="47">
        <f>SUMIF(Data!$E:$E,$C250,Data!$AI:$AI)</f>
        <v>0</v>
      </c>
      <c r="I250" s="13" t="s">
        <v>1888</v>
      </c>
      <c r="J250" s="13" t="s">
        <v>1889</v>
      </c>
      <c r="K250" s="13" t="s">
        <v>137</v>
      </c>
      <c r="L250" s="13" t="s">
        <v>1806</v>
      </c>
      <c r="M250" s="13" t="s">
        <v>1890</v>
      </c>
      <c r="N250" s="13">
        <v>259.44400000000002</v>
      </c>
      <c r="O250" s="13" t="s">
        <v>1891</v>
      </c>
      <c r="P250" s="13" t="s">
        <v>1892</v>
      </c>
      <c r="Q250" s="13" t="s">
        <v>224</v>
      </c>
      <c r="R250" s="13" t="s">
        <v>1893</v>
      </c>
      <c r="S250" s="13" t="s">
        <v>192</v>
      </c>
      <c r="T250" s="13" t="s">
        <v>146</v>
      </c>
      <c r="U250" s="13" t="s">
        <v>110</v>
      </c>
      <c r="V250" s="47">
        <f>SUMIF(Data!$E:$E,$I250,Data!$AI:$AI)</f>
        <v>0</v>
      </c>
    </row>
    <row r="251" spans="1:22" x14ac:dyDescent="0.25">
      <c r="A251" s="46" t="s">
        <v>1209</v>
      </c>
      <c r="B251" s="46" t="s">
        <v>120</v>
      </c>
      <c r="C251" s="46" t="s">
        <v>1894</v>
      </c>
      <c r="D251" s="46">
        <v>0.49299999999999999</v>
      </c>
      <c r="E251" s="47">
        <f>SUMIF(Data!$E:$E,$C251,Data!$AI:$AI)</f>
        <v>0</v>
      </c>
      <c r="I251" s="13" t="s">
        <v>1895</v>
      </c>
      <c r="J251" s="13" t="s">
        <v>1896</v>
      </c>
      <c r="K251" s="13" t="s">
        <v>137</v>
      </c>
      <c r="L251" s="13" t="s">
        <v>1806</v>
      </c>
      <c r="M251" s="13" t="s">
        <v>1897</v>
      </c>
      <c r="N251" s="13">
        <v>479.63400000000001</v>
      </c>
      <c r="O251" s="13" t="s">
        <v>1898</v>
      </c>
      <c r="P251" s="13" t="s">
        <v>1899</v>
      </c>
      <c r="Q251" s="13" t="s">
        <v>260</v>
      </c>
      <c r="R251" s="13" t="s">
        <v>1900</v>
      </c>
      <c r="S251" s="13" t="s">
        <v>192</v>
      </c>
      <c r="T251" s="13" t="s">
        <v>146</v>
      </c>
      <c r="U251" s="13" t="s">
        <v>110</v>
      </c>
      <c r="V251" s="47">
        <f>SUMIF(Data!$E:$E,$I251,Data!$AI:$AI)</f>
        <v>0</v>
      </c>
    </row>
    <row r="252" spans="1:22" x14ac:dyDescent="0.25">
      <c r="A252" s="46" t="s">
        <v>1209</v>
      </c>
      <c r="B252" s="46" t="s">
        <v>120</v>
      </c>
      <c r="C252" s="46" t="s">
        <v>1901</v>
      </c>
      <c r="D252" s="46">
        <v>0.3362</v>
      </c>
      <c r="E252" s="47">
        <f>SUMIF(Data!$E:$E,$C252,Data!$AI:$AI)</f>
        <v>0</v>
      </c>
      <c r="I252" s="13" t="s">
        <v>1902</v>
      </c>
      <c r="J252" s="13" t="s">
        <v>1903</v>
      </c>
      <c r="K252" s="13" t="s">
        <v>137</v>
      </c>
      <c r="L252" s="13" t="s">
        <v>1806</v>
      </c>
      <c r="M252" s="13" t="s">
        <v>1904</v>
      </c>
      <c r="N252" s="13" t="s">
        <v>1905</v>
      </c>
      <c r="O252" s="13" t="s">
        <v>1906</v>
      </c>
      <c r="P252" s="13" t="s">
        <v>1907</v>
      </c>
      <c r="Q252" s="13" t="s">
        <v>190</v>
      </c>
      <c r="R252" s="13" t="s">
        <v>1908</v>
      </c>
      <c r="S252" s="13" t="s">
        <v>725</v>
      </c>
      <c r="T252" s="13" t="s">
        <v>726</v>
      </c>
      <c r="U252" s="13" t="s">
        <v>727</v>
      </c>
      <c r="V252" s="47">
        <f>SUMIF(Data!$E:$E,$I252,Data!$AI:$AI)</f>
        <v>0</v>
      </c>
    </row>
    <row r="253" spans="1:22" x14ac:dyDescent="0.25">
      <c r="A253" s="46" t="s">
        <v>1209</v>
      </c>
      <c r="B253" s="46" t="s">
        <v>120</v>
      </c>
      <c r="C253" s="46" t="s">
        <v>1909</v>
      </c>
      <c r="D253" s="46">
        <v>0.37069999999999997</v>
      </c>
      <c r="E253" s="47">
        <f>SUMIF(Data!$E:$E,$C253,Data!$AI:$AI)</f>
        <v>0</v>
      </c>
      <c r="I253" s="13" t="s">
        <v>1910</v>
      </c>
      <c r="J253" s="13" t="s">
        <v>1911</v>
      </c>
      <c r="K253" s="13" t="s">
        <v>137</v>
      </c>
      <c r="L253" s="13" t="s">
        <v>1806</v>
      </c>
      <c r="M253" s="13" t="s">
        <v>1912</v>
      </c>
      <c r="N253" s="13" t="s">
        <v>1913</v>
      </c>
      <c r="O253" s="13" t="s">
        <v>1914</v>
      </c>
      <c r="P253" s="13" t="s">
        <v>1915</v>
      </c>
      <c r="Q253" s="13" t="s">
        <v>694</v>
      </c>
      <c r="R253" s="13" t="s">
        <v>1916</v>
      </c>
      <c r="S253" s="13" t="s">
        <v>476</v>
      </c>
      <c r="T253" s="13" t="s">
        <v>477</v>
      </c>
      <c r="U253" s="13" t="s">
        <v>478</v>
      </c>
      <c r="V253" s="47">
        <f>SUMIF(Data!$E:$E,$I253,Data!$AI:$AI)</f>
        <v>0</v>
      </c>
    </row>
    <row r="254" spans="1:22" x14ac:dyDescent="0.25">
      <c r="A254" s="46" t="s">
        <v>1209</v>
      </c>
      <c r="B254" s="46" t="s">
        <v>120</v>
      </c>
      <c r="C254" s="46" t="s">
        <v>1917</v>
      </c>
      <c r="D254" s="46">
        <v>0.37309999999999999</v>
      </c>
      <c r="E254" s="47">
        <f>SUMIF(Data!$E:$E,$C254,Data!$AI:$AI)</f>
        <v>0</v>
      </c>
      <c r="I254" s="13" t="s">
        <v>1918</v>
      </c>
      <c r="J254" s="13" t="s">
        <v>1919</v>
      </c>
      <c r="K254" s="13" t="s">
        <v>137</v>
      </c>
      <c r="L254" s="13" t="s">
        <v>1806</v>
      </c>
      <c r="M254" s="13" t="s">
        <v>1920</v>
      </c>
      <c r="N254" s="13">
        <v>150.46100000000001</v>
      </c>
      <c r="O254" s="13" t="s">
        <v>1921</v>
      </c>
      <c r="P254" s="13" t="s">
        <v>1922</v>
      </c>
      <c r="Q254" s="13" t="s">
        <v>162</v>
      </c>
      <c r="R254" s="13" t="s">
        <v>1923</v>
      </c>
      <c r="S254" s="13" t="s">
        <v>145</v>
      </c>
      <c r="T254" s="13" t="s">
        <v>146</v>
      </c>
      <c r="U254" s="13" t="s">
        <v>110</v>
      </c>
      <c r="V254" s="47">
        <f>SUMIF(Data!$E:$E,$I254,Data!$AI:$AI)</f>
        <v>0</v>
      </c>
    </row>
    <row r="255" spans="1:22" x14ac:dyDescent="0.25">
      <c r="A255" s="46" t="s">
        <v>1209</v>
      </c>
      <c r="B255" s="46" t="s">
        <v>120</v>
      </c>
      <c r="C255" s="46" t="s">
        <v>1924</v>
      </c>
      <c r="D255" s="46">
        <v>0.15409999999999999</v>
      </c>
      <c r="E255" s="47">
        <f>SUMIF(Data!$E:$E,$C255,Data!$AI:$AI)</f>
        <v>0</v>
      </c>
      <c r="I255" s="13" t="s">
        <v>1925</v>
      </c>
      <c r="J255" s="13" t="s">
        <v>1926</v>
      </c>
      <c r="K255" s="13" t="s">
        <v>137</v>
      </c>
      <c r="L255" s="13" t="s">
        <v>1806</v>
      </c>
      <c r="M255" s="13" t="s">
        <v>1927</v>
      </c>
      <c r="N255" s="13">
        <v>362.87400000000002</v>
      </c>
      <c r="O255" s="13" t="s">
        <v>1928</v>
      </c>
      <c r="P255" s="13" t="s">
        <v>1929</v>
      </c>
      <c r="Q255" s="13" t="s">
        <v>260</v>
      </c>
      <c r="R255" s="13" t="s">
        <v>1930</v>
      </c>
      <c r="S255" s="13" t="s">
        <v>192</v>
      </c>
      <c r="T255" s="13" t="s">
        <v>146</v>
      </c>
      <c r="U255" s="13" t="s">
        <v>110</v>
      </c>
      <c r="V255" s="47">
        <f>SUMIF(Data!$E:$E,$I255,Data!$AI:$AI)</f>
        <v>0</v>
      </c>
    </row>
    <row r="256" spans="1:22" x14ac:dyDescent="0.25">
      <c r="A256" s="46" t="s">
        <v>1209</v>
      </c>
      <c r="B256" s="46" t="s">
        <v>120</v>
      </c>
      <c r="C256" s="46" t="s">
        <v>1931</v>
      </c>
      <c r="D256" s="46">
        <v>1.0094000000000001</v>
      </c>
      <c r="E256" s="47">
        <f>SUMIF(Data!$E:$E,$C256,Data!$AI:$AI)</f>
        <v>0</v>
      </c>
      <c r="I256" s="13" t="s">
        <v>1932</v>
      </c>
      <c r="J256" s="13" t="s">
        <v>1933</v>
      </c>
      <c r="K256" s="13" t="s">
        <v>137</v>
      </c>
      <c r="L256" s="13" t="s">
        <v>1806</v>
      </c>
      <c r="M256" s="13" t="s">
        <v>1934</v>
      </c>
      <c r="N256" s="13">
        <v>168.054</v>
      </c>
      <c r="O256" s="13" t="s">
        <v>1935</v>
      </c>
      <c r="P256" s="13" t="s">
        <v>1936</v>
      </c>
      <c r="Q256" s="13" t="s">
        <v>143</v>
      </c>
      <c r="R256" s="13" t="s">
        <v>1937</v>
      </c>
      <c r="S256" s="13" t="s">
        <v>145</v>
      </c>
      <c r="T256" s="13" t="s">
        <v>643</v>
      </c>
      <c r="U256" s="13" t="s">
        <v>110</v>
      </c>
      <c r="V256" s="47">
        <f>SUMIF(Data!$E:$E,$I256,Data!$AI:$AI)</f>
        <v>0</v>
      </c>
    </row>
    <row r="257" spans="1:22" x14ac:dyDescent="0.25">
      <c r="A257" s="46" t="s">
        <v>1209</v>
      </c>
      <c r="B257" s="46" t="s">
        <v>120</v>
      </c>
      <c r="C257" s="46" t="s">
        <v>1938</v>
      </c>
      <c r="D257" s="46">
        <v>0.43380000000000002</v>
      </c>
      <c r="E257" s="47">
        <f>SUMIF(Data!$E:$E,$C257,Data!$AI:$AI)</f>
        <v>0</v>
      </c>
      <c r="I257" s="13" t="s">
        <v>1939</v>
      </c>
      <c r="J257" s="13" t="s">
        <v>1940</v>
      </c>
      <c r="K257" s="13" t="s">
        <v>137</v>
      </c>
      <c r="L257" s="13" t="s">
        <v>1806</v>
      </c>
      <c r="M257" s="13" t="s">
        <v>1941</v>
      </c>
      <c r="N257" s="13">
        <v>278.85700000000003</v>
      </c>
      <c r="O257" s="13" t="s">
        <v>1942</v>
      </c>
      <c r="P257" s="13" t="s">
        <v>1943</v>
      </c>
      <c r="Q257" s="13" t="s">
        <v>162</v>
      </c>
      <c r="R257" s="13" t="s">
        <v>1944</v>
      </c>
      <c r="S257" s="13" t="s">
        <v>226</v>
      </c>
      <c r="T257" s="13" t="s">
        <v>227</v>
      </c>
      <c r="U257" s="13" t="s">
        <v>228</v>
      </c>
      <c r="V257" s="47">
        <f>SUMIF(Data!$E:$E,$I257,Data!$AI:$AI)</f>
        <v>0</v>
      </c>
    </row>
    <row r="258" spans="1:22" x14ac:dyDescent="0.25">
      <c r="A258" s="46" t="s">
        <v>1209</v>
      </c>
      <c r="B258" s="46" t="s">
        <v>120</v>
      </c>
      <c r="C258" s="46" t="s">
        <v>1945</v>
      </c>
      <c r="D258" s="46">
        <v>0.38400000000000001</v>
      </c>
      <c r="E258" s="47">
        <f>SUMIF(Data!$E:$E,$C258,Data!$AI:$AI)</f>
        <v>0</v>
      </c>
      <c r="I258" s="13" t="s">
        <v>1946</v>
      </c>
      <c r="J258" s="13" t="s">
        <v>1947</v>
      </c>
      <c r="K258" s="13" t="s">
        <v>137</v>
      </c>
      <c r="L258" s="13" t="s">
        <v>1806</v>
      </c>
      <c r="M258" s="13" t="s">
        <v>1948</v>
      </c>
      <c r="N258" s="13">
        <v>411.7</v>
      </c>
      <c r="O258" s="13" t="s">
        <v>1949</v>
      </c>
      <c r="P258" s="13" t="s">
        <v>1950</v>
      </c>
      <c r="Q258" s="13" t="s">
        <v>190</v>
      </c>
      <c r="R258" s="13" t="s">
        <v>1951</v>
      </c>
      <c r="S258" s="13" t="s">
        <v>192</v>
      </c>
      <c r="T258" s="13" t="s">
        <v>146</v>
      </c>
      <c r="U258" s="13" t="s">
        <v>110</v>
      </c>
      <c r="V258" s="47">
        <f>SUMIF(Data!$E:$E,$I258,Data!$AI:$AI)</f>
        <v>0</v>
      </c>
    </row>
    <row r="259" spans="1:22" x14ac:dyDescent="0.25">
      <c r="A259" s="46" t="s">
        <v>1209</v>
      </c>
      <c r="B259" s="46" t="s">
        <v>120</v>
      </c>
      <c r="C259" s="46" t="s">
        <v>1952</v>
      </c>
      <c r="D259" s="46">
        <v>0.35970000000000002</v>
      </c>
      <c r="E259" s="47">
        <f>SUMIF(Data!$E:$E,$C259,Data!$AI:$AI)</f>
        <v>0</v>
      </c>
      <c r="I259" s="13">
        <v>4452</v>
      </c>
      <c r="J259" s="13" t="s">
        <v>1953</v>
      </c>
      <c r="K259" s="13" t="s">
        <v>137</v>
      </c>
      <c r="L259" s="13" t="s">
        <v>1806</v>
      </c>
      <c r="M259" s="13" t="s">
        <v>1954</v>
      </c>
      <c r="N259" s="13">
        <v>254.72399999999999</v>
      </c>
      <c r="O259" s="13" t="s">
        <v>1955</v>
      </c>
      <c r="P259" s="13" t="s">
        <v>1956</v>
      </c>
      <c r="Q259" s="13" t="s">
        <v>224</v>
      </c>
      <c r="R259" s="13" t="s">
        <v>1957</v>
      </c>
      <c r="S259" s="13" t="s">
        <v>441</v>
      </c>
      <c r="T259" s="13" t="s">
        <v>442</v>
      </c>
      <c r="U259" s="13" t="s">
        <v>443</v>
      </c>
      <c r="V259" s="47">
        <f>SUMIF(Data!$E:$E,$I259,Data!$AI:$AI)</f>
        <v>0</v>
      </c>
    </row>
    <row r="260" spans="1:22" x14ac:dyDescent="0.25">
      <c r="A260" s="46" t="s">
        <v>1209</v>
      </c>
      <c r="B260" s="46" t="s">
        <v>120</v>
      </c>
      <c r="C260" s="46" t="s">
        <v>1958</v>
      </c>
      <c r="D260" s="46">
        <v>0.59760000000000002</v>
      </c>
      <c r="E260" s="47">
        <f>SUMIF(Data!$E:$E,$C260,Data!$AI:$AI)</f>
        <v>0</v>
      </c>
      <c r="I260" s="13">
        <v>6501</v>
      </c>
      <c r="J260" s="13" t="s">
        <v>1959</v>
      </c>
      <c r="K260" s="13" t="s">
        <v>137</v>
      </c>
      <c r="L260" s="13" t="s">
        <v>1806</v>
      </c>
      <c r="M260" s="13" t="s">
        <v>1960</v>
      </c>
      <c r="N260" s="13">
        <v>511.93599999999998</v>
      </c>
      <c r="O260" s="13" t="s">
        <v>1961</v>
      </c>
      <c r="P260" s="13" t="s">
        <v>1962</v>
      </c>
      <c r="Q260" s="13" t="s">
        <v>143</v>
      </c>
      <c r="R260" s="13" t="s">
        <v>1963</v>
      </c>
      <c r="S260" s="13" t="s">
        <v>441</v>
      </c>
      <c r="T260" s="13" t="s">
        <v>442</v>
      </c>
      <c r="U260" s="13" t="s">
        <v>443</v>
      </c>
      <c r="V260" s="47">
        <f>SUMIF(Data!$E:$E,$I260,Data!$AI:$AI)</f>
        <v>0</v>
      </c>
    </row>
    <row r="261" spans="1:22" x14ac:dyDescent="0.25">
      <c r="A261" s="46" t="s">
        <v>1209</v>
      </c>
      <c r="B261" s="46" t="s">
        <v>120</v>
      </c>
      <c r="C261" s="46" t="s">
        <v>1964</v>
      </c>
      <c r="D261" s="46">
        <v>0.112</v>
      </c>
      <c r="E261" s="47">
        <f>SUMIF(Data!$E:$E,$C261,Data!$AI:$AI)</f>
        <v>0</v>
      </c>
      <c r="I261" s="13" t="s">
        <v>1965</v>
      </c>
      <c r="J261" s="13" t="s">
        <v>1966</v>
      </c>
      <c r="K261" s="13" t="s">
        <v>137</v>
      </c>
      <c r="L261" s="13" t="s">
        <v>1806</v>
      </c>
      <c r="M261" s="13" t="s">
        <v>1967</v>
      </c>
      <c r="N261" s="13">
        <v>852.98299999999995</v>
      </c>
      <c r="O261" s="13" t="s">
        <v>1968</v>
      </c>
      <c r="P261" s="13" t="s">
        <v>1969</v>
      </c>
      <c r="Q261" s="13" t="s">
        <v>162</v>
      </c>
      <c r="R261" s="13" t="s">
        <v>1970</v>
      </c>
      <c r="S261" s="13" t="s">
        <v>476</v>
      </c>
      <c r="T261" s="13" t="s">
        <v>477</v>
      </c>
      <c r="U261" s="13" t="s">
        <v>478</v>
      </c>
      <c r="V261" s="47">
        <f>SUMIF(Data!$E:$E,$I261,Data!$AI:$AI)</f>
        <v>0</v>
      </c>
    </row>
    <row r="262" spans="1:22" x14ac:dyDescent="0.25">
      <c r="A262" s="46" t="s">
        <v>1209</v>
      </c>
      <c r="B262" s="46" t="s">
        <v>120</v>
      </c>
      <c r="C262" s="46" t="s">
        <v>1971</v>
      </c>
      <c r="D262" s="46">
        <v>0.2462</v>
      </c>
      <c r="E262" s="47">
        <f>SUMIF(Data!$E:$E,$C262,Data!$AI:$AI)</f>
        <v>0</v>
      </c>
      <c r="I262" s="13" t="s">
        <v>1972</v>
      </c>
      <c r="J262" s="13" t="s">
        <v>1973</v>
      </c>
      <c r="K262" s="13" t="s">
        <v>137</v>
      </c>
      <c r="L262" s="13" t="s">
        <v>1806</v>
      </c>
      <c r="M262" s="13" t="s">
        <v>1974</v>
      </c>
      <c r="N262" s="13">
        <v>186.76599999999999</v>
      </c>
      <c r="O262" s="13" t="s">
        <v>1975</v>
      </c>
      <c r="P262" s="13" t="s">
        <v>1976</v>
      </c>
      <c r="Q262" s="13" t="s">
        <v>190</v>
      </c>
      <c r="R262" s="13" t="s">
        <v>1977</v>
      </c>
      <c r="S262" s="13" t="s">
        <v>192</v>
      </c>
      <c r="T262" s="13" t="s">
        <v>146</v>
      </c>
      <c r="U262" s="13" t="s">
        <v>110</v>
      </c>
      <c r="V262" s="47">
        <f>SUMIF(Data!$E:$E,$I262,Data!$AI:$AI)</f>
        <v>0</v>
      </c>
    </row>
    <row r="263" spans="1:22" x14ac:dyDescent="0.25">
      <c r="A263" s="46" t="s">
        <v>1209</v>
      </c>
      <c r="B263" s="46" t="s">
        <v>120</v>
      </c>
      <c r="C263" s="46" t="s">
        <v>1978</v>
      </c>
      <c r="D263" s="46">
        <v>1.0759000000000001</v>
      </c>
      <c r="E263" s="47">
        <f>SUMIF(Data!$E:$E,$C263,Data!$AI:$AI)</f>
        <v>0</v>
      </c>
      <c r="I263" s="13" t="s">
        <v>1381</v>
      </c>
      <c r="J263" s="13" t="s">
        <v>1979</v>
      </c>
      <c r="K263" s="13" t="s">
        <v>137</v>
      </c>
      <c r="L263" s="13" t="s">
        <v>1806</v>
      </c>
      <c r="M263" s="13" t="s">
        <v>1980</v>
      </c>
      <c r="N263" s="13">
        <v>136.21700000000001</v>
      </c>
      <c r="O263" s="13" t="s">
        <v>1981</v>
      </c>
      <c r="P263" s="13" t="s">
        <v>1982</v>
      </c>
      <c r="Q263" s="13" t="s">
        <v>162</v>
      </c>
      <c r="R263" s="13" t="s">
        <v>1983</v>
      </c>
      <c r="S263" s="13" t="s">
        <v>192</v>
      </c>
      <c r="T263" s="13" t="s">
        <v>146</v>
      </c>
      <c r="U263" s="13" t="s">
        <v>110</v>
      </c>
      <c r="V263" s="47">
        <f>SUMIF(Data!$E:$E,$I263,Data!$AI:$AI)</f>
        <v>0</v>
      </c>
    </row>
    <row r="264" spans="1:22" x14ac:dyDescent="0.25">
      <c r="A264" s="46" t="s">
        <v>1209</v>
      </c>
      <c r="B264" s="46" t="s">
        <v>120</v>
      </c>
      <c r="C264" s="46" t="s">
        <v>1984</v>
      </c>
      <c r="D264" s="46">
        <v>0.26340000000000002</v>
      </c>
      <c r="E264" s="47">
        <f>SUMIF(Data!$E:$E,$C264,Data!$AI:$AI)</f>
        <v>0</v>
      </c>
      <c r="I264" s="13" t="s">
        <v>1985</v>
      </c>
      <c r="J264" s="13" t="s">
        <v>1986</v>
      </c>
      <c r="K264" s="13" t="s">
        <v>137</v>
      </c>
      <c r="L264" s="13" t="s">
        <v>1806</v>
      </c>
      <c r="M264" s="13" t="s">
        <v>1987</v>
      </c>
      <c r="N264" s="13" t="s">
        <v>1988</v>
      </c>
      <c r="O264" s="13" t="s">
        <v>1989</v>
      </c>
      <c r="P264" s="13" t="s">
        <v>1990</v>
      </c>
      <c r="Q264" s="13" t="s">
        <v>190</v>
      </c>
      <c r="R264" s="13" t="s">
        <v>1991</v>
      </c>
      <c r="S264" s="13" t="s">
        <v>1127</v>
      </c>
      <c r="T264" s="13" t="s">
        <v>1128</v>
      </c>
      <c r="U264" s="13" t="s">
        <v>525</v>
      </c>
      <c r="V264" s="47">
        <f>SUMIF(Data!$E:$E,$I264,Data!$AI:$AI)</f>
        <v>0</v>
      </c>
    </row>
    <row r="265" spans="1:22" x14ac:dyDescent="0.25">
      <c r="A265" s="46" t="s">
        <v>1209</v>
      </c>
      <c r="B265" s="46" t="s">
        <v>120</v>
      </c>
      <c r="C265" s="46" t="s">
        <v>1992</v>
      </c>
      <c r="D265" s="46">
        <v>0.50580000000000003</v>
      </c>
      <c r="E265" s="47">
        <f>SUMIF(Data!$E:$E,$C265,Data!$AI:$AI)</f>
        <v>0</v>
      </c>
      <c r="I265" s="13" t="s">
        <v>1993</v>
      </c>
      <c r="J265" s="13" t="s">
        <v>1994</v>
      </c>
      <c r="K265" s="13" t="s">
        <v>137</v>
      </c>
      <c r="L265" s="13" t="s">
        <v>1806</v>
      </c>
      <c r="M265" s="13" t="s">
        <v>1995</v>
      </c>
      <c r="N265" s="13">
        <v>403.46800000000002</v>
      </c>
      <c r="O265" s="13" t="s">
        <v>1996</v>
      </c>
      <c r="P265" s="13" t="s">
        <v>1997</v>
      </c>
      <c r="Q265" s="13" t="s">
        <v>734</v>
      </c>
      <c r="R265" s="13" t="s">
        <v>1998</v>
      </c>
      <c r="S265" s="13" t="s">
        <v>192</v>
      </c>
      <c r="T265" s="13" t="s">
        <v>146</v>
      </c>
      <c r="U265" s="13" t="s">
        <v>110</v>
      </c>
      <c r="V265" s="47">
        <f>SUMIF(Data!$E:$E,$I265,Data!$AI:$AI)</f>
        <v>0</v>
      </c>
    </row>
    <row r="266" spans="1:22" x14ac:dyDescent="0.25">
      <c r="A266" s="46" t="s">
        <v>1209</v>
      </c>
      <c r="B266" s="46" t="s">
        <v>120</v>
      </c>
      <c r="C266" s="46" t="s">
        <v>1999</v>
      </c>
      <c r="D266" s="46">
        <v>0.37219999999999998</v>
      </c>
      <c r="E266" s="47">
        <f>SUMIF(Data!$E:$E,$C266,Data!$AI:$AI)</f>
        <v>0</v>
      </c>
      <c r="I266" s="13" t="s">
        <v>2000</v>
      </c>
      <c r="J266" s="13" t="s">
        <v>2001</v>
      </c>
      <c r="K266" s="13" t="s">
        <v>137</v>
      </c>
      <c r="L266" s="13" t="s">
        <v>2002</v>
      </c>
      <c r="M266" s="13" t="s">
        <v>2003</v>
      </c>
      <c r="N266" s="13">
        <v>116.75</v>
      </c>
      <c r="O266" s="13" t="s">
        <v>2004</v>
      </c>
      <c r="P266" s="13" t="s">
        <v>2005</v>
      </c>
      <c r="Q266" s="13" t="s">
        <v>224</v>
      </c>
      <c r="R266" s="13" t="s">
        <v>2006</v>
      </c>
      <c r="S266" s="13" t="s">
        <v>560</v>
      </c>
      <c r="T266" s="13" t="s">
        <v>561</v>
      </c>
      <c r="U266" s="13" t="s">
        <v>525</v>
      </c>
      <c r="V266" s="47">
        <f>SUMIF(Data!$E:$E,$I266,Data!$AI:$AI)</f>
        <v>0</v>
      </c>
    </row>
    <row r="267" spans="1:22" x14ac:dyDescent="0.25">
      <c r="A267" s="46" t="s">
        <v>1209</v>
      </c>
      <c r="B267" s="46" t="s">
        <v>120</v>
      </c>
      <c r="C267" s="46" t="s">
        <v>2007</v>
      </c>
      <c r="D267" s="46">
        <v>0.32340000000000002</v>
      </c>
      <c r="E267" s="47">
        <f>SUMIF(Data!$E:$E,$C267,Data!$AI:$AI)</f>
        <v>0</v>
      </c>
      <c r="I267" s="13" t="s">
        <v>1535</v>
      </c>
      <c r="J267" s="13" t="s">
        <v>2008</v>
      </c>
      <c r="K267" s="13" t="s">
        <v>137</v>
      </c>
      <c r="L267" s="13" t="s">
        <v>2002</v>
      </c>
      <c r="M267" s="13" t="s">
        <v>2009</v>
      </c>
      <c r="N267" s="13">
        <v>218.29499999999999</v>
      </c>
      <c r="O267" s="13" t="s">
        <v>2010</v>
      </c>
      <c r="P267" s="13" t="s">
        <v>2011</v>
      </c>
      <c r="Q267" s="13" t="s">
        <v>190</v>
      </c>
      <c r="R267" s="13" t="s">
        <v>2012</v>
      </c>
      <c r="S267" s="13" t="s">
        <v>192</v>
      </c>
      <c r="T267" s="13" t="s">
        <v>146</v>
      </c>
      <c r="U267" s="13" t="s">
        <v>110</v>
      </c>
      <c r="V267" s="47">
        <f>SUMIF(Data!$E:$E,$I267,Data!$AI:$AI)</f>
        <v>0</v>
      </c>
    </row>
    <row r="268" spans="1:22" x14ac:dyDescent="0.25">
      <c r="A268" s="46" t="s">
        <v>1209</v>
      </c>
      <c r="B268" s="46" t="s">
        <v>120</v>
      </c>
      <c r="C268" s="46" t="s">
        <v>2013</v>
      </c>
      <c r="D268" s="46">
        <v>0.87760000000000005</v>
      </c>
      <c r="E268" s="47">
        <f>SUMIF(Data!$E:$E,$C268,Data!$AI:$AI)</f>
        <v>0</v>
      </c>
      <c r="I268" s="13" t="s">
        <v>2014</v>
      </c>
      <c r="J268" s="13" t="s">
        <v>2015</v>
      </c>
      <c r="K268" s="13" t="s">
        <v>137</v>
      </c>
      <c r="L268" s="13" t="s">
        <v>2002</v>
      </c>
      <c r="M268" s="13" t="s">
        <v>2016</v>
      </c>
      <c r="N268" s="13">
        <v>249.595</v>
      </c>
      <c r="O268" s="13" t="s">
        <v>2017</v>
      </c>
      <c r="P268" s="13" t="s">
        <v>2018</v>
      </c>
      <c r="Q268" s="13" t="s">
        <v>143</v>
      </c>
      <c r="R268" s="13" t="s">
        <v>2019</v>
      </c>
      <c r="S268" s="13" t="s">
        <v>1164</v>
      </c>
      <c r="T268" s="13" t="s">
        <v>1165</v>
      </c>
      <c r="U268" s="13" t="s">
        <v>525</v>
      </c>
      <c r="V268" s="47">
        <f>SUMIF(Data!$E:$E,$I268,Data!$AI:$AI)</f>
        <v>0</v>
      </c>
    </row>
    <row r="269" spans="1:22" x14ac:dyDescent="0.25">
      <c r="A269" s="46" t="s">
        <v>1209</v>
      </c>
      <c r="B269" s="46" t="s">
        <v>120</v>
      </c>
      <c r="C269" s="46" t="s">
        <v>2020</v>
      </c>
      <c r="D269" s="46">
        <v>0.1963</v>
      </c>
      <c r="E269" s="47">
        <f>SUMIF(Data!$E:$E,$C269,Data!$AI:$AI)</f>
        <v>0</v>
      </c>
      <c r="I269" s="13" t="s">
        <v>2021</v>
      </c>
      <c r="J269" s="13" t="s">
        <v>2022</v>
      </c>
      <c r="K269" s="13" t="s">
        <v>137</v>
      </c>
      <c r="L269" s="13" t="s">
        <v>2002</v>
      </c>
      <c r="M269" s="13" t="s">
        <v>2023</v>
      </c>
      <c r="N269" s="13">
        <v>99.566000000000003</v>
      </c>
      <c r="O269" s="13" t="s">
        <v>2024</v>
      </c>
      <c r="P269" s="13" t="s">
        <v>2025</v>
      </c>
      <c r="Q269" s="13" t="s">
        <v>162</v>
      </c>
      <c r="R269" s="13" t="s">
        <v>2026</v>
      </c>
      <c r="S269" s="13" t="s">
        <v>523</v>
      </c>
      <c r="T269" s="13" t="s">
        <v>524</v>
      </c>
      <c r="U269" s="13" t="s">
        <v>525</v>
      </c>
      <c r="V269" s="47">
        <f>SUMIF(Data!$E:$E,$I269,Data!$AI:$AI)</f>
        <v>0</v>
      </c>
    </row>
    <row r="270" spans="1:22" x14ac:dyDescent="0.25">
      <c r="A270" s="46" t="s">
        <v>1209</v>
      </c>
      <c r="B270" s="46" t="s">
        <v>120</v>
      </c>
      <c r="C270" s="46" t="s">
        <v>2027</v>
      </c>
      <c r="D270" s="46">
        <v>0.215</v>
      </c>
      <c r="E270" s="47">
        <f>SUMIF(Data!$E:$E,$C270,Data!$AI:$AI)</f>
        <v>0</v>
      </c>
      <c r="I270" s="13" t="s">
        <v>2028</v>
      </c>
      <c r="J270" s="13" t="s">
        <v>2029</v>
      </c>
      <c r="K270" s="13" t="s">
        <v>137</v>
      </c>
      <c r="L270" s="13" t="s">
        <v>2002</v>
      </c>
      <c r="M270" s="13" t="s">
        <v>2030</v>
      </c>
      <c r="N270" s="13">
        <v>215.95599999999999</v>
      </c>
      <c r="O270" s="13" t="s">
        <v>2031</v>
      </c>
      <c r="P270" s="13" t="s">
        <v>2032</v>
      </c>
      <c r="Q270" s="13" t="s">
        <v>416</v>
      </c>
      <c r="R270" s="13" t="s">
        <v>2033</v>
      </c>
      <c r="S270" s="13" t="s">
        <v>192</v>
      </c>
      <c r="T270" s="13" t="s">
        <v>146</v>
      </c>
      <c r="U270" s="13" t="s">
        <v>110</v>
      </c>
      <c r="V270" s="47">
        <f>SUMIF(Data!$E:$E,$I270,Data!$AI:$AI)</f>
        <v>0</v>
      </c>
    </row>
    <row r="271" spans="1:22" x14ac:dyDescent="0.25">
      <c r="A271" s="46" t="s">
        <v>1209</v>
      </c>
      <c r="B271" s="46" t="s">
        <v>120</v>
      </c>
      <c r="C271" s="46" t="s">
        <v>2034</v>
      </c>
      <c r="D271" s="46">
        <v>0.28349999999999997</v>
      </c>
      <c r="E271" s="47">
        <f>SUMIF(Data!$E:$E,$C271,Data!$AI:$AI)</f>
        <v>0</v>
      </c>
      <c r="I271" s="13" t="s">
        <v>2035</v>
      </c>
      <c r="J271" s="13" t="s">
        <v>2036</v>
      </c>
      <c r="K271" s="13" t="s">
        <v>137</v>
      </c>
      <c r="L271" s="13" t="s">
        <v>2002</v>
      </c>
      <c r="M271" s="13" t="s">
        <v>2037</v>
      </c>
      <c r="N271" s="13">
        <v>355.09399999999999</v>
      </c>
      <c r="O271" s="13" t="s">
        <v>2038</v>
      </c>
      <c r="P271" s="13" t="s">
        <v>2039</v>
      </c>
      <c r="Q271" s="13" t="s">
        <v>190</v>
      </c>
      <c r="R271" s="13" t="s">
        <v>2040</v>
      </c>
      <c r="S271" s="13" t="s">
        <v>192</v>
      </c>
      <c r="T271" s="13" t="s">
        <v>146</v>
      </c>
      <c r="U271" s="13" t="s">
        <v>110</v>
      </c>
      <c r="V271" s="47">
        <f>SUMIF(Data!$E:$E,$I271,Data!$AI:$AI)</f>
        <v>0</v>
      </c>
    </row>
    <row r="272" spans="1:22" x14ac:dyDescent="0.25">
      <c r="A272" s="46" t="s">
        <v>1209</v>
      </c>
      <c r="B272" s="46" t="s">
        <v>120</v>
      </c>
      <c r="C272" s="46" t="s">
        <v>2041</v>
      </c>
      <c r="D272" s="46">
        <v>0.28110000000000002</v>
      </c>
      <c r="E272" s="47">
        <f>SUMIF(Data!$E:$E,$C272,Data!$AI:$AI)</f>
        <v>0</v>
      </c>
      <c r="I272" s="13" t="s">
        <v>2042</v>
      </c>
      <c r="J272" s="13" t="s">
        <v>2043</v>
      </c>
      <c r="K272" s="13" t="s">
        <v>137</v>
      </c>
      <c r="L272" s="13" t="s">
        <v>2002</v>
      </c>
      <c r="M272" s="13" t="s">
        <v>2044</v>
      </c>
      <c r="N272" s="13" t="s">
        <v>2045</v>
      </c>
      <c r="O272" s="13" t="s">
        <v>2046</v>
      </c>
      <c r="P272" s="13" t="s">
        <v>2047</v>
      </c>
      <c r="Q272" s="13" t="s">
        <v>190</v>
      </c>
      <c r="R272" s="13" t="s">
        <v>2048</v>
      </c>
      <c r="S272" s="13" t="s">
        <v>1164</v>
      </c>
      <c r="T272" s="13" t="s">
        <v>1165</v>
      </c>
      <c r="U272" s="13" t="s">
        <v>525</v>
      </c>
      <c r="V272" s="47">
        <f>SUMIF(Data!$E:$E,$I272,Data!$AI:$AI)</f>
        <v>0</v>
      </c>
    </row>
    <row r="273" spans="1:22" x14ac:dyDescent="0.25">
      <c r="A273" s="46" t="s">
        <v>1209</v>
      </c>
      <c r="B273" s="46" t="s">
        <v>120</v>
      </c>
      <c r="C273" s="46" t="s">
        <v>2049</v>
      </c>
      <c r="D273" s="46">
        <v>0.13689999999999999</v>
      </c>
      <c r="E273" s="47">
        <f>SUMIF(Data!$E:$E,$C273,Data!$AI:$AI)</f>
        <v>0</v>
      </c>
      <c r="I273" s="13" t="s">
        <v>2050</v>
      </c>
      <c r="J273" s="13" t="s">
        <v>2050</v>
      </c>
      <c r="K273" s="13" t="s">
        <v>137</v>
      </c>
      <c r="L273" s="13" t="s">
        <v>2002</v>
      </c>
      <c r="M273" s="13" t="s">
        <v>2051</v>
      </c>
      <c r="N273" s="13" t="s">
        <v>2052</v>
      </c>
      <c r="O273" s="13" t="s">
        <v>2053</v>
      </c>
      <c r="P273" s="13" t="s">
        <v>2054</v>
      </c>
      <c r="Q273" s="13" t="s">
        <v>260</v>
      </c>
      <c r="R273" s="13" t="s">
        <v>2055</v>
      </c>
      <c r="S273" s="13" t="s">
        <v>1127</v>
      </c>
      <c r="T273" s="13" t="s">
        <v>1128</v>
      </c>
      <c r="U273" s="13" t="s">
        <v>525</v>
      </c>
      <c r="V273" s="47">
        <f>SUMIF(Data!$E:$E,$I273,Data!$AI:$AI)</f>
        <v>0</v>
      </c>
    </row>
    <row r="274" spans="1:22" x14ac:dyDescent="0.25">
      <c r="A274" s="46" t="s">
        <v>1209</v>
      </c>
      <c r="B274" s="46" t="s">
        <v>120</v>
      </c>
      <c r="C274" s="46" t="s">
        <v>2056</v>
      </c>
      <c r="D274" s="46">
        <v>0.32800000000000001</v>
      </c>
      <c r="E274" s="47">
        <f>SUMIF(Data!$E:$E,$C274,Data!$AI:$AI)</f>
        <v>0</v>
      </c>
      <c r="I274" s="13" t="s">
        <v>2057</v>
      </c>
      <c r="J274" s="13" t="s">
        <v>2058</v>
      </c>
      <c r="K274" s="13" t="s">
        <v>137</v>
      </c>
      <c r="L274" s="13" t="s">
        <v>2002</v>
      </c>
      <c r="M274" s="13" t="s">
        <v>2059</v>
      </c>
      <c r="N274" s="13" t="s">
        <v>2060</v>
      </c>
      <c r="O274" s="13" t="s">
        <v>2061</v>
      </c>
      <c r="P274" s="13" t="s">
        <v>2062</v>
      </c>
      <c r="Q274" s="13" t="s">
        <v>190</v>
      </c>
      <c r="R274" s="13" t="s">
        <v>2063</v>
      </c>
      <c r="S274" s="13" t="s">
        <v>476</v>
      </c>
      <c r="T274" s="13" t="s">
        <v>477</v>
      </c>
      <c r="U274" s="13" t="s">
        <v>478</v>
      </c>
      <c r="V274" s="47">
        <f>SUMIF(Data!$E:$E,$I274,Data!$AI:$AI)</f>
        <v>0</v>
      </c>
    </row>
    <row r="275" spans="1:22" x14ac:dyDescent="0.25">
      <c r="A275" s="46" t="s">
        <v>1209</v>
      </c>
      <c r="B275" s="46" t="s">
        <v>120</v>
      </c>
      <c r="C275" s="46" t="s">
        <v>2064</v>
      </c>
      <c r="D275" s="46">
        <v>1.29</v>
      </c>
      <c r="E275" s="47">
        <f>SUMIF(Data!$E:$E,$C275,Data!$AI:$AI)</f>
        <v>0</v>
      </c>
      <c r="I275" s="13" t="s">
        <v>2065</v>
      </c>
      <c r="J275" s="13" t="s">
        <v>2066</v>
      </c>
      <c r="K275" s="13" t="s">
        <v>137</v>
      </c>
      <c r="L275" s="13" t="s">
        <v>2002</v>
      </c>
      <c r="M275" s="13" t="s">
        <v>2067</v>
      </c>
      <c r="N275" s="13">
        <v>254.149</v>
      </c>
      <c r="O275" s="13" t="s">
        <v>2068</v>
      </c>
      <c r="P275" s="13" t="s">
        <v>2069</v>
      </c>
      <c r="Q275" s="13" t="s">
        <v>162</v>
      </c>
      <c r="R275" s="13" t="s">
        <v>2070</v>
      </c>
      <c r="S275" s="13" t="s">
        <v>642</v>
      </c>
      <c r="T275" s="13" t="s">
        <v>643</v>
      </c>
      <c r="U275" s="13" t="s">
        <v>525</v>
      </c>
      <c r="V275" s="47">
        <f>SUMIF(Data!$E:$E,$I275,Data!$AI:$AI)</f>
        <v>0</v>
      </c>
    </row>
    <row r="276" spans="1:22" x14ac:dyDescent="0.25">
      <c r="A276" s="46" t="s">
        <v>1209</v>
      </c>
      <c r="B276" s="46" t="s">
        <v>120</v>
      </c>
      <c r="C276" s="46" t="s">
        <v>2071</v>
      </c>
      <c r="D276" s="46">
        <v>0.312</v>
      </c>
      <c r="E276" s="47">
        <f>SUMIF(Data!$E:$E,$C276,Data!$AI:$AI)</f>
        <v>0</v>
      </c>
      <c r="I276" s="13" t="s">
        <v>2072</v>
      </c>
      <c r="J276" s="13" t="s">
        <v>2073</v>
      </c>
      <c r="K276" s="13" t="s">
        <v>137</v>
      </c>
      <c r="L276" s="13" t="s">
        <v>2002</v>
      </c>
      <c r="M276" s="13" t="s">
        <v>2074</v>
      </c>
      <c r="N276" s="13">
        <v>640.40099999999995</v>
      </c>
      <c r="O276" s="13" t="s">
        <v>2075</v>
      </c>
      <c r="P276" s="13" t="s">
        <v>2076</v>
      </c>
      <c r="Q276" s="13" t="s">
        <v>260</v>
      </c>
      <c r="R276" s="13" t="s">
        <v>2077</v>
      </c>
      <c r="S276" s="13" t="s">
        <v>725</v>
      </c>
      <c r="T276" s="13" t="s">
        <v>726</v>
      </c>
      <c r="U276" s="13" t="s">
        <v>727</v>
      </c>
      <c r="V276" s="47">
        <f>SUMIF(Data!$E:$E,$I276,Data!$AI:$AI)</f>
        <v>0</v>
      </c>
    </row>
    <row r="277" spans="1:22" x14ac:dyDescent="0.25">
      <c r="A277" s="46" t="s">
        <v>1209</v>
      </c>
      <c r="B277" s="46" t="s">
        <v>120</v>
      </c>
      <c r="C277" s="46" t="s">
        <v>2078</v>
      </c>
      <c r="D277" s="46">
        <v>1.0949</v>
      </c>
      <c r="E277" s="47">
        <f>SUMIF(Data!$E:$E,$C277,Data!$AI:$AI)</f>
        <v>0</v>
      </c>
      <c r="I277" s="13">
        <v>8411</v>
      </c>
      <c r="J277" s="13" t="s">
        <v>2079</v>
      </c>
      <c r="K277" s="13" t="s">
        <v>137</v>
      </c>
      <c r="L277" s="13" t="s">
        <v>2002</v>
      </c>
      <c r="M277" s="13" t="s">
        <v>2080</v>
      </c>
      <c r="N277" s="13" t="s">
        <v>2081</v>
      </c>
      <c r="O277" s="13" t="s">
        <v>2082</v>
      </c>
      <c r="P277" s="13" t="s">
        <v>2083</v>
      </c>
      <c r="Q277" s="13" t="s">
        <v>190</v>
      </c>
      <c r="R277" s="13" t="s">
        <v>2084</v>
      </c>
      <c r="S277" s="13" t="s">
        <v>441</v>
      </c>
      <c r="T277" s="13" t="s">
        <v>442</v>
      </c>
      <c r="U277" s="13" t="s">
        <v>443</v>
      </c>
      <c r="V277" s="47">
        <f>SUMIF(Data!$E:$E,$I277,Data!$AI:$AI)</f>
        <v>0</v>
      </c>
    </row>
    <row r="278" spans="1:22" x14ac:dyDescent="0.25">
      <c r="A278" s="46" t="s">
        <v>1209</v>
      </c>
      <c r="B278" s="46" t="s">
        <v>120</v>
      </c>
      <c r="C278" s="46" t="s">
        <v>2085</v>
      </c>
      <c r="D278" s="46">
        <v>0.34429999999999999</v>
      </c>
      <c r="E278" s="47">
        <f>SUMIF(Data!$E:$E,$C278,Data!$AI:$AI)</f>
        <v>0</v>
      </c>
      <c r="I278" s="13" t="s">
        <v>2086</v>
      </c>
      <c r="J278" s="13" t="s">
        <v>2087</v>
      </c>
      <c r="K278" s="13" t="s">
        <v>137</v>
      </c>
      <c r="L278" s="13" t="s">
        <v>2002</v>
      </c>
      <c r="M278" s="13" t="s">
        <v>2088</v>
      </c>
      <c r="N278" s="13" t="s">
        <v>2089</v>
      </c>
      <c r="O278" s="13" t="s">
        <v>2090</v>
      </c>
      <c r="P278" s="13" t="s">
        <v>2091</v>
      </c>
      <c r="Q278" s="13" t="s">
        <v>734</v>
      </c>
      <c r="R278" s="13" t="s">
        <v>2092</v>
      </c>
      <c r="S278" s="13" t="s">
        <v>476</v>
      </c>
      <c r="T278" s="13" t="s">
        <v>477</v>
      </c>
      <c r="U278" s="13" t="s">
        <v>478</v>
      </c>
      <c r="V278" s="47">
        <f>SUMIF(Data!$E:$E,$I278,Data!$AI:$AI)</f>
        <v>0</v>
      </c>
    </row>
    <row r="279" spans="1:22" x14ac:dyDescent="0.25">
      <c r="A279" s="46" t="s">
        <v>1209</v>
      </c>
      <c r="B279" s="46" t="s">
        <v>120</v>
      </c>
      <c r="C279" s="46" t="s">
        <v>2093</v>
      </c>
      <c r="D279" s="46">
        <v>0.25409999999999999</v>
      </c>
      <c r="E279" s="47">
        <f>SUMIF(Data!$E:$E,$C279,Data!$AI:$AI)</f>
        <v>0</v>
      </c>
      <c r="I279" s="13">
        <v>8058</v>
      </c>
      <c r="J279" s="13" t="s">
        <v>2094</v>
      </c>
      <c r="K279" s="13" t="s">
        <v>137</v>
      </c>
      <c r="L279" s="13" t="s">
        <v>2002</v>
      </c>
      <c r="M279" s="13" t="s">
        <v>2095</v>
      </c>
      <c r="N279" s="13">
        <v>766.26800000000003</v>
      </c>
      <c r="O279" s="13" t="s">
        <v>2096</v>
      </c>
      <c r="P279" s="13" t="s">
        <v>2097</v>
      </c>
      <c r="Q279" s="13" t="s">
        <v>416</v>
      </c>
      <c r="R279" s="13" t="s">
        <v>2098</v>
      </c>
      <c r="S279" s="13" t="s">
        <v>441</v>
      </c>
      <c r="T279" s="13" t="s">
        <v>442</v>
      </c>
      <c r="U279" s="13" t="s">
        <v>443</v>
      </c>
      <c r="V279" s="47">
        <f>SUMIF(Data!$E:$E,$I279,Data!$AI:$AI)</f>
        <v>0</v>
      </c>
    </row>
    <row r="280" spans="1:22" x14ac:dyDescent="0.25">
      <c r="A280" s="46" t="s">
        <v>1209</v>
      </c>
      <c r="B280" s="46" t="s">
        <v>120</v>
      </c>
      <c r="C280" s="46" t="s">
        <v>2099</v>
      </c>
      <c r="D280" s="46">
        <v>6.3E-2</v>
      </c>
      <c r="E280" s="47">
        <f>SUMIF(Data!$E:$E,$C280,Data!$AI:$AI)</f>
        <v>0</v>
      </c>
      <c r="I280" s="13">
        <v>7741</v>
      </c>
      <c r="J280" s="13" t="s">
        <v>2100</v>
      </c>
      <c r="K280" s="13" t="s">
        <v>137</v>
      </c>
      <c r="L280" s="13" t="s">
        <v>2002</v>
      </c>
      <c r="M280" s="13" t="s">
        <v>2101</v>
      </c>
      <c r="N280" s="13">
        <v>207.423</v>
      </c>
      <c r="O280" s="13" t="s">
        <v>2102</v>
      </c>
      <c r="P280" s="13" t="s">
        <v>2103</v>
      </c>
      <c r="Q280" s="13" t="s">
        <v>208</v>
      </c>
      <c r="R280" s="13" t="s">
        <v>2104</v>
      </c>
      <c r="S280" s="13" t="s">
        <v>441</v>
      </c>
      <c r="T280" s="13" t="s">
        <v>442</v>
      </c>
      <c r="U280" s="13" t="s">
        <v>443</v>
      </c>
      <c r="V280" s="47">
        <f>SUMIF(Data!$E:$E,$I280,Data!$AI:$AI)</f>
        <v>0</v>
      </c>
    </row>
    <row r="281" spans="1:22" x14ac:dyDescent="0.25">
      <c r="A281" s="46" t="s">
        <v>1209</v>
      </c>
      <c r="B281" s="46" t="s">
        <v>120</v>
      </c>
      <c r="C281" s="46" t="s">
        <v>2105</v>
      </c>
      <c r="D281" s="46">
        <v>0.34160000000000001</v>
      </c>
      <c r="E281" s="47">
        <f>SUMIF(Data!$E:$E,$C281,Data!$AI:$AI)</f>
        <v>0</v>
      </c>
      <c r="I281" s="13" t="s">
        <v>2106</v>
      </c>
      <c r="J281" s="13" t="s">
        <v>2107</v>
      </c>
      <c r="K281" s="13" t="s">
        <v>137</v>
      </c>
      <c r="L281" s="13" t="s">
        <v>2002</v>
      </c>
      <c r="M281" s="13" t="s">
        <v>2108</v>
      </c>
      <c r="N281" s="13">
        <v>128.60300000000001</v>
      </c>
      <c r="O281" s="13" t="s">
        <v>2109</v>
      </c>
      <c r="P281" s="13" t="s">
        <v>2110</v>
      </c>
      <c r="Q281" s="13" t="s">
        <v>416</v>
      </c>
      <c r="R281" s="13" t="s">
        <v>2111</v>
      </c>
      <c r="S281" s="13" t="s">
        <v>192</v>
      </c>
      <c r="T281" s="13" t="s">
        <v>146</v>
      </c>
      <c r="U281" s="13" t="s">
        <v>110</v>
      </c>
      <c r="V281" s="47">
        <f>SUMIF(Data!$E:$E,$I281,Data!$AI:$AI)</f>
        <v>0</v>
      </c>
    </row>
    <row r="282" spans="1:22" x14ac:dyDescent="0.25">
      <c r="A282" s="46" t="s">
        <v>1209</v>
      </c>
      <c r="B282" s="46" t="s">
        <v>120</v>
      </c>
      <c r="C282" s="46" t="s">
        <v>2112</v>
      </c>
      <c r="D282" s="46">
        <v>0.15790000000000001</v>
      </c>
      <c r="E282" s="47">
        <f>SUMIF(Data!$E:$E,$C282,Data!$AI:$AI)</f>
        <v>0</v>
      </c>
      <c r="I282" s="13">
        <v>9437</v>
      </c>
      <c r="J282" s="13" t="s">
        <v>2113</v>
      </c>
      <c r="K282" s="13" t="s">
        <v>137</v>
      </c>
      <c r="L282" s="13" t="s">
        <v>2002</v>
      </c>
      <c r="M282" s="13" t="s">
        <v>2114</v>
      </c>
      <c r="N282" s="13">
        <v>716.7</v>
      </c>
      <c r="O282" s="13" t="s">
        <v>2115</v>
      </c>
      <c r="P282" s="13" t="s">
        <v>2116</v>
      </c>
      <c r="Q282" s="13" t="s">
        <v>172</v>
      </c>
      <c r="R282" s="13" t="s">
        <v>2117</v>
      </c>
      <c r="S282" s="13" t="s">
        <v>441</v>
      </c>
      <c r="T282" s="13" t="s">
        <v>442</v>
      </c>
      <c r="U282" s="13" t="s">
        <v>443</v>
      </c>
      <c r="V282" s="47">
        <f>SUMIF(Data!$E:$E,$I282,Data!$AI:$AI)</f>
        <v>0</v>
      </c>
    </row>
    <row r="283" spans="1:22" x14ac:dyDescent="0.25">
      <c r="A283" s="46" t="s">
        <v>1209</v>
      </c>
      <c r="B283" s="46" t="s">
        <v>120</v>
      </c>
      <c r="C283" s="46" t="s">
        <v>2118</v>
      </c>
      <c r="D283" s="46">
        <v>0.11700000000000001</v>
      </c>
      <c r="E283" s="47">
        <f>SUMIF(Data!$E:$E,$C283,Data!$AI:$AI)</f>
        <v>0</v>
      </c>
      <c r="I283" s="13" t="s">
        <v>2119</v>
      </c>
      <c r="J283" s="13" t="s">
        <v>2120</v>
      </c>
      <c r="K283" s="13" t="s">
        <v>137</v>
      </c>
      <c r="L283" s="13" t="s">
        <v>2002</v>
      </c>
      <c r="M283" s="13" t="s">
        <v>2121</v>
      </c>
      <c r="N283" s="13">
        <v>762.89499999999998</v>
      </c>
      <c r="O283" s="13" t="s">
        <v>2122</v>
      </c>
      <c r="P283" s="13" t="s">
        <v>2123</v>
      </c>
      <c r="Q283" s="13" t="s">
        <v>224</v>
      </c>
      <c r="R283" s="13" t="s">
        <v>2124</v>
      </c>
      <c r="S283" s="13" t="s">
        <v>847</v>
      </c>
      <c r="T283" s="13" t="s">
        <v>848</v>
      </c>
      <c r="U283" s="13" t="s">
        <v>849</v>
      </c>
      <c r="V283" s="47">
        <f>SUMIF(Data!$E:$E,$I283,Data!$AI:$AI)</f>
        <v>0</v>
      </c>
    </row>
    <row r="284" spans="1:22" x14ac:dyDescent="0.25">
      <c r="A284" s="46" t="s">
        <v>1209</v>
      </c>
      <c r="B284" s="46" t="s">
        <v>120</v>
      </c>
      <c r="C284" s="46" t="s">
        <v>2125</v>
      </c>
      <c r="D284" s="46">
        <v>0.59770000000000001</v>
      </c>
      <c r="E284" s="47">
        <f>SUMIF(Data!$E:$E,$C284,Data!$AI:$AI)</f>
        <v>0</v>
      </c>
      <c r="I284" s="13" t="s">
        <v>2126</v>
      </c>
      <c r="J284" s="13" t="s">
        <v>2127</v>
      </c>
      <c r="K284" s="13" t="s">
        <v>137</v>
      </c>
      <c r="L284" s="13" t="s">
        <v>2002</v>
      </c>
      <c r="M284" s="13" t="s">
        <v>2128</v>
      </c>
      <c r="N284" s="13">
        <v>146.32</v>
      </c>
      <c r="O284" s="13" t="s">
        <v>2129</v>
      </c>
      <c r="P284" s="13" t="s">
        <v>2130</v>
      </c>
      <c r="Q284" s="13" t="s">
        <v>190</v>
      </c>
      <c r="R284" s="13" t="s">
        <v>2131</v>
      </c>
      <c r="S284" s="13" t="s">
        <v>192</v>
      </c>
      <c r="T284" s="13" t="s">
        <v>146</v>
      </c>
      <c r="U284" s="13" t="s">
        <v>110</v>
      </c>
      <c r="V284" s="47">
        <f>SUMIF(Data!$E:$E,$I284,Data!$AI:$AI)</f>
        <v>0</v>
      </c>
    </row>
    <row r="285" spans="1:22" x14ac:dyDescent="0.25">
      <c r="A285" s="46" t="s">
        <v>1209</v>
      </c>
      <c r="B285" s="46" t="s">
        <v>120</v>
      </c>
      <c r="C285" s="46" t="s">
        <v>2132</v>
      </c>
      <c r="D285" s="46">
        <v>0.56699999999999995</v>
      </c>
      <c r="E285" s="47">
        <f>SUMIF(Data!$E:$E,$C285,Data!$AI:$AI)</f>
        <v>0</v>
      </c>
      <c r="I285" s="13">
        <v>8035</v>
      </c>
      <c r="J285" s="13" t="s">
        <v>2133</v>
      </c>
      <c r="K285" s="13" t="s">
        <v>137</v>
      </c>
      <c r="L285" s="13" t="s">
        <v>2002</v>
      </c>
      <c r="M285" s="13" t="s">
        <v>2134</v>
      </c>
      <c r="N285" s="13">
        <v>86.98</v>
      </c>
      <c r="O285" s="13" t="s">
        <v>2135</v>
      </c>
      <c r="P285" s="13" t="s">
        <v>2136</v>
      </c>
      <c r="Q285" s="13" t="s">
        <v>143</v>
      </c>
      <c r="R285" s="13" t="s">
        <v>2137</v>
      </c>
      <c r="S285" s="13" t="s">
        <v>441</v>
      </c>
      <c r="T285" s="13" t="s">
        <v>442</v>
      </c>
      <c r="U285" s="13" t="s">
        <v>443</v>
      </c>
      <c r="V285" s="47">
        <f>SUMIF(Data!$E:$E,$I285,Data!$AI:$AI)</f>
        <v>0</v>
      </c>
    </row>
    <row r="286" spans="1:22" x14ac:dyDescent="0.25">
      <c r="A286" s="46" t="s">
        <v>1209</v>
      </c>
      <c r="B286" s="46" t="s">
        <v>120</v>
      </c>
      <c r="C286" s="46" t="s">
        <v>2138</v>
      </c>
      <c r="D286" s="46">
        <v>0.1241</v>
      </c>
      <c r="E286" s="47">
        <f>SUMIF(Data!$E:$E,$C286,Data!$AI:$AI)</f>
        <v>0</v>
      </c>
      <c r="I286" s="13" t="s">
        <v>2139</v>
      </c>
      <c r="J286" s="13" t="s">
        <v>2140</v>
      </c>
      <c r="K286" s="13" t="s">
        <v>137</v>
      </c>
      <c r="L286" s="13" t="s">
        <v>2002</v>
      </c>
      <c r="M286" s="13" t="s">
        <v>2141</v>
      </c>
      <c r="N286" s="13">
        <v>518.46199999999999</v>
      </c>
      <c r="O286" s="13" t="s">
        <v>2142</v>
      </c>
      <c r="P286" s="13" t="s">
        <v>2143</v>
      </c>
      <c r="Q286" s="13" t="s">
        <v>416</v>
      </c>
      <c r="R286" s="13" t="s">
        <v>2144</v>
      </c>
      <c r="S286" s="13" t="s">
        <v>523</v>
      </c>
      <c r="T286" s="13" t="s">
        <v>524</v>
      </c>
      <c r="U286" s="13" t="s">
        <v>525</v>
      </c>
      <c r="V286" s="47">
        <f>SUMIF(Data!$E:$E,$I286,Data!$AI:$AI)</f>
        <v>0</v>
      </c>
    </row>
    <row r="287" spans="1:22" x14ac:dyDescent="0.25">
      <c r="A287" s="46" t="s">
        <v>1209</v>
      </c>
      <c r="B287" s="46" t="s">
        <v>120</v>
      </c>
      <c r="C287" s="46" t="s">
        <v>2145</v>
      </c>
      <c r="D287" s="46">
        <v>0.1777</v>
      </c>
      <c r="E287" s="47">
        <f>SUMIF(Data!$E:$E,$C287,Data!$AI:$AI)</f>
        <v>0</v>
      </c>
      <c r="I287" s="13">
        <v>6981</v>
      </c>
      <c r="J287" s="13" t="s">
        <v>2146</v>
      </c>
      <c r="K287" s="13" t="s">
        <v>137</v>
      </c>
      <c r="L287" s="13" t="s">
        <v>2002</v>
      </c>
      <c r="M287" s="13" t="s">
        <v>2147</v>
      </c>
      <c r="N287" s="13">
        <v>311.61799999999999</v>
      </c>
      <c r="O287" s="13" t="s">
        <v>2148</v>
      </c>
      <c r="P287" s="13" t="s">
        <v>2149</v>
      </c>
      <c r="Q287" s="13" t="s">
        <v>143</v>
      </c>
      <c r="R287" s="13" t="s">
        <v>2150</v>
      </c>
      <c r="S287" s="13" t="s">
        <v>441</v>
      </c>
      <c r="T287" s="13" t="s">
        <v>442</v>
      </c>
      <c r="U287" s="13" t="s">
        <v>443</v>
      </c>
      <c r="V287" s="47">
        <f>SUMIF(Data!$E:$E,$I287,Data!$AI:$AI)</f>
        <v>0</v>
      </c>
    </row>
    <row r="288" spans="1:22" x14ac:dyDescent="0.25">
      <c r="A288" s="46" t="s">
        <v>1209</v>
      </c>
      <c r="B288" s="46" t="s">
        <v>120</v>
      </c>
      <c r="C288" s="46" t="s">
        <v>2151</v>
      </c>
      <c r="D288" s="46">
        <v>0.45350000000000001</v>
      </c>
      <c r="E288" s="47">
        <f>SUMIF(Data!$E:$E,$C288,Data!$AI:$AI)</f>
        <v>0</v>
      </c>
      <c r="I288" s="13" t="s">
        <v>2152</v>
      </c>
      <c r="J288" s="13" t="s">
        <v>2153</v>
      </c>
      <c r="K288" s="13" t="s">
        <v>137</v>
      </c>
      <c r="L288" s="13" t="s">
        <v>2002</v>
      </c>
      <c r="M288" s="13" t="s">
        <v>2154</v>
      </c>
      <c r="N288" s="13">
        <v>557.33799999999997</v>
      </c>
      <c r="O288" s="13" t="s">
        <v>2155</v>
      </c>
      <c r="P288" s="13" t="s">
        <v>2156</v>
      </c>
      <c r="Q288" s="13" t="s">
        <v>162</v>
      </c>
      <c r="R288" s="13" t="s">
        <v>2157</v>
      </c>
      <c r="S288" s="13" t="s">
        <v>1164</v>
      </c>
      <c r="T288" s="13" t="s">
        <v>1165</v>
      </c>
      <c r="U288" s="13" t="s">
        <v>525</v>
      </c>
      <c r="V288" s="47">
        <f>SUMIF(Data!$E:$E,$I288,Data!$AI:$AI)</f>
        <v>0</v>
      </c>
    </row>
    <row r="289" spans="1:22" x14ac:dyDescent="0.25">
      <c r="A289" s="46" t="s">
        <v>1209</v>
      </c>
      <c r="B289" s="46" t="s">
        <v>120</v>
      </c>
      <c r="C289" s="46" t="s">
        <v>2158</v>
      </c>
      <c r="D289" s="46">
        <v>0.68469999999999998</v>
      </c>
      <c r="E289" s="47">
        <f>SUMIF(Data!$E:$E,$C289,Data!$AI:$AI)</f>
        <v>0</v>
      </c>
      <c r="I289" s="13">
        <v>8766</v>
      </c>
      <c r="J289" s="13" t="s">
        <v>2159</v>
      </c>
      <c r="K289" s="13" t="s">
        <v>137</v>
      </c>
      <c r="L289" s="13" t="s">
        <v>2002</v>
      </c>
      <c r="M289" s="13" t="s">
        <v>2160</v>
      </c>
      <c r="N289" s="13">
        <v>352.47199999999998</v>
      </c>
      <c r="O289" s="13" t="s">
        <v>2161</v>
      </c>
      <c r="P289" s="13" t="s">
        <v>2162</v>
      </c>
      <c r="Q289" s="13" t="s">
        <v>190</v>
      </c>
      <c r="R289" s="13" t="s">
        <v>2163</v>
      </c>
      <c r="S289" s="13" t="s">
        <v>441</v>
      </c>
      <c r="T289" s="13" t="s">
        <v>442</v>
      </c>
      <c r="U289" s="13" t="s">
        <v>443</v>
      </c>
      <c r="V289" s="47">
        <f>SUMIF(Data!$E:$E,$I289,Data!$AI:$AI)</f>
        <v>0</v>
      </c>
    </row>
    <row r="290" spans="1:22" x14ac:dyDescent="0.25">
      <c r="A290" s="46" t="s">
        <v>1209</v>
      </c>
      <c r="B290" s="46" t="s">
        <v>120</v>
      </c>
      <c r="C290" s="46" t="s">
        <v>2164</v>
      </c>
      <c r="D290" s="46">
        <v>1.3533999999999999</v>
      </c>
      <c r="E290" s="47">
        <f>SUMIF(Data!$E:$E,$C290,Data!$AI:$AI)</f>
        <v>0</v>
      </c>
      <c r="I290" s="13" t="s">
        <v>2165</v>
      </c>
      <c r="J290" s="13" t="s">
        <v>2166</v>
      </c>
      <c r="K290" s="13" t="s">
        <v>137</v>
      </c>
      <c r="L290" s="13" t="s">
        <v>2002</v>
      </c>
      <c r="M290" s="13" t="s">
        <v>2167</v>
      </c>
      <c r="N290" s="13">
        <v>457.79899999999998</v>
      </c>
      <c r="O290" s="13" t="s">
        <v>2168</v>
      </c>
      <c r="P290" s="13" t="s">
        <v>2169</v>
      </c>
      <c r="Q290" s="13" t="s">
        <v>734</v>
      </c>
      <c r="R290" s="13" t="s">
        <v>2170</v>
      </c>
      <c r="S290" s="13" t="s">
        <v>192</v>
      </c>
      <c r="T290" s="13" t="s">
        <v>146</v>
      </c>
      <c r="U290" s="13" t="s">
        <v>110</v>
      </c>
      <c r="V290" s="47">
        <f>SUMIF(Data!$E:$E,$I290,Data!$AI:$AI)</f>
        <v>0</v>
      </c>
    </row>
    <row r="291" spans="1:22" x14ac:dyDescent="0.25">
      <c r="A291" s="46" t="s">
        <v>1209</v>
      </c>
      <c r="B291" s="46" t="s">
        <v>120</v>
      </c>
      <c r="C291" s="46" t="s">
        <v>2171</v>
      </c>
      <c r="D291" s="46">
        <v>0.36799999999999999</v>
      </c>
      <c r="E291" s="47">
        <f>SUMIF(Data!$E:$E,$C291,Data!$AI:$AI)</f>
        <v>0</v>
      </c>
      <c r="I291" s="13" t="s">
        <v>2172</v>
      </c>
      <c r="J291" s="13" t="s">
        <v>2173</v>
      </c>
      <c r="K291" s="13" t="s">
        <v>137</v>
      </c>
      <c r="L291" s="13" t="s">
        <v>2002</v>
      </c>
      <c r="M291" s="13" t="s">
        <v>2174</v>
      </c>
      <c r="N291" s="13">
        <v>233.928</v>
      </c>
      <c r="O291" s="13" t="s">
        <v>2175</v>
      </c>
      <c r="P291" s="13" t="s">
        <v>2176</v>
      </c>
      <c r="Q291" s="13" t="s">
        <v>190</v>
      </c>
      <c r="R291" s="13" t="s">
        <v>2177</v>
      </c>
      <c r="S291" s="13" t="s">
        <v>725</v>
      </c>
      <c r="T291" s="13" t="s">
        <v>726</v>
      </c>
      <c r="U291" s="13" t="s">
        <v>727</v>
      </c>
      <c r="V291" s="47">
        <f>SUMIF(Data!$E:$E,$I291,Data!$AI:$AI)</f>
        <v>0</v>
      </c>
    </row>
    <row r="292" spans="1:22" x14ac:dyDescent="0.25">
      <c r="A292" s="46" t="s">
        <v>1209</v>
      </c>
      <c r="B292" s="46" t="s">
        <v>120</v>
      </c>
      <c r="C292" s="46" t="s">
        <v>2178</v>
      </c>
      <c r="D292" s="46">
        <v>0.2167</v>
      </c>
      <c r="E292" s="47">
        <f>SUMIF(Data!$E:$E,$C292,Data!$AI:$AI)</f>
        <v>0</v>
      </c>
      <c r="I292" s="13">
        <v>4568</v>
      </c>
      <c r="J292" s="13" t="s">
        <v>2179</v>
      </c>
      <c r="K292" s="13" t="s">
        <v>137</v>
      </c>
      <c r="L292" s="13" t="s">
        <v>2002</v>
      </c>
      <c r="M292" s="13" t="s">
        <v>2180</v>
      </c>
      <c r="N292" s="13">
        <v>294.75700000000001</v>
      </c>
      <c r="O292" s="13" t="s">
        <v>2181</v>
      </c>
      <c r="P292" s="13" t="s">
        <v>2182</v>
      </c>
      <c r="Q292" s="13" t="s">
        <v>208</v>
      </c>
      <c r="R292" s="13" t="s">
        <v>2183</v>
      </c>
      <c r="S292" s="13" t="s">
        <v>441</v>
      </c>
      <c r="T292" s="13" t="s">
        <v>442</v>
      </c>
      <c r="U292" s="13" t="s">
        <v>443</v>
      </c>
      <c r="V292" s="47">
        <f>SUMIF(Data!$E:$E,$I292,Data!$AI:$AI)</f>
        <v>0</v>
      </c>
    </row>
    <row r="293" spans="1:22" x14ac:dyDescent="0.25">
      <c r="A293" s="46" t="s">
        <v>1209</v>
      </c>
      <c r="B293" s="46" t="s">
        <v>120</v>
      </c>
      <c r="C293" s="46" t="s">
        <v>2184</v>
      </c>
      <c r="D293" s="46">
        <v>0.43809999999999999</v>
      </c>
      <c r="E293" s="47">
        <f>SUMIF(Data!$E:$E,$C293,Data!$AI:$AI)</f>
        <v>0</v>
      </c>
      <c r="I293" s="13" t="s">
        <v>2185</v>
      </c>
      <c r="J293" s="13" t="s">
        <v>2186</v>
      </c>
      <c r="K293" s="13" t="s">
        <v>137</v>
      </c>
      <c r="L293" s="13" t="s">
        <v>2002</v>
      </c>
      <c r="M293" s="13" t="s">
        <v>2187</v>
      </c>
      <c r="N293" s="13" t="s">
        <v>2188</v>
      </c>
      <c r="O293" s="13" t="s">
        <v>2189</v>
      </c>
      <c r="P293" s="13" t="s">
        <v>2190</v>
      </c>
      <c r="Q293" s="13" t="s">
        <v>190</v>
      </c>
      <c r="R293" s="13" t="s">
        <v>2191</v>
      </c>
      <c r="S293" s="13" t="s">
        <v>226</v>
      </c>
      <c r="T293" s="13" t="s">
        <v>227</v>
      </c>
      <c r="U293" s="13" t="s">
        <v>228</v>
      </c>
      <c r="V293" s="47">
        <f>SUMIF(Data!$E:$E,$I293,Data!$AI:$AI)</f>
        <v>0</v>
      </c>
    </row>
    <row r="294" spans="1:22" x14ac:dyDescent="0.25">
      <c r="A294" s="46" t="s">
        <v>1209</v>
      </c>
      <c r="B294" s="46" t="s">
        <v>120</v>
      </c>
      <c r="C294" s="46" t="s">
        <v>2192</v>
      </c>
      <c r="D294" s="46">
        <v>0.27160000000000001</v>
      </c>
      <c r="E294" s="47">
        <f>SUMIF(Data!$E:$E,$C294,Data!$AI:$AI)</f>
        <v>0</v>
      </c>
      <c r="I294" s="13" t="s">
        <v>2193</v>
      </c>
      <c r="J294" s="13" t="s">
        <v>2194</v>
      </c>
      <c r="K294" s="13" t="s">
        <v>137</v>
      </c>
      <c r="L294" s="13" t="s">
        <v>2002</v>
      </c>
      <c r="M294" s="13" t="s">
        <v>2195</v>
      </c>
      <c r="N294" s="13">
        <v>50.316000000000003</v>
      </c>
      <c r="O294" s="13" t="s">
        <v>2196</v>
      </c>
      <c r="P294" s="13" t="s">
        <v>2197</v>
      </c>
      <c r="Q294" s="13" t="s">
        <v>416</v>
      </c>
      <c r="R294" s="13" t="s">
        <v>2198</v>
      </c>
      <c r="S294" s="13" t="s">
        <v>192</v>
      </c>
      <c r="T294" s="13" t="s">
        <v>146</v>
      </c>
      <c r="U294" s="13" t="s">
        <v>110</v>
      </c>
      <c r="V294" s="47">
        <f>SUMIF(Data!$E:$E,$I294,Data!$AI:$AI)</f>
        <v>0</v>
      </c>
    </row>
    <row r="295" spans="1:22" x14ac:dyDescent="0.25">
      <c r="A295" s="46" t="s">
        <v>1209</v>
      </c>
      <c r="B295" s="46" t="s">
        <v>120</v>
      </c>
      <c r="C295" s="46" t="s">
        <v>2199</v>
      </c>
      <c r="D295" s="46">
        <v>0.253</v>
      </c>
      <c r="E295" s="47">
        <f>SUMIF(Data!$E:$E,$C295,Data!$AI:$AI)</f>
        <v>0</v>
      </c>
      <c r="I295" s="13">
        <v>6954</v>
      </c>
      <c r="J295" s="13" t="s">
        <v>2200</v>
      </c>
      <c r="K295" s="13" t="s">
        <v>137</v>
      </c>
      <c r="L295" s="13" t="s">
        <v>2002</v>
      </c>
      <c r="M295" s="13" t="s">
        <v>2201</v>
      </c>
      <c r="N295" s="13">
        <v>98.551000000000002</v>
      </c>
      <c r="O295" s="13" t="s">
        <v>2202</v>
      </c>
      <c r="P295" s="13" t="s">
        <v>2203</v>
      </c>
      <c r="Q295" s="13" t="s">
        <v>416</v>
      </c>
      <c r="R295" s="13" t="s">
        <v>2204</v>
      </c>
      <c r="S295" s="13" t="s">
        <v>441</v>
      </c>
      <c r="T295" s="13" t="s">
        <v>442</v>
      </c>
      <c r="U295" s="13" t="s">
        <v>443</v>
      </c>
      <c r="V295" s="47">
        <f>SUMIF(Data!$E:$E,$I295,Data!$AI:$AI)</f>
        <v>0</v>
      </c>
    </row>
    <row r="296" spans="1:22" x14ac:dyDescent="0.25">
      <c r="A296" s="46" t="s">
        <v>1209</v>
      </c>
      <c r="B296" s="46" t="s">
        <v>120</v>
      </c>
      <c r="C296" s="46">
        <v>6579355</v>
      </c>
      <c r="D296" s="46">
        <v>1.327</v>
      </c>
      <c r="E296" s="47">
        <f>SUMIF(Data!$E:$E,$C296,Data!$AI:$AI)</f>
        <v>0</v>
      </c>
      <c r="I296" s="13" t="s">
        <v>2205</v>
      </c>
      <c r="J296" s="13" t="s">
        <v>2206</v>
      </c>
      <c r="K296" s="13" t="s">
        <v>137</v>
      </c>
      <c r="L296" s="13" t="s">
        <v>2002</v>
      </c>
      <c r="M296" s="13" t="s">
        <v>2207</v>
      </c>
      <c r="N296" s="13">
        <v>42.517000000000003</v>
      </c>
      <c r="O296" s="13" t="s">
        <v>2208</v>
      </c>
      <c r="P296" s="13" t="s">
        <v>2209</v>
      </c>
      <c r="Q296" s="13" t="s">
        <v>162</v>
      </c>
      <c r="R296" s="13" t="s">
        <v>2210</v>
      </c>
      <c r="S296" s="13" t="s">
        <v>145</v>
      </c>
      <c r="T296" s="13" t="s">
        <v>146</v>
      </c>
      <c r="U296" s="13" t="s">
        <v>110</v>
      </c>
      <c r="V296" s="47">
        <f>SUMIF(Data!$E:$E,$I296,Data!$AI:$AI)</f>
        <v>0</v>
      </c>
    </row>
    <row r="297" spans="1:22" x14ac:dyDescent="0.25">
      <c r="A297" s="46" t="s">
        <v>1209</v>
      </c>
      <c r="B297" s="46" t="s">
        <v>120</v>
      </c>
      <c r="C297" s="46" t="s">
        <v>2211</v>
      </c>
      <c r="D297" s="46">
        <v>0.36520000000000002</v>
      </c>
      <c r="E297" s="47">
        <f>SUMIF(Data!$E:$E,$C297,Data!$AI:$AI)</f>
        <v>0</v>
      </c>
      <c r="I297" s="13" t="s">
        <v>2212</v>
      </c>
      <c r="J297" s="13" t="s">
        <v>2213</v>
      </c>
      <c r="K297" s="13" t="s">
        <v>137</v>
      </c>
      <c r="L297" s="13" t="s">
        <v>2002</v>
      </c>
      <c r="M297" s="13" t="s">
        <v>2214</v>
      </c>
      <c r="N297" s="13">
        <v>71.423000000000002</v>
      </c>
      <c r="O297" s="13" t="s">
        <v>2215</v>
      </c>
      <c r="P297" s="13" t="s">
        <v>2216</v>
      </c>
      <c r="Q297" s="13" t="s">
        <v>416</v>
      </c>
      <c r="R297" s="13" t="s">
        <v>2217</v>
      </c>
      <c r="S297" s="13" t="s">
        <v>725</v>
      </c>
      <c r="T297" s="13" t="s">
        <v>726</v>
      </c>
      <c r="U297" s="13" t="s">
        <v>727</v>
      </c>
      <c r="V297" s="47">
        <f>SUMIF(Data!$E:$E,$I297,Data!$AI:$AI)</f>
        <v>0</v>
      </c>
    </row>
    <row r="298" spans="1:22" x14ac:dyDescent="0.25">
      <c r="A298" s="46" t="s">
        <v>1209</v>
      </c>
      <c r="B298" s="46" t="s">
        <v>120</v>
      </c>
      <c r="C298" s="46">
        <v>6276719</v>
      </c>
      <c r="D298" s="46">
        <v>0.31480000000000002</v>
      </c>
      <c r="E298" s="47">
        <f>SUMIF(Data!$E:$E,$C298,Data!$AI:$AI)</f>
        <v>0</v>
      </c>
      <c r="I298" s="13" t="s">
        <v>2218</v>
      </c>
      <c r="J298" s="13" t="s">
        <v>2219</v>
      </c>
      <c r="K298" s="13" t="s">
        <v>137</v>
      </c>
      <c r="L298" s="13" t="s">
        <v>2002</v>
      </c>
      <c r="M298" s="13" t="s">
        <v>2220</v>
      </c>
      <c r="N298" s="13">
        <v>140.346</v>
      </c>
      <c r="O298" s="13" t="s">
        <v>2221</v>
      </c>
      <c r="P298" s="13" t="s">
        <v>2222</v>
      </c>
      <c r="Q298" s="13" t="s">
        <v>416</v>
      </c>
      <c r="R298" s="13" t="s">
        <v>2223</v>
      </c>
      <c r="S298" s="13" t="s">
        <v>192</v>
      </c>
      <c r="T298" s="13" t="s">
        <v>146</v>
      </c>
      <c r="U298" s="13" t="s">
        <v>110</v>
      </c>
      <c r="V298" s="47">
        <f>SUMIF(Data!$E:$E,$I298,Data!$AI:$AI)</f>
        <v>0</v>
      </c>
    </row>
    <row r="299" spans="1:22" x14ac:dyDescent="0.25">
      <c r="A299" s="46" t="s">
        <v>1209</v>
      </c>
      <c r="B299" s="46" t="s">
        <v>120</v>
      </c>
      <c r="C299" s="46">
        <v>6116956</v>
      </c>
      <c r="D299" s="46">
        <v>0.153</v>
      </c>
      <c r="E299" s="47">
        <f>SUMIF(Data!$E:$E,$C299,Data!$AI:$AI)</f>
        <v>0</v>
      </c>
      <c r="I299" s="13" t="s">
        <v>2224</v>
      </c>
      <c r="J299" s="13" t="s">
        <v>2225</v>
      </c>
      <c r="K299" s="13" t="s">
        <v>137</v>
      </c>
      <c r="L299" s="13" t="s">
        <v>2002</v>
      </c>
      <c r="M299" s="13" t="s">
        <v>2226</v>
      </c>
      <c r="N299" s="13">
        <v>165.3</v>
      </c>
      <c r="O299" s="13" t="s">
        <v>2227</v>
      </c>
      <c r="P299" s="13" t="s">
        <v>2228</v>
      </c>
      <c r="Q299" s="13" t="s">
        <v>190</v>
      </c>
      <c r="R299" s="13" t="s">
        <v>2229</v>
      </c>
      <c r="S299" s="13" t="s">
        <v>226</v>
      </c>
      <c r="T299" s="13" t="s">
        <v>227</v>
      </c>
      <c r="U299" s="13" t="s">
        <v>228</v>
      </c>
      <c r="V299" s="47">
        <f>SUMIF(Data!$E:$E,$I299,Data!$AI:$AI)</f>
        <v>0</v>
      </c>
    </row>
    <row r="300" spans="1:22" x14ac:dyDescent="0.25">
      <c r="A300" s="46" t="s">
        <v>1209</v>
      </c>
      <c r="B300" s="46" t="s">
        <v>120</v>
      </c>
      <c r="C300" s="46">
        <v>6314697</v>
      </c>
      <c r="D300" s="46">
        <v>0.96919999999999995</v>
      </c>
      <c r="E300" s="47">
        <f>SUMIF(Data!$E:$E,$C300,Data!$AI:$AI)</f>
        <v>0</v>
      </c>
      <c r="I300" s="13" t="s">
        <v>2230</v>
      </c>
      <c r="J300" s="13" t="s">
        <v>2231</v>
      </c>
      <c r="K300" s="13" t="s">
        <v>137</v>
      </c>
      <c r="L300" s="13" t="s">
        <v>2002</v>
      </c>
      <c r="M300" s="13" t="s">
        <v>2232</v>
      </c>
      <c r="N300" s="13">
        <v>186.61</v>
      </c>
      <c r="O300" s="13" t="s">
        <v>2233</v>
      </c>
      <c r="P300" s="13" t="s">
        <v>2234</v>
      </c>
      <c r="Q300" s="13" t="s">
        <v>143</v>
      </c>
      <c r="R300" s="13" t="s">
        <v>2235</v>
      </c>
      <c r="S300" s="13" t="s">
        <v>192</v>
      </c>
      <c r="T300" s="13" t="s">
        <v>146</v>
      </c>
      <c r="U300" s="13" t="s">
        <v>110</v>
      </c>
      <c r="V300" s="47">
        <f>SUMIF(Data!$E:$E,$I300,Data!$AI:$AI)</f>
        <v>0</v>
      </c>
    </row>
    <row r="301" spans="1:22" x14ac:dyDescent="0.25">
      <c r="A301" s="46" t="s">
        <v>1209</v>
      </c>
      <c r="B301" s="46" t="s">
        <v>120</v>
      </c>
      <c r="C301" s="46">
        <v>6766555</v>
      </c>
      <c r="D301" s="46">
        <v>1.1085</v>
      </c>
      <c r="E301" s="47">
        <f>SUMIF(Data!$E:$E,$C301,Data!$AI:$AI)</f>
        <v>0</v>
      </c>
      <c r="I301" s="13">
        <v>388</v>
      </c>
      <c r="J301" s="13" t="s">
        <v>2236</v>
      </c>
      <c r="K301" s="13" t="s">
        <v>137</v>
      </c>
      <c r="L301" s="13" t="s">
        <v>2237</v>
      </c>
      <c r="M301" s="13" t="s">
        <v>2238</v>
      </c>
      <c r="N301" s="13">
        <v>513.70699999999999</v>
      </c>
      <c r="O301" s="13" t="s">
        <v>2239</v>
      </c>
      <c r="P301" s="13" t="s">
        <v>2240</v>
      </c>
      <c r="Q301" s="13" t="s">
        <v>190</v>
      </c>
      <c r="R301" s="13" t="s">
        <v>2241</v>
      </c>
      <c r="S301" s="13" t="s">
        <v>549</v>
      </c>
      <c r="T301" s="13" t="s">
        <v>550</v>
      </c>
      <c r="U301" s="13" t="s">
        <v>551</v>
      </c>
      <c r="V301" s="47">
        <f>SUMIF(Data!$E:$E,$I301,Data!$AI:$AI)</f>
        <v>0</v>
      </c>
    </row>
    <row r="302" spans="1:22" x14ac:dyDescent="0.25">
      <c r="A302" s="46" t="s">
        <v>1209</v>
      </c>
      <c r="B302" s="46" t="s">
        <v>120</v>
      </c>
      <c r="C302" s="46">
        <v>6242390</v>
      </c>
      <c r="D302" s="46">
        <v>0.1016</v>
      </c>
      <c r="E302" s="47">
        <f>SUMIF(Data!$E:$E,$C302,Data!$AI:$AI)</f>
        <v>0</v>
      </c>
      <c r="I302" s="13" t="s">
        <v>2242</v>
      </c>
      <c r="J302" s="13" t="s">
        <v>2243</v>
      </c>
      <c r="K302" s="13" t="s">
        <v>137</v>
      </c>
      <c r="L302" s="13" t="s">
        <v>2237</v>
      </c>
      <c r="M302" s="13" t="s">
        <v>2244</v>
      </c>
      <c r="N302" s="13">
        <v>219.334</v>
      </c>
      <c r="O302" s="13" t="s">
        <v>2245</v>
      </c>
      <c r="P302" s="13" t="s">
        <v>2246</v>
      </c>
      <c r="Q302" s="13" t="s">
        <v>806</v>
      </c>
      <c r="R302" s="13" t="s">
        <v>2247</v>
      </c>
      <c r="S302" s="13" t="s">
        <v>192</v>
      </c>
      <c r="T302" s="13" t="s">
        <v>146</v>
      </c>
      <c r="U302" s="13" t="s">
        <v>110</v>
      </c>
      <c r="V302" s="47">
        <f>SUMIF(Data!$E:$E,$I302,Data!$AI:$AI)</f>
        <v>0</v>
      </c>
    </row>
    <row r="303" spans="1:22" x14ac:dyDescent="0.25">
      <c r="A303" s="46" t="s">
        <v>1209</v>
      </c>
      <c r="B303" s="46" t="s">
        <v>120</v>
      </c>
      <c r="C303" s="46">
        <v>6993289</v>
      </c>
      <c r="D303" s="46">
        <v>0.12559999999999999</v>
      </c>
      <c r="E303" s="47">
        <f>SUMIF(Data!$E:$E,$C303,Data!$AI:$AI)</f>
        <v>0</v>
      </c>
      <c r="I303" s="13" t="s">
        <v>2248</v>
      </c>
      <c r="J303" s="13" t="s">
        <v>2249</v>
      </c>
      <c r="K303" s="13" t="s">
        <v>137</v>
      </c>
      <c r="L303" s="13" t="s">
        <v>2237</v>
      </c>
      <c r="M303" s="13" t="s">
        <v>2250</v>
      </c>
      <c r="N303" s="13">
        <v>113.084</v>
      </c>
      <c r="O303" s="13" t="s">
        <v>2251</v>
      </c>
      <c r="P303" s="13" t="s">
        <v>2252</v>
      </c>
      <c r="Q303" s="13" t="s">
        <v>190</v>
      </c>
      <c r="R303" s="13" t="s">
        <v>2253</v>
      </c>
      <c r="S303" s="13" t="s">
        <v>523</v>
      </c>
      <c r="T303" s="13" t="s">
        <v>524</v>
      </c>
      <c r="U303" s="13" t="s">
        <v>525</v>
      </c>
      <c r="V303" s="47">
        <f>SUMIF(Data!$E:$E,$I303,Data!$AI:$AI)</f>
        <v>0</v>
      </c>
    </row>
    <row r="304" spans="1:22" x14ac:dyDescent="0.25">
      <c r="A304" s="46" t="s">
        <v>1209</v>
      </c>
      <c r="B304" s="46" t="s">
        <v>120</v>
      </c>
      <c r="C304" s="46" t="s">
        <v>2254</v>
      </c>
      <c r="D304" s="46">
        <v>0.2011</v>
      </c>
      <c r="E304" s="47">
        <f>SUMIF(Data!$E:$E,$C304,Data!$AI:$AI)</f>
        <v>0</v>
      </c>
      <c r="I304" s="13">
        <v>8001</v>
      </c>
      <c r="J304" s="13" t="s">
        <v>2255</v>
      </c>
      <c r="K304" s="13" t="s">
        <v>137</v>
      </c>
      <c r="L304" s="13" t="s">
        <v>2237</v>
      </c>
      <c r="M304" s="13" t="s">
        <v>2256</v>
      </c>
      <c r="N304" s="13">
        <v>768.50199999999995</v>
      </c>
      <c r="O304" s="13" t="s">
        <v>2257</v>
      </c>
      <c r="P304" s="13" t="s">
        <v>2258</v>
      </c>
      <c r="Q304" s="13" t="s">
        <v>416</v>
      </c>
      <c r="R304" s="13" t="s">
        <v>2259</v>
      </c>
      <c r="S304" s="13" t="s">
        <v>441</v>
      </c>
      <c r="T304" s="13" t="s">
        <v>442</v>
      </c>
      <c r="U304" s="13" t="s">
        <v>443</v>
      </c>
      <c r="V304" s="47">
        <f>SUMIF(Data!$E:$E,$I304,Data!$AI:$AI)</f>
        <v>0</v>
      </c>
    </row>
    <row r="305" spans="1:22" x14ac:dyDescent="0.25">
      <c r="A305" s="46" t="s">
        <v>1209</v>
      </c>
      <c r="B305" s="46" t="s">
        <v>120</v>
      </c>
      <c r="C305" s="46">
        <v>6438951</v>
      </c>
      <c r="D305" s="46">
        <v>0.1048</v>
      </c>
      <c r="E305" s="47">
        <f>SUMIF(Data!$E:$E,$C305,Data!$AI:$AI)</f>
        <v>0</v>
      </c>
      <c r="I305" s="13" t="s">
        <v>2260</v>
      </c>
      <c r="J305" s="13" t="s">
        <v>2261</v>
      </c>
      <c r="K305" s="13" t="s">
        <v>137</v>
      </c>
      <c r="L305" s="13" t="s">
        <v>2237</v>
      </c>
      <c r="M305" s="13" t="s">
        <v>2262</v>
      </c>
      <c r="N305" s="13">
        <v>297.76400000000001</v>
      </c>
      <c r="O305" s="13" t="s">
        <v>2263</v>
      </c>
      <c r="P305" s="13" t="s">
        <v>2264</v>
      </c>
      <c r="Q305" s="13" t="s">
        <v>143</v>
      </c>
      <c r="R305" s="13" t="s">
        <v>2265</v>
      </c>
      <c r="S305" s="13" t="s">
        <v>145</v>
      </c>
      <c r="T305" s="13" t="s">
        <v>146</v>
      </c>
      <c r="U305" s="13" t="s">
        <v>110</v>
      </c>
      <c r="V305" s="47">
        <f>SUMIF(Data!$E:$E,$I305,Data!$AI:$AI)</f>
        <v>0</v>
      </c>
    </row>
    <row r="306" spans="1:22" x14ac:dyDescent="0.25">
      <c r="A306" s="46" t="s">
        <v>1209</v>
      </c>
      <c r="B306" s="46" t="s">
        <v>120</v>
      </c>
      <c r="C306" s="46">
        <v>6203245</v>
      </c>
      <c r="D306" s="46">
        <v>0.221</v>
      </c>
      <c r="E306" s="47">
        <f>SUMIF(Data!$E:$E,$C306,Data!$AI:$AI)</f>
        <v>0</v>
      </c>
      <c r="I306" s="13" t="s">
        <v>2266</v>
      </c>
      <c r="J306" s="13" t="s">
        <v>2267</v>
      </c>
      <c r="K306" s="13" t="s">
        <v>137</v>
      </c>
      <c r="L306" s="13" t="s">
        <v>2237</v>
      </c>
      <c r="M306" s="13" t="s">
        <v>2268</v>
      </c>
      <c r="N306" s="13">
        <v>840.73699999999997</v>
      </c>
      <c r="O306" s="13" t="s">
        <v>2269</v>
      </c>
      <c r="P306" s="13" t="s">
        <v>2270</v>
      </c>
      <c r="Q306" s="13" t="s">
        <v>143</v>
      </c>
      <c r="R306" s="13" t="s">
        <v>2271</v>
      </c>
      <c r="S306" s="13" t="s">
        <v>192</v>
      </c>
      <c r="T306" s="13" t="s">
        <v>146</v>
      </c>
      <c r="U306" s="13" t="s">
        <v>110</v>
      </c>
      <c r="V306" s="47">
        <f>SUMIF(Data!$E:$E,$I306,Data!$AI:$AI)</f>
        <v>0</v>
      </c>
    </row>
    <row r="307" spans="1:22" x14ac:dyDescent="0.25">
      <c r="A307" s="46" t="s">
        <v>1209</v>
      </c>
      <c r="B307" s="46" t="s">
        <v>120</v>
      </c>
      <c r="C307" s="46">
        <v>6283872</v>
      </c>
      <c r="D307" s="46">
        <v>7.6600000000000001E-2</v>
      </c>
      <c r="E307" s="47">
        <f>SUMIF(Data!$E:$E,$C307,Data!$AI:$AI)</f>
        <v>0</v>
      </c>
      <c r="I307" s="13" t="s">
        <v>2272</v>
      </c>
      <c r="J307" s="13" t="s">
        <v>2273</v>
      </c>
      <c r="K307" s="13" t="s">
        <v>137</v>
      </c>
      <c r="L307" s="13" t="s">
        <v>2237</v>
      </c>
      <c r="M307" s="13" t="s">
        <v>2274</v>
      </c>
      <c r="N307" s="13">
        <v>94.655000000000001</v>
      </c>
      <c r="O307" s="13" t="s">
        <v>2275</v>
      </c>
      <c r="P307" s="13" t="s">
        <v>2276</v>
      </c>
      <c r="Q307" s="13" t="s">
        <v>224</v>
      </c>
      <c r="R307" s="13" t="s">
        <v>2277</v>
      </c>
      <c r="S307" s="13" t="s">
        <v>192</v>
      </c>
      <c r="T307" s="13" t="s">
        <v>146</v>
      </c>
      <c r="U307" s="13" t="s">
        <v>110</v>
      </c>
      <c r="V307" s="47">
        <f>SUMIF(Data!$E:$E,$I307,Data!$AI:$AI)</f>
        <v>0</v>
      </c>
    </row>
    <row r="308" spans="1:22" x14ac:dyDescent="0.25">
      <c r="A308" s="46" t="s">
        <v>1209</v>
      </c>
      <c r="B308" s="46" t="s">
        <v>120</v>
      </c>
      <c r="C308" s="46">
        <v>6632162</v>
      </c>
      <c r="D308" s="46">
        <v>0.1628</v>
      </c>
      <c r="E308" s="47">
        <f>SUMIF(Data!$E:$E,$C308,Data!$AI:$AI)</f>
        <v>0</v>
      </c>
      <c r="I308" s="13" t="s">
        <v>2278</v>
      </c>
      <c r="J308" s="13" t="s">
        <v>2279</v>
      </c>
      <c r="K308" s="13" t="s">
        <v>137</v>
      </c>
      <c r="L308" s="13" t="s">
        <v>2237</v>
      </c>
      <c r="M308" s="13" t="s">
        <v>2280</v>
      </c>
      <c r="N308" s="13">
        <v>163.78200000000001</v>
      </c>
      <c r="O308" s="13" t="s">
        <v>2281</v>
      </c>
      <c r="P308" s="13" t="s">
        <v>2282</v>
      </c>
      <c r="Q308" s="13" t="s">
        <v>172</v>
      </c>
      <c r="R308" s="13" t="s">
        <v>2283</v>
      </c>
      <c r="S308" s="13" t="s">
        <v>145</v>
      </c>
      <c r="T308" s="13" t="s">
        <v>146</v>
      </c>
      <c r="U308" s="13" t="s">
        <v>110</v>
      </c>
      <c r="V308" s="47">
        <f>SUMIF(Data!$E:$E,$I308,Data!$AI:$AI)</f>
        <v>0</v>
      </c>
    </row>
    <row r="309" spans="1:22" x14ac:dyDescent="0.25">
      <c r="A309" s="46" t="s">
        <v>1209</v>
      </c>
      <c r="B309" s="46" t="s">
        <v>120</v>
      </c>
      <c r="C309" s="46">
        <v>6983990</v>
      </c>
      <c r="D309" s="46">
        <v>8.9800000000000005E-2</v>
      </c>
      <c r="E309" s="47">
        <f>SUMIF(Data!$E:$E,$C309,Data!$AI:$AI)</f>
        <v>0</v>
      </c>
      <c r="I309" s="13" t="s">
        <v>2284</v>
      </c>
      <c r="J309" s="13" t="s">
        <v>2285</v>
      </c>
      <c r="K309" s="13" t="s">
        <v>137</v>
      </c>
      <c r="L309" s="13" t="s">
        <v>2237</v>
      </c>
      <c r="M309" s="13" t="s">
        <v>2286</v>
      </c>
      <c r="N309" s="13">
        <v>81.927000000000007</v>
      </c>
      <c r="O309" s="13" t="s">
        <v>2287</v>
      </c>
      <c r="P309" s="13" t="s">
        <v>2288</v>
      </c>
      <c r="Q309" s="13" t="s">
        <v>806</v>
      </c>
      <c r="R309" s="13" t="s">
        <v>2289</v>
      </c>
      <c r="S309" s="13" t="s">
        <v>192</v>
      </c>
      <c r="T309" s="13" t="s">
        <v>146</v>
      </c>
      <c r="U309" s="13" t="s">
        <v>110</v>
      </c>
      <c r="V309" s="47">
        <f>SUMIF(Data!$E:$E,$I309,Data!$AI:$AI)</f>
        <v>0</v>
      </c>
    </row>
    <row r="310" spans="1:22" x14ac:dyDescent="0.25">
      <c r="A310" s="46" t="s">
        <v>1209</v>
      </c>
      <c r="B310" s="46" t="s">
        <v>120</v>
      </c>
      <c r="C310" s="46" t="s">
        <v>2290</v>
      </c>
      <c r="D310" s="46">
        <v>0.10199999999999999</v>
      </c>
      <c r="E310" s="47">
        <f>SUMIF(Data!$E:$E,$C310,Data!$AI:$AI)</f>
        <v>0</v>
      </c>
      <c r="I310" s="13" t="s">
        <v>2291</v>
      </c>
      <c r="J310" s="13" t="s">
        <v>2292</v>
      </c>
      <c r="K310" s="13" t="s">
        <v>137</v>
      </c>
      <c r="L310" s="13" t="s">
        <v>2237</v>
      </c>
      <c r="M310" s="13" t="s">
        <v>2293</v>
      </c>
      <c r="N310" s="13" t="s">
        <v>2294</v>
      </c>
      <c r="O310" s="13" t="s">
        <v>2295</v>
      </c>
      <c r="P310" s="13" t="s">
        <v>2296</v>
      </c>
      <c r="Q310" s="13" t="s">
        <v>162</v>
      </c>
      <c r="R310" s="13" t="s">
        <v>2297</v>
      </c>
      <c r="S310" s="13" t="s">
        <v>192</v>
      </c>
      <c r="T310" s="13" t="s">
        <v>146</v>
      </c>
      <c r="U310" s="13" t="s">
        <v>110</v>
      </c>
      <c r="V310" s="47">
        <f>SUMIF(Data!$E:$E,$I310,Data!$AI:$AI)</f>
        <v>0</v>
      </c>
    </row>
    <row r="311" spans="1:22" x14ac:dyDescent="0.25">
      <c r="A311" s="46" t="s">
        <v>1209</v>
      </c>
      <c r="B311" s="46" t="s">
        <v>120</v>
      </c>
      <c r="C311" s="46">
        <v>6718857</v>
      </c>
      <c r="D311" s="46">
        <v>0.1143</v>
      </c>
      <c r="E311" s="47">
        <f>SUMIF(Data!$E:$E,$C311,Data!$AI:$AI)</f>
        <v>0</v>
      </c>
      <c r="I311" s="13" t="s">
        <v>2298</v>
      </c>
      <c r="J311" s="13" t="s">
        <v>2299</v>
      </c>
      <c r="K311" s="13" t="s">
        <v>137</v>
      </c>
      <c r="L311" s="13" t="s">
        <v>2237</v>
      </c>
      <c r="M311" s="13" t="s">
        <v>2300</v>
      </c>
      <c r="N311" s="13">
        <v>575.02300000000002</v>
      </c>
      <c r="O311" s="13" t="s">
        <v>2301</v>
      </c>
      <c r="P311" s="13" t="s">
        <v>2302</v>
      </c>
      <c r="Q311" s="13" t="s">
        <v>162</v>
      </c>
      <c r="R311" s="13" t="s">
        <v>2303</v>
      </c>
      <c r="S311" s="13" t="s">
        <v>847</v>
      </c>
      <c r="T311" s="13" t="s">
        <v>848</v>
      </c>
      <c r="U311" s="13" t="s">
        <v>849</v>
      </c>
      <c r="V311" s="47">
        <f>SUMIF(Data!$E:$E,$I311,Data!$AI:$AI)</f>
        <v>0</v>
      </c>
    </row>
    <row r="312" spans="1:22" x14ac:dyDescent="0.25">
      <c r="A312" s="46" t="s">
        <v>1209</v>
      </c>
      <c r="B312" s="46" t="s">
        <v>120</v>
      </c>
      <c r="C312" s="46">
        <v>6354574</v>
      </c>
      <c r="D312" s="46">
        <v>0.105</v>
      </c>
      <c r="E312" s="47">
        <f>SUMIF(Data!$E:$E,$C312,Data!$AI:$AI)</f>
        <v>0</v>
      </c>
      <c r="I312" s="13" t="s">
        <v>2304</v>
      </c>
      <c r="J312" s="13" t="s">
        <v>2305</v>
      </c>
      <c r="K312" s="13" t="s">
        <v>137</v>
      </c>
      <c r="L312" s="13" t="s">
        <v>2237</v>
      </c>
      <c r="M312" s="13" t="s">
        <v>2306</v>
      </c>
      <c r="N312" s="13">
        <v>424.37400000000002</v>
      </c>
      <c r="O312" s="13" t="s">
        <v>2307</v>
      </c>
      <c r="P312" s="13" t="s">
        <v>2308</v>
      </c>
      <c r="Q312" s="13" t="s">
        <v>416</v>
      </c>
      <c r="R312" s="13" t="s">
        <v>2309</v>
      </c>
      <c r="S312" s="13" t="s">
        <v>192</v>
      </c>
      <c r="T312" s="13" t="s">
        <v>146</v>
      </c>
      <c r="U312" s="13" t="s">
        <v>110</v>
      </c>
      <c r="V312" s="47">
        <f>SUMIF(Data!$E:$E,$I312,Data!$AI:$AI)</f>
        <v>0</v>
      </c>
    </row>
    <row r="313" spans="1:22" x14ac:dyDescent="0.25">
      <c r="A313" s="46" t="s">
        <v>1209</v>
      </c>
      <c r="B313" s="46" t="s">
        <v>120</v>
      </c>
      <c r="C313" s="46" t="s">
        <v>2310</v>
      </c>
      <c r="D313" s="46">
        <v>0.48570000000000002</v>
      </c>
      <c r="E313" s="47">
        <f>SUMIF(Data!$E:$E,$C313,Data!$AI:$AI)</f>
        <v>0</v>
      </c>
      <c r="I313" s="13" t="s">
        <v>2311</v>
      </c>
      <c r="J313" s="13" t="s">
        <v>2312</v>
      </c>
      <c r="K313" s="13" t="s">
        <v>137</v>
      </c>
      <c r="L313" s="13" t="s">
        <v>2237</v>
      </c>
      <c r="M313" s="13" t="s">
        <v>2313</v>
      </c>
      <c r="N313" s="13">
        <v>276.69600000000003</v>
      </c>
      <c r="O313" s="13" t="s">
        <v>2314</v>
      </c>
      <c r="P313" s="13" t="s">
        <v>2315</v>
      </c>
      <c r="Q313" s="13" t="s">
        <v>694</v>
      </c>
      <c r="R313" s="13" t="s">
        <v>2316</v>
      </c>
      <c r="S313" s="13" t="s">
        <v>145</v>
      </c>
      <c r="T313" s="13" t="s">
        <v>146</v>
      </c>
      <c r="U313" s="13" t="s">
        <v>110</v>
      </c>
      <c r="V313" s="47">
        <f>SUMIF(Data!$E:$E,$I313,Data!$AI:$AI)</f>
        <v>0</v>
      </c>
    </row>
    <row r="314" spans="1:22" x14ac:dyDescent="0.25">
      <c r="A314" s="46" t="s">
        <v>1209</v>
      </c>
      <c r="B314" s="46" t="s">
        <v>120</v>
      </c>
      <c r="C314" s="46" t="s">
        <v>2317</v>
      </c>
      <c r="D314" s="46">
        <v>8.4599999999999995E-2</v>
      </c>
      <c r="E314" s="47">
        <f>SUMIF(Data!$E:$E,$C314,Data!$AI:$AI)</f>
        <v>0</v>
      </c>
      <c r="I314" s="13">
        <v>8031</v>
      </c>
      <c r="J314" s="13" t="s">
        <v>2318</v>
      </c>
      <c r="K314" s="13" t="s">
        <v>137</v>
      </c>
      <c r="L314" s="13" t="s">
        <v>2237</v>
      </c>
      <c r="M314" s="13" t="s">
        <v>2319</v>
      </c>
      <c r="N314" s="13">
        <v>962.69200000000001</v>
      </c>
      <c r="O314" s="13" t="s">
        <v>2320</v>
      </c>
      <c r="P314" s="13" t="s">
        <v>2321</v>
      </c>
      <c r="Q314" s="13" t="s">
        <v>416</v>
      </c>
      <c r="R314" s="13" t="s">
        <v>2322</v>
      </c>
      <c r="S314" s="13" t="s">
        <v>441</v>
      </c>
      <c r="T314" s="13" t="s">
        <v>442</v>
      </c>
      <c r="U314" s="13" t="s">
        <v>443</v>
      </c>
      <c r="V314" s="47">
        <f>SUMIF(Data!$E:$E,$I314,Data!$AI:$AI)</f>
        <v>0</v>
      </c>
    </row>
    <row r="315" spans="1:22" x14ac:dyDescent="0.25">
      <c r="A315" s="46" t="s">
        <v>1209</v>
      </c>
      <c r="B315" s="46" t="s">
        <v>120</v>
      </c>
      <c r="C315" s="46" t="s">
        <v>2323</v>
      </c>
      <c r="D315" s="46">
        <v>1.8536999999999999</v>
      </c>
      <c r="E315" s="47">
        <f>SUMIF(Data!$E:$E,$C315,Data!$AI:$AI)</f>
        <v>0</v>
      </c>
      <c r="I315" s="13">
        <v>9020</v>
      </c>
      <c r="J315" s="13" t="s">
        <v>2324</v>
      </c>
      <c r="K315" s="13" t="s">
        <v>137</v>
      </c>
      <c r="L315" s="13" t="s">
        <v>2237</v>
      </c>
      <c r="M315" s="13" t="s">
        <v>774</v>
      </c>
      <c r="N315" s="13">
        <v>191.596</v>
      </c>
      <c r="O315" s="13" t="s">
        <v>2325</v>
      </c>
      <c r="P315" s="13" t="s">
        <v>2326</v>
      </c>
      <c r="Q315" s="13" t="s">
        <v>416</v>
      </c>
      <c r="R315" s="13" t="s">
        <v>2327</v>
      </c>
      <c r="S315" s="13" t="s">
        <v>441</v>
      </c>
      <c r="T315" s="13" t="s">
        <v>442</v>
      </c>
      <c r="U315" s="13" t="s">
        <v>443</v>
      </c>
      <c r="V315" s="47">
        <f>SUMIF(Data!$E:$E,$I315,Data!$AI:$AI)</f>
        <v>0</v>
      </c>
    </row>
    <row r="316" spans="1:22" x14ac:dyDescent="0.25">
      <c r="A316" s="46" t="s">
        <v>1209</v>
      </c>
      <c r="B316" s="46" t="s">
        <v>120</v>
      </c>
      <c r="C316" s="46">
        <v>6110602</v>
      </c>
      <c r="D316" s="46">
        <v>0.24329999999999999</v>
      </c>
      <c r="E316" s="47">
        <f>SUMIF(Data!$E:$E,$C316,Data!$AI:$AI)</f>
        <v>0</v>
      </c>
      <c r="I316" s="13">
        <v>4503</v>
      </c>
      <c r="J316" s="13" t="s">
        <v>2328</v>
      </c>
      <c r="K316" s="13" t="s">
        <v>137</v>
      </c>
      <c r="L316" s="13" t="s">
        <v>2237</v>
      </c>
      <c r="M316" s="13" t="s">
        <v>2329</v>
      </c>
      <c r="N316" s="13" t="s">
        <v>2330</v>
      </c>
      <c r="O316" s="13" t="s">
        <v>2331</v>
      </c>
      <c r="P316" s="13" t="s">
        <v>2332</v>
      </c>
      <c r="Q316" s="13" t="s">
        <v>208</v>
      </c>
      <c r="R316" s="13" t="s">
        <v>2333</v>
      </c>
      <c r="S316" s="13" t="s">
        <v>441</v>
      </c>
      <c r="T316" s="13" t="s">
        <v>442</v>
      </c>
      <c r="U316" s="13" t="s">
        <v>443</v>
      </c>
      <c r="V316" s="47">
        <f>SUMIF(Data!$E:$E,$I316,Data!$AI:$AI)</f>
        <v>0</v>
      </c>
    </row>
    <row r="317" spans="1:22" x14ac:dyDescent="0.25">
      <c r="A317" s="46" t="s">
        <v>1209</v>
      </c>
      <c r="B317" s="46" t="s">
        <v>120</v>
      </c>
      <c r="C317" s="46">
        <v>6997140</v>
      </c>
      <c r="D317" s="46">
        <v>0.19189999999999999</v>
      </c>
      <c r="E317" s="47">
        <f>SUMIF(Data!$E:$E,$C317,Data!$AI:$AI)</f>
        <v>0</v>
      </c>
      <c r="I317" s="13" t="s">
        <v>2334</v>
      </c>
      <c r="J317" s="13" t="s">
        <v>2335</v>
      </c>
      <c r="K317" s="13" t="s">
        <v>137</v>
      </c>
      <c r="L317" s="13" t="s">
        <v>2237</v>
      </c>
      <c r="M317" s="13" t="s">
        <v>2336</v>
      </c>
      <c r="N317" s="13">
        <v>159.26599999999999</v>
      </c>
      <c r="O317" s="13" t="s">
        <v>2337</v>
      </c>
      <c r="P317" s="13" t="s">
        <v>2338</v>
      </c>
      <c r="Q317" s="13" t="s">
        <v>143</v>
      </c>
      <c r="R317" s="13" t="s">
        <v>2339</v>
      </c>
      <c r="S317" s="13" t="s">
        <v>192</v>
      </c>
      <c r="T317" s="13" t="s">
        <v>146</v>
      </c>
      <c r="U317" s="13" t="s">
        <v>110</v>
      </c>
      <c r="V317" s="47">
        <f>SUMIF(Data!$E:$E,$I317,Data!$AI:$AI)</f>
        <v>0</v>
      </c>
    </row>
    <row r="318" spans="1:22" x14ac:dyDescent="0.25">
      <c r="A318" s="46" t="s">
        <v>1209</v>
      </c>
      <c r="B318" s="46" t="s">
        <v>120</v>
      </c>
      <c r="C318" s="46" t="s">
        <v>2340</v>
      </c>
      <c r="D318" s="46">
        <v>0.19620000000000001</v>
      </c>
      <c r="E318" s="47">
        <f>SUMIF(Data!$E:$E,$C318,Data!$AI:$AI)</f>
        <v>0</v>
      </c>
      <c r="I318" s="13" t="s">
        <v>2341</v>
      </c>
      <c r="J318" s="13" t="s">
        <v>2342</v>
      </c>
      <c r="K318" s="13" t="s">
        <v>137</v>
      </c>
      <c r="L318" s="13" t="s">
        <v>2237</v>
      </c>
      <c r="M318" s="13" t="s">
        <v>2343</v>
      </c>
      <c r="N318" s="13">
        <v>169.62700000000001</v>
      </c>
      <c r="O318" s="13" t="s">
        <v>2344</v>
      </c>
      <c r="P318" s="13" t="s">
        <v>2345</v>
      </c>
      <c r="Q318" s="13" t="s">
        <v>162</v>
      </c>
      <c r="R318" s="13" t="s">
        <v>2346</v>
      </c>
      <c r="S318" s="13" t="s">
        <v>192</v>
      </c>
      <c r="T318" s="13" t="s">
        <v>146</v>
      </c>
      <c r="U318" s="13" t="s">
        <v>110</v>
      </c>
      <c r="V318" s="47">
        <f>SUMIF(Data!$E:$E,$I318,Data!$AI:$AI)</f>
        <v>0</v>
      </c>
    </row>
    <row r="319" spans="1:22" x14ac:dyDescent="0.25">
      <c r="A319" s="46" t="s">
        <v>1209</v>
      </c>
      <c r="B319" s="46" t="s">
        <v>120</v>
      </c>
      <c r="C319" s="46">
        <v>6802794</v>
      </c>
      <c r="D319" s="46">
        <v>0.12809999999999999</v>
      </c>
      <c r="E319" s="47">
        <f>SUMIF(Data!$E:$E,$C319,Data!$AI:$AI)</f>
        <v>0</v>
      </c>
      <c r="I319" s="13" t="s">
        <v>2347</v>
      </c>
      <c r="J319" s="13" t="s">
        <v>2348</v>
      </c>
      <c r="K319" s="13" t="s">
        <v>137</v>
      </c>
      <c r="L319" s="13" t="s">
        <v>2237</v>
      </c>
      <c r="M319" s="13" t="s">
        <v>2349</v>
      </c>
      <c r="N319" s="13">
        <v>135.24700000000001</v>
      </c>
      <c r="O319" s="13" t="s">
        <v>2350</v>
      </c>
      <c r="P319" s="13" t="s">
        <v>2351</v>
      </c>
      <c r="Q319" s="13" t="s">
        <v>190</v>
      </c>
      <c r="R319" s="13" t="s">
        <v>2352</v>
      </c>
      <c r="S319" s="13" t="s">
        <v>145</v>
      </c>
      <c r="T319" s="13" t="s">
        <v>146</v>
      </c>
      <c r="U319" s="13" t="s">
        <v>110</v>
      </c>
      <c r="V319" s="47">
        <f>SUMIF(Data!$E:$E,$I319,Data!$AI:$AI)</f>
        <v>0</v>
      </c>
    </row>
    <row r="320" spans="1:22" x14ac:dyDescent="0.25">
      <c r="A320" s="46" t="s">
        <v>1209</v>
      </c>
      <c r="B320" s="46" t="s">
        <v>120</v>
      </c>
      <c r="C320" s="46" t="s">
        <v>2353</v>
      </c>
      <c r="D320" s="46">
        <v>0.11940000000000001</v>
      </c>
      <c r="E320" s="47">
        <f>SUMIF(Data!$E:$E,$C320,Data!$AI:$AI)</f>
        <v>0</v>
      </c>
      <c r="I320" s="13">
        <v>6594</v>
      </c>
      <c r="J320" s="13" t="s">
        <v>2354</v>
      </c>
      <c r="K320" s="13" t="s">
        <v>137</v>
      </c>
      <c r="L320" s="13" t="s">
        <v>2237</v>
      </c>
      <c r="M320" s="13" t="s">
        <v>2355</v>
      </c>
      <c r="N320" s="13">
        <v>122.4</v>
      </c>
      <c r="O320" s="13" t="s">
        <v>2356</v>
      </c>
      <c r="P320" s="13" t="s">
        <v>2357</v>
      </c>
      <c r="Q320" s="13" t="s">
        <v>416</v>
      </c>
      <c r="R320" s="13" t="s">
        <v>2358</v>
      </c>
      <c r="S320" s="13" t="s">
        <v>441</v>
      </c>
      <c r="T320" s="13" t="s">
        <v>442</v>
      </c>
      <c r="U320" s="13" t="s">
        <v>443</v>
      </c>
      <c r="V320" s="47">
        <f>SUMIF(Data!$E:$E,$I320,Data!$AI:$AI)</f>
        <v>0</v>
      </c>
    </row>
    <row r="321" spans="1:22" x14ac:dyDescent="0.25">
      <c r="A321" s="46" t="s">
        <v>1209</v>
      </c>
      <c r="B321" s="46" t="s">
        <v>120</v>
      </c>
      <c r="C321" s="46">
        <v>6044585</v>
      </c>
      <c r="D321" s="46">
        <v>0.2137</v>
      </c>
      <c r="E321" s="47">
        <f>SUMIF(Data!$E:$E,$C321,Data!$AI:$AI)</f>
        <v>0</v>
      </c>
      <c r="I321" s="13" t="s">
        <v>2359</v>
      </c>
      <c r="J321" s="13" t="s">
        <v>2360</v>
      </c>
      <c r="K321" s="13" t="s">
        <v>137</v>
      </c>
      <c r="L321" s="13" t="s">
        <v>2237</v>
      </c>
      <c r="M321" s="13" t="s">
        <v>2361</v>
      </c>
      <c r="N321" s="13">
        <v>890.20899999999995</v>
      </c>
      <c r="O321" s="13" t="s">
        <v>2362</v>
      </c>
      <c r="P321" s="13" t="s">
        <v>2363</v>
      </c>
      <c r="Q321" s="13" t="s">
        <v>190</v>
      </c>
      <c r="R321" s="13" t="s">
        <v>2364</v>
      </c>
      <c r="S321" s="13" t="s">
        <v>2365</v>
      </c>
      <c r="T321" s="13" t="s">
        <v>2366</v>
      </c>
      <c r="U321" s="13" t="s">
        <v>2367</v>
      </c>
      <c r="V321" s="47">
        <f>SUMIF(Data!$E:$E,$I321,Data!$AI:$AI)</f>
        <v>0</v>
      </c>
    </row>
    <row r="322" spans="1:22" x14ac:dyDescent="0.25">
      <c r="A322" s="46" t="s">
        <v>1209</v>
      </c>
      <c r="B322" s="46" t="s">
        <v>120</v>
      </c>
      <c r="C322" s="46" t="s">
        <v>2368</v>
      </c>
      <c r="D322" s="46">
        <v>0.48330000000000001</v>
      </c>
      <c r="E322" s="47">
        <f>SUMIF(Data!$E:$E,$C322,Data!$AI:$AI)</f>
        <v>0</v>
      </c>
      <c r="I322" s="13">
        <v>9432</v>
      </c>
      <c r="J322" s="13" t="s">
        <v>2369</v>
      </c>
      <c r="K322" s="13" t="s">
        <v>137</v>
      </c>
      <c r="L322" s="13" t="s">
        <v>2237</v>
      </c>
      <c r="M322" s="13" t="s">
        <v>2370</v>
      </c>
      <c r="N322" s="13">
        <v>669.4</v>
      </c>
      <c r="O322" s="13" t="s">
        <v>2371</v>
      </c>
      <c r="P322" s="13" t="s">
        <v>2372</v>
      </c>
      <c r="Q322" s="13" t="s">
        <v>172</v>
      </c>
      <c r="R322" s="13" t="s">
        <v>2373</v>
      </c>
      <c r="S322" s="13" t="s">
        <v>441</v>
      </c>
      <c r="T322" s="13" t="s">
        <v>442</v>
      </c>
      <c r="U322" s="13" t="s">
        <v>443</v>
      </c>
      <c r="V322" s="47">
        <f>SUMIF(Data!$E:$E,$I322,Data!$AI:$AI)</f>
        <v>0</v>
      </c>
    </row>
    <row r="323" spans="1:22" x14ac:dyDescent="0.25">
      <c r="A323" s="46" t="s">
        <v>1209</v>
      </c>
      <c r="B323" s="46" t="s">
        <v>120</v>
      </c>
      <c r="C323" s="46">
        <v>6016960</v>
      </c>
      <c r="D323" s="46">
        <v>0.18840000000000001</v>
      </c>
      <c r="E323" s="47">
        <f>SUMIF(Data!$E:$E,$C323,Data!$AI:$AI)</f>
        <v>0</v>
      </c>
      <c r="I323" s="13">
        <v>3382</v>
      </c>
      <c r="J323" s="13" t="s">
        <v>2374</v>
      </c>
      <c r="K323" s="13" t="s">
        <v>137</v>
      </c>
      <c r="L323" s="13" t="s">
        <v>2237</v>
      </c>
      <c r="M323" s="13" t="s">
        <v>2375</v>
      </c>
      <c r="N323" s="13">
        <v>446.71199999999999</v>
      </c>
      <c r="O323" s="13" t="s">
        <v>2376</v>
      </c>
      <c r="P323" s="13" t="s">
        <v>2377</v>
      </c>
      <c r="Q323" s="13" t="s">
        <v>224</v>
      </c>
      <c r="R323" s="13" t="s">
        <v>2378</v>
      </c>
      <c r="S323" s="13" t="s">
        <v>441</v>
      </c>
      <c r="T323" s="13" t="s">
        <v>442</v>
      </c>
      <c r="U323" s="13" t="s">
        <v>443</v>
      </c>
      <c r="V323" s="47">
        <f>SUMIF(Data!$E:$E,$I323,Data!$AI:$AI)</f>
        <v>0</v>
      </c>
    </row>
    <row r="324" spans="1:22" x14ac:dyDescent="0.25">
      <c r="A324" s="46" t="s">
        <v>1209</v>
      </c>
      <c r="B324" s="46" t="s">
        <v>120</v>
      </c>
      <c r="C324" s="46">
        <v>6140182</v>
      </c>
      <c r="D324" s="46">
        <v>0.1108</v>
      </c>
      <c r="E324" s="47">
        <f>SUMIF(Data!$E:$E,$C324,Data!$AI:$AI)</f>
        <v>0</v>
      </c>
      <c r="I324" s="13" t="s">
        <v>2379</v>
      </c>
      <c r="J324" s="13" t="s">
        <v>2380</v>
      </c>
      <c r="K324" s="13" t="s">
        <v>137</v>
      </c>
      <c r="L324" s="13" t="s">
        <v>2237</v>
      </c>
      <c r="M324" s="13" t="s">
        <v>2381</v>
      </c>
      <c r="N324" s="13">
        <v>131.69999999999999</v>
      </c>
      <c r="O324" s="13" t="s">
        <v>2382</v>
      </c>
      <c r="P324" s="13" t="s">
        <v>2383</v>
      </c>
      <c r="Q324" s="13" t="s">
        <v>734</v>
      </c>
      <c r="R324" s="13" t="s">
        <v>2384</v>
      </c>
      <c r="S324" s="13" t="s">
        <v>192</v>
      </c>
      <c r="T324" s="13" t="s">
        <v>146</v>
      </c>
      <c r="U324" s="13" t="s">
        <v>110</v>
      </c>
      <c r="V324" s="47">
        <f>SUMIF(Data!$E:$E,$I324,Data!$AI:$AI)</f>
        <v>0</v>
      </c>
    </row>
    <row r="325" spans="1:22" x14ac:dyDescent="0.25">
      <c r="A325" s="46" t="s">
        <v>1209</v>
      </c>
      <c r="B325" s="46" t="s">
        <v>120</v>
      </c>
      <c r="C325" s="46">
        <v>6247726</v>
      </c>
      <c r="D325" s="46">
        <v>0.1386</v>
      </c>
      <c r="E325" s="47">
        <f>SUMIF(Data!$E:$E,$C325,Data!$AI:$AI)</f>
        <v>0</v>
      </c>
      <c r="I325" s="13" t="s">
        <v>2385</v>
      </c>
      <c r="J325" s="13" t="s">
        <v>2386</v>
      </c>
      <c r="K325" s="13" t="s">
        <v>137</v>
      </c>
      <c r="L325" s="13" t="s">
        <v>2237</v>
      </c>
      <c r="M325" s="13" t="s">
        <v>2387</v>
      </c>
      <c r="N325" s="13">
        <v>173.59</v>
      </c>
      <c r="O325" s="13" t="s">
        <v>2388</v>
      </c>
      <c r="P325" s="13" t="s">
        <v>2389</v>
      </c>
      <c r="Q325" s="13" t="s">
        <v>190</v>
      </c>
      <c r="R325" s="13" t="s">
        <v>2390</v>
      </c>
      <c r="S325" s="13" t="s">
        <v>847</v>
      </c>
      <c r="T325" s="13" t="s">
        <v>848</v>
      </c>
      <c r="U325" s="13" t="s">
        <v>849</v>
      </c>
      <c r="V325" s="47">
        <f>SUMIF(Data!$E:$E,$I325,Data!$AI:$AI)</f>
        <v>0</v>
      </c>
    </row>
    <row r="326" spans="1:22" x14ac:dyDescent="0.25">
      <c r="A326" s="46" t="s">
        <v>1209</v>
      </c>
      <c r="B326" s="46" t="s">
        <v>120</v>
      </c>
      <c r="C326" s="46">
        <v>6306586</v>
      </c>
      <c r="D326" s="46">
        <v>9.5500000000000002E-2</v>
      </c>
      <c r="E326" s="47">
        <f>SUMIF(Data!$E:$E,$C326,Data!$AI:$AI)</f>
        <v>0</v>
      </c>
      <c r="I326" s="13" t="s">
        <v>2391</v>
      </c>
      <c r="J326" s="13" t="s">
        <v>2392</v>
      </c>
      <c r="K326" s="13" t="s">
        <v>137</v>
      </c>
      <c r="L326" s="13" t="s">
        <v>2237</v>
      </c>
      <c r="M326" s="13" t="s">
        <v>2393</v>
      </c>
      <c r="N326" s="13" t="s">
        <v>2394</v>
      </c>
      <c r="O326" s="13" t="s">
        <v>2395</v>
      </c>
      <c r="P326" s="13" t="s">
        <v>2396</v>
      </c>
      <c r="Q326" s="13" t="s">
        <v>172</v>
      </c>
      <c r="R326" s="13" t="s">
        <v>2397</v>
      </c>
      <c r="S326" s="13" t="s">
        <v>1164</v>
      </c>
      <c r="T326" s="13" t="s">
        <v>1165</v>
      </c>
      <c r="U326" s="13" t="s">
        <v>525</v>
      </c>
      <c r="V326" s="47">
        <f>SUMIF(Data!$E:$E,$I326,Data!$AI:$AI)</f>
        <v>0</v>
      </c>
    </row>
    <row r="327" spans="1:22" x14ac:dyDescent="0.25">
      <c r="A327" s="46" t="s">
        <v>1209</v>
      </c>
      <c r="B327" s="46" t="s">
        <v>120</v>
      </c>
      <c r="C327" s="46">
        <v>6317179</v>
      </c>
      <c r="D327" s="46">
        <v>0.1449</v>
      </c>
      <c r="E327" s="47">
        <f>SUMIF(Data!$E:$E,$C327,Data!$AI:$AI)</f>
        <v>0</v>
      </c>
      <c r="I327" s="13" t="s">
        <v>2398</v>
      </c>
      <c r="J327" s="13" t="s">
        <v>2399</v>
      </c>
      <c r="K327" s="13" t="s">
        <v>137</v>
      </c>
      <c r="L327" s="13" t="s">
        <v>2237</v>
      </c>
      <c r="M327" s="13" t="s">
        <v>2400</v>
      </c>
      <c r="N327" s="13">
        <v>321.46300000000002</v>
      </c>
      <c r="O327" s="13" t="s">
        <v>2401</v>
      </c>
      <c r="P327" s="13" t="s">
        <v>2402</v>
      </c>
      <c r="Q327" s="13" t="s">
        <v>224</v>
      </c>
      <c r="R327" s="13" t="s">
        <v>2403</v>
      </c>
      <c r="S327" s="13" t="s">
        <v>192</v>
      </c>
      <c r="T327" s="13" t="s">
        <v>146</v>
      </c>
      <c r="U327" s="13" t="s">
        <v>110</v>
      </c>
      <c r="V327" s="47">
        <f>SUMIF(Data!$E:$E,$I327,Data!$AI:$AI)</f>
        <v>0</v>
      </c>
    </row>
    <row r="328" spans="1:22" x14ac:dyDescent="0.25">
      <c r="A328" s="46" t="s">
        <v>1209</v>
      </c>
      <c r="B328" s="46" t="s">
        <v>120</v>
      </c>
      <c r="C328" s="46">
        <v>6377098</v>
      </c>
      <c r="D328" s="46">
        <v>0.1429</v>
      </c>
      <c r="E328" s="47">
        <f>SUMIF(Data!$E:$E,$C328,Data!$AI:$AI)</f>
        <v>0</v>
      </c>
      <c r="I328" s="13" t="s">
        <v>2404</v>
      </c>
      <c r="J328" s="13" t="s">
        <v>2405</v>
      </c>
      <c r="K328" s="13" t="s">
        <v>137</v>
      </c>
      <c r="L328" s="13" t="s">
        <v>2237</v>
      </c>
      <c r="M328" s="13" t="s">
        <v>2406</v>
      </c>
      <c r="N328" s="13">
        <v>429.68400000000003</v>
      </c>
      <c r="O328" s="13" t="s">
        <v>2407</v>
      </c>
      <c r="P328" s="13" t="s">
        <v>2408</v>
      </c>
      <c r="Q328" s="13" t="s">
        <v>734</v>
      </c>
      <c r="R328" s="13" t="s">
        <v>2409</v>
      </c>
      <c r="S328" s="13" t="s">
        <v>2410</v>
      </c>
      <c r="T328" s="13" t="s">
        <v>1282</v>
      </c>
      <c r="U328" s="13" t="s">
        <v>525</v>
      </c>
      <c r="V328" s="47">
        <f>SUMIF(Data!$E:$E,$I328,Data!$AI:$AI)</f>
        <v>0</v>
      </c>
    </row>
    <row r="329" spans="1:22" x14ac:dyDescent="0.25">
      <c r="A329" s="46" t="s">
        <v>1209</v>
      </c>
      <c r="B329" s="46" t="s">
        <v>120</v>
      </c>
      <c r="C329" s="46">
        <v>6451226</v>
      </c>
      <c r="D329" s="46">
        <v>0.113</v>
      </c>
      <c r="E329" s="47">
        <f>SUMIF(Data!$E:$E,$C329,Data!$AI:$AI)</f>
        <v>0</v>
      </c>
      <c r="I329" s="13" t="s">
        <v>2411</v>
      </c>
      <c r="J329" s="13" t="s">
        <v>2412</v>
      </c>
      <c r="K329" s="13" t="s">
        <v>137</v>
      </c>
      <c r="L329" s="13" t="s">
        <v>2237</v>
      </c>
      <c r="M329" s="13" t="s">
        <v>2413</v>
      </c>
      <c r="N329" s="13">
        <v>353.96499999999997</v>
      </c>
      <c r="O329" s="13" t="s">
        <v>2414</v>
      </c>
      <c r="P329" s="13" t="s">
        <v>2415</v>
      </c>
      <c r="Q329" s="13" t="s">
        <v>734</v>
      </c>
      <c r="R329" s="13" t="s">
        <v>2416</v>
      </c>
      <c r="S329" s="13" t="s">
        <v>725</v>
      </c>
      <c r="T329" s="13" t="s">
        <v>726</v>
      </c>
      <c r="U329" s="13" t="s">
        <v>727</v>
      </c>
      <c r="V329" s="47">
        <f>SUMIF(Data!$E:$E,$I329,Data!$AI:$AI)</f>
        <v>0</v>
      </c>
    </row>
    <row r="330" spans="1:22" x14ac:dyDescent="0.25">
      <c r="A330" s="46" t="s">
        <v>1209</v>
      </c>
      <c r="B330" s="46" t="s">
        <v>120</v>
      </c>
      <c r="C330" s="46">
        <v>6514475</v>
      </c>
      <c r="D330" s="46">
        <v>0.15190000000000001</v>
      </c>
      <c r="E330" s="47">
        <f>SUMIF(Data!$E:$E,$C330,Data!$AI:$AI)</f>
        <v>0</v>
      </c>
      <c r="I330" s="13" t="s">
        <v>2417</v>
      </c>
      <c r="J330" s="13" t="s">
        <v>2418</v>
      </c>
      <c r="K330" s="13" t="s">
        <v>137</v>
      </c>
      <c r="L330" s="13" t="s">
        <v>2237</v>
      </c>
      <c r="M330" s="13" t="s">
        <v>2419</v>
      </c>
      <c r="N330" s="13">
        <v>43.805</v>
      </c>
      <c r="O330" s="13" t="s">
        <v>2420</v>
      </c>
      <c r="P330" s="13" t="s">
        <v>2421</v>
      </c>
      <c r="Q330" s="13" t="s">
        <v>208</v>
      </c>
      <c r="R330" s="13" t="s">
        <v>2422</v>
      </c>
      <c r="S330" s="13" t="s">
        <v>145</v>
      </c>
      <c r="T330" s="13" t="s">
        <v>146</v>
      </c>
      <c r="U330" s="13" t="s">
        <v>110</v>
      </c>
      <c r="V330" s="47">
        <f>SUMIF(Data!$E:$E,$I330,Data!$AI:$AI)</f>
        <v>0</v>
      </c>
    </row>
    <row r="331" spans="1:22" x14ac:dyDescent="0.25">
      <c r="A331" s="46" t="s">
        <v>1209</v>
      </c>
      <c r="B331" s="46" t="s">
        <v>120</v>
      </c>
      <c r="C331" s="46">
        <v>6548764</v>
      </c>
      <c r="D331" s="46">
        <v>0.28420000000000001</v>
      </c>
      <c r="E331" s="47">
        <f>SUMIF(Data!$E:$E,$C331,Data!$AI:$AI)</f>
        <v>0</v>
      </c>
      <c r="I331" s="13">
        <v>4911</v>
      </c>
      <c r="J331" s="13" t="s">
        <v>2423</v>
      </c>
      <c r="K331" s="13" t="s">
        <v>137</v>
      </c>
      <c r="L331" s="13" t="s">
        <v>2237</v>
      </c>
      <c r="M331" s="13" t="s">
        <v>2424</v>
      </c>
      <c r="N331" s="13">
        <v>228.345</v>
      </c>
      <c r="O331" s="13" t="s">
        <v>2425</v>
      </c>
      <c r="P331" s="13" t="s">
        <v>2426</v>
      </c>
      <c r="Q331" s="13" t="s">
        <v>224</v>
      </c>
      <c r="R331" s="13" t="s">
        <v>2427</v>
      </c>
      <c r="S331" s="13" t="s">
        <v>441</v>
      </c>
      <c r="T331" s="13" t="s">
        <v>442</v>
      </c>
      <c r="U331" s="13" t="s">
        <v>443</v>
      </c>
      <c r="V331" s="47">
        <f>SUMIF(Data!$E:$E,$I331,Data!$AI:$AI)</f>
        <v>0</v>
      </c>
    </row>
    <row r="332" spans="1:22" x14ac:dyDescent="0.25">
      <c r="A332" s="46" t="s">
        <v>1209</v>
      </c>
      <c r="B332" s="46" t="s">
        <v>120</v>
      </c>
      <c r="C332" s="46">
        <v>6610458</v>
      </c>
      <c r="D332" s="46">
        <v>0.23380000000000001</v>
      </c>
      <c r="E332" s="47">
        <f>SUMIF(Data!$E:$E,$C332,Data!$AI:$AI)</f>
        <v>0</v>
      </c>
      <c r="I332" s="13">
        <v>9983</v>
      </c>
      <c r="J332" s="13" t="s">
        <v>2428</v>
      </c>
      <c r="K332" s="13" t="s">
        <v>137</v>
      </c>
      <c r="L332" s="13" t="s">
        <v>2237</v>
      </c>
      <c r="M332" s="13" t="s">
        <v>2429</v>
      </c>
      <c r="N332" s="13">
        <v>29.254999999999999</v>
      </c>
      <c r="O332" s="13" t="s">
        <v>2430</v>
      </c>
      <c r="P332" s="13" t="s">
        <v>2431</v>
      </c>
      <c r="Q332" s="13" t="s">
        <v>162</v>
      </c>
      <c r="R332" s="13" t="s">
        <v>2432</v>
      </c>
      <c r="S332" s="13" t="s">
        <v>441</v>
      </c>
      <c r="T332" s="13" t="s">
        <v>442</v>
      </c>
      <c r="U332" s="13" t="s">
        <v>443</v>
      </c>
      <c r="V332" s="47">
        <f>SUMIF(Data!$E:$E,$I332,Data!$AI:$AI)</f>
        <v>0</v>
      </c>
    </row>
    <row r="333" spans="1:22" x14ac:dyDescent="0.25">
      <c r="A333" s="46" t="s">
        <v>1209</v>
      </c>
      <c r="B333" s="46" t="s">
        <v>120</v>
      </c>
      <c r="C333" s="46">
        <v>6709828</v>
      </c>
      <c r="D333" s="46">
        <v>8.8499999999999995E-2</v>
      </c>
      <c r="E333" s="47">
        <f>SUMIF(Data!$E:$E,$C333,Data!$AI:$AI)</f>
        <v>0</v>
      </c>
      <c r="I333" s="13" t="s">
        <v>2433</v>
      </c>
      <c r="J333" s="13" t="s">
        <v>2434</v>
      </c>
      <c r="K333" s="13" t="s">
        <v>137</v>
      </c>
      <c r="L333" s="13" t="s">
        <v>2237</v>
      </c>
      <c r="M333" s="13" t="s">
        <v>2435</v>
      </c>
      <c r="N333" s="13">
        <v>282.30399999999997</v>
      </c>
      <c r="O333" s="13" t="s">
        <v>2436</v>
      </c>
      <c r="P333" s="13" t="s">
        <v>2437</v>
      </c>
      <c r="Q333" s="13" t="s">
        <v>694</v>
      </c>
      <c r="R333" s="13" t="s">
        <v>2438</v>
      </c>
      <c r="S333" s="13" t="s">
        <v>192</v>
      </c>
      <c r="T333" s="13" t="s">
        <v>146</v>
      </c>
      <c r="U333" s="13" t="s">
        <v>110</v>
      </c>
      <c r="V333" s="47">
        <f>SUMIF(Data!$E:$E,$I333,Data!$AI:$AI)</f>
        <v>0</v>
      </c>
    </row>
    <row r="334" spans="1:22" x14ac:dyDescent="0.25">
      <c r="A334" s="46" t="s">
        <v>1209</v>
      </c>
      <c r="B334" s="46" t="s">
        <v>120</v>
      </c>
      <c r="C334" s="46">
        <v>6795065</v>
      </c>
      <c r="D334" s="46">
        <v>0.246</v>
      </c>
      <c r="E334" s="47">
        <f>SUMIF(Data!$E:$E,$C334,Data!$AI:$AI)</f>
        <v>0</v>
      </c>
      <c r="I334" s="13" t="s">
        <v>2439</v>
      </c>
      <c r="J334" s="13" t="s">
        <v>2440</v>
      </c>
      <c r="K334" s="13" t="s">
        <v>137</v>
      </c>
      <c r="L334" s="13" t="s">
        <v>2237</v>
      </c>
      <c r="M334" s="13" t="s">
        <v>2441</v>
      </c>
      <c r="N334" s="13">
        <v>209.863</v>
      </c>
      <c r="O334" s="13" t="s">
        <v>2442</v>
      </c>
      <c r="P334" s="13" t="s">
        <v>2443</v>
      </c>
      <c r="Q334" s="13" t="s">
        <v>416</v>
      </c>
      <c r="R334" s="13" t="s">
        <v>2444</v>
      </c>
      <c r="S334" s="13" t="s">
        <v>192</v>
      </c>
      <c r="T334" s="13" t="s">
        <v>146</v>
      </c>
      <c r="U334" s="13" t="s">
        <v>110</v>
      </c>
      <c r="V334" s="47">
        <f>SUMIF(Data!$E:$E,$I334,Data!$AI:$AI)</f>
        <v>0</v>
      </c>
    </row>
    <row r="335" spans="1:22" x14ac:dyDescent="0.25">
      <c r="A335" s="46" t="s">
        <v>1209</v>
      </c>
      <c r="B335" s="46" t="s">
        <v>120</v>
      </c>
      <c r="C335" s="46">
        <v>6803106</v>
      </c>
      <c r="D335" s="46">
        <v>0.1661</v>
      </c>
      <c r="E335" s="47">
        <f>SUMIF(Data!$E:$E,$C335,Data!$AI:$AI)</f>
        <v>0</v>
      </c>
      <c r="I335" s="13" t="s">
        <v>2445</v>
      </c>
      <c r="J335" s="13" t="s">
        <v>2446</v>
      </c>
      <c r="K335" s="13" t="s">
        <v>137</v>
      </c>
      <c r="L335" s="13" t="s">
        <v>2237</v>
      </c>
      <c r="M335" s="13" t="s">
        <v>2447</v>
      </c>
      <c r="N335" s="13">
        <v>200.119</v>
      </c>
      <c r="O335" s="13" t="s">
        <v>2448</v>
      </c>
      <c r="P335" s="13" t="s">
        <v>2449</v>
      </c>
      <c r="Q335" s="13" t="s">
        <v>190</v>
      </c>
      <c r="R335" s="13" t="s">
        <v>2450</v>
      </c>
      <c r="S335" s="13" t="s">
        <v>192</v>
      </c>
      <c r="T335" s="13" t="s">
        <v>146</v>
      </c>
      <c r="U335" s="13" t="s">
        <v>110</v>
      </c>
      <c r="V335" s="47">
        <f>SUMIF(Data!$E:$E,$I335,Data!$AI:$AI)</f>
        <v>0</v>
      </c>
    </row>
    <row r="336" spans="1:22" x14ac:dyDescent="0.25">
      <c r="A336" s="46" t="s">
        <v>1209</v>
      </c>
      <c r="B336" s="46" t="s">
        <v>120</v>
      </c>
      <c r="C336" s="46">
        <v>6808639</v>
      </c>
      <c r="D336" s="46">
        <v>0.1694</v>
      </c>
      <c r="E336" s="47">
        <f>SUMIF(Data!$E:$E,$C336,Data!$AI:$AI)</f>
        <v>0</v>
      </c>
      <c r="I336" s="13" t="s">
        <v>2451</v>
      </c>
      <c r="J336" s="13" t="s">
        <v>2452</v>
      </c>
      <c r="K336" s="13" t="s">
        <v>137</v>
      </c>
      <c r="L336" s="13" t="s">
        <v>2237</v>
      </c>
      <c r="M336" s="13" t="s">
        <v>2453</v>
      </c>
      <c r="N336" s="13">
        <v>171.49199999999999</v>
      </c>
      <c r="O336" s="13" t="s">
        <v>2454</v>
      </c>
      <c r="P336" s="13" t="s">
        <v>2455</v>
      </c>
      <c r="Q336" s="13" t="s">
        <v>162</v>
      </c>
      <c r="R336" s="13" t="s">
        <v>2456</v>
      </c>
      <c r="S336" s="13" t="s">
        <v>192</v>
      </c>
      <c r="T336" s="13" t="s">
        <v>146</v>
      </c>
      <c r="U336" s="13" t="s">
        <v>110</v>
      </c>
      <c r="V336" s="47">
        <f>SUMIF(Data!$E:$E,$I336,Data!$AI:$AI)</f>
        <v>0</v>
      </c>
    </row>
    <row r="337" spans="1:22" x14ac:dyDescent="0.25">
      <c r="A337" s="46" t="s">
        <v>1209</v>
      </c>
      <c r="B337" s="46" t="s">
        <v>120</v>
      </c>
      <c r="C337" s="46">
        <v>6981068</v>
      </c>
      <c r="D337" s="46">
        <v>0.1138</v>
      </c>
      <c r="E337" s="47">
        <f>SUMIF(Data!$E:$E,$C337,Data!$AI:$AI)</f>
        <v>0</v>
      </c>
      <c r="I337" s="13" t="s">
        <v>2457</v>
      </c>
      <c r="J337" s="13" t="s">
        <v>2458</v>
      </c>
      <c r="K337" s="13" t="s">
        <v>137</v>
      </c>
      <c r="L337" s="13" t="s">
        <v>2237</v>
      </c>
      <c r="M337" s="13" t="s">
        <v>2459</v>
      </c>
      <c r="N337" s="13" t="s">
        <v>2460</v>
      </c>
      <c r="O337" s="13" t="s">
        <v>2461</v>
      </c>
      <c r="P337" s="13" t="s">
        <v>2462</v>
      </c>
      <c r="Q337" s="13" t="s">
        <v>224</v>
      </c>
      <c r="R337" s="13" t="s">
        <v>2463</v>
      </c>
      <c r="S337" s="13" t="s">
        <v>476</v>
      </c>
      <c r="T337" s="13" t="s">
        <v>477</v>
      </c>
      <c r="U337" s="13" t="s">
        <v>478</v>
      </c>
      <c r="V337" s="47">
        <f>SUMIF(Data!$E:$E,$I337,Data!$AI:$AI)</f>
        <v>0</v>
      </c>
    </row>
    <row r="338" spans="1:22" x14ac:dyDescent="0.25">
      <c r="A338" s="46" t="s">
        <v>1209</v>
      </c>
      <c r="B338" s="46" t="s">
        <v>120</v>
      </c>
      <c r="C338" s="46" t="s">
        <v>2464</v>
      </c>
      <c r="D338" s="46">
        <v>0.34489999999999998</v>
      </c>
      <c r="E338" s="47">
        <f>SUMIF(Data!$E:$E,$C338,Data!$AI:$AI)</f>
        <v>0</v>
      </c>
      <c r="I338" s="13" t="s">
        <v>2465</v>
      </c>
      <c r="J338" s="13" t="s">
        <v>2466</v>
      </c>
      <c r="K338" s="13" t="s">
        <v>137</v>
      </c>
      <c r="L338" s="13" t="s">
        <v>2237</v>
      </c>
      <c r="M338" s="13" t="s">
        <v>2467</v>
      </c>
      <c r="N338" s="13">
        <v>149.62200000000001</v>
      </c>
      <c r="O338" s="13" t="s">
        <v>2468</v>
      </c>
      <c r="P338" s="13" t="s">
        <v>2469</v>
      </c>
      <c r="Q338" s="13" t="s">
        <v>162</v>
      </c>
      <c r="R338" s="13" t="s">
        <v>2470</v>
      </c>
      <c r="S338" s="13" t="s">
        <v>192</v>
      </c>
      <c r="T338" s="13" t="s">
        <v>146</v>
      </c>
      <c r="U338" s="13" t="s">
        <v>110</v>
      </c>
      <c r="V338" s="47">
        <f>SUMIF(Data!$E:$E,$I338,Data!$AI:$AI)</f>
        <v>0</v>
      </c>
    </row>
    <row r="339" spans="1:22" x14ac:dyDescent="0.25">
      <c r="A339" s="46" t="s">
        <v>1209</v>
      </c>
      <c r="B339" s="46" t="s">
        <v>120</v>
      </c>
      <c r="C339" s="46" t="s">
        <v>2471</v>
      </c>
      <c r="D339" s="46">
        <v>0.12540000000000001</v>
      </c>
      <c r="E339" s="47">
        <f>SUMIF(Data!$E:$E,$C339,Data!$AI:$AI)</f>
        <v>0</v>
      </c>
      <c r="I339" s="13" t="s">
        <v>2472</v>
      </c>
      <c r="J339" s="13" t="s">
        <v>2473</v>
      </c>
      <c r="K339" s="13" t="s">
        <v>137</v>
      </c>
      <c r="L339" s="13" t="s">
        <v>2237</v>
      </c>
      <c r="M339" s="13" t="s">
        <v>2474</v>
      </c>
      <c r="N339" s="13">
        <v>97.034999999999997</v>
      </c>
      <c r="O339" s="13" t="s">
        <v>2475</v>
      </c>
      <c r="P339" s="13" t="s">
        <v>2476</v>
      </c>
      <c r="Q339" s="13" t="s">
        <v>143</v>
      </c>
      <c r="R339" s="13" t="s">
        <v>2477</v>
      </c>
      <c r="S339" s="13" t="s">
        <v>192</v>
      </c>
      <c r="T339" s="13" t="s">
        <v>146</v>
      </c>
      <c r="U339" s="13" t="s">
        <v>110</v>
      </c>
      <c r="V339" s="47">
        <f>SUMIF(Data!$E:$E,$I339,Data!$AI:$AI)</f>
        <v>0</v>
      </c>
    </row>
    <row r="340" spans="1:22" x14ac:dyDescent="0.25">
      <c r="A340" s="46" t="s">
        <v>1209</v>
      </c>
      <c r="B340" s="46" t="s">
        <v>120</v>
      </c>
      <c r="C340" s="46" t="s">
        <v>2478</v>
      </c>
      <c r="D340" s="46">
        <v>8.8099999999999998E-2</v>
      </c>
      <c r="E340" s="47">
        <f>SUMIF(Data!$E:$E,$C340,Data!$AI:$AI)</f>
        <v>0</v>
      </c>
      <c r="I340" s="13" t="s">
        <v>2479</v>
      </c>
      <c r="J340" s="13" t="s">
        <v>2480</v>
      </c>
      <c r="K340" s="13" t="s">
        <v>137</v>
      </c>
      <c r="L340" s="13" t="s">
        <v>2237</v>
      </c>
      <c r="M340" s="13" t="s">
        <v>1967</v>
      </c>
      <c r="N340" s="13">
        <v>647.37900000000002</v>
      </c>
      <c r="O340" s="13" t="s">
        <v>2481</v>
      </c>
      <c r="P340" s="13" t="s">
        <v>2482</v>
      </c>
      <c r="Q340" s="13" t="s">
        <v>224</v>
      </c>
      <c r="R340" s="13" t="s">
        <v>2483</v>
      </c>
      <c r="S340" s="13" t="s">
        <v>642</v>
      </c>
      <c r="T340" s="13" t="s">
        <v>643</v>
      </c>
      <c r="U340" s="13" t="s">
        <v>525</v>
      </c>
      <c r="V340" s="47">
        <f>SUMIF(Data!$E:$E,$I340,Data!$AI:$AI)</f>
        <v>0</v>
      </c>
    </row>
    <row r="341" spans="1:22" x14ac:dyDescent="0.25">
      <c r="A341" s="46" t="s">
        <v>1209</v>
      </c>
      <c r="B341" s="46" t="s">
        <v>120</v>
      </c>
      <c r="C341" s="46" t="s">
        <v>2484</v>
      </c>
      <c r="D341" s="46">
        <v>6.9699999999999998E-2</v>
      </c>
      <c r="E341" s="47">
        <f>SUMIF(Data!$E:$E,$C341,Data!$AI:$AI)</f>
        <v>0</v>
      </c>
      <c r="I341" s="13" t="s">
        <v>2485</v>
      </c>
      <c r="J341" s="13" t="s">
        <v>2486</v>
      </c>
      <c r="K341" s="13" t="s">
        <v>137</v>
      </c>
      <c r="L341" s="13" t="s">
        <v>2237</v>
      </c>
      <c r="M341" s="13" t="s">
        <v>2487</v>
      </c>
      <c r="N341" s="13">
        <v>66.040999999999997</v>
      </c>
      <c r="O341" s="13" t="s">
        <v>2488</v>
      </c>
      <c r="P341" s="13" t="s">
        <v>2489</v>
      </c>
      <c r="Q341" s="13" t="s">
        <v>806</v>
      </c>
      <c r="R341" s="13" t="s">
        <v>2490</v>
      </c>
      <c r="S341" s="13" t="s">
        <v>145</v>
      </c>
      <c r="T341" s="13" t="s">
        <v>146</v>
      </c>
      <c r="U341" s="13" t="s">
        <v>110</v>
      </c>
      <c r="V341" s="47">
        <f>SUMIF(Data!$E:$E,$I341,Data!$AI:$AI)</f>
        <v>0</v>
      </c>
    </row>
    <row r="342" spans="1:22" x14ac:dyDescent="0.25">
      <c r="A342" s="46" t="s">
        <v>1209</v>
      </c>
      <c r="B342" s="46" t="s">
        <v>120</v>
      </c>
      <c r="C342" s="46" t="s">
        <v>2491</v>
      </c>
      <c r="D342" s="46">
        <v>0.37330000000000002</v>
      </c>
      <c r="E342" s="47">
        <f>SUMIF(Data!$E:$E,$C342,Data!$AI:$AI)</f>
        <v>0</v>
      </c>
      <c r="I342" s="13" t="s">
        <v>2492</v>
      </c>
      <c r="J342" s="13" t="s">
        <v>2493</v>
      </c>
      <c r="K342" s="13" t="s">
        <v>137</v>
      </c>
      <c r="L342" s="13" t="s">
        <v>2237</v>
      </c>
      <c r="M342" s="13" t="s">
        <v>2494</v>
      </c>
      <c r="N342" s="13">
        <v>982.93399999999997</v>
      </c>
      <c r="O342" s="13" t="s">
        <v>2495</v>
      </c>
      <c r="P342" s="13" t="s">
        <v>2496</v>
      </c>
      <c r="Q342" s="13" t="s">
        <v>694</v>
      </c>
      <c r="R342" s="13" t="s">
        <v>2497</v>
      </c>
      <c r="S342" s="13" t="s">
        <v>560</v>
      </c>
      <c r="T342" s="13" t="s">
        <v>561</v>
      </c>
      <c r="U342" s="13" t="s">
        <v>525</v>
      </c>
      <c r="V342" s="47">
        <f>SUMIF(Data!$E:$E,$I342,Data!$AI:$AI)</f>
        <v>0</v>
      </c>
    </row>
    <row r="343" spans="1:22" x14ac:dyDescent="0.25">
      <c r="A343" s="46" t="s">
        <v>1209</v>
      </c>
      <c r="B343" s="46" t="s">
        <v>120</v>
      </c>
      <c r="C343" s="46" t="s">
        <v>2498</v>
      </c>
      <c r="D343" s="46">
        <v>6.8099999999999994E-2</v>
      </c>
      <c r="E343" s="47">
        <f>SUMIF(Data!$E:$E,$C343,Data!$AI:$AI)</f>
        <v>0</v>
      </c>
      <c r="I343" s="13" t="s">
        <v>2499</v>
      </c>
      <c r="J343" s="13" t="s">
        <v>2500</v>
      </c>
      <c r="K343" s="13" t="s">
        <v>137</v>
      </c>
      <c r="L343" s="13" t="s">
        <v>2237</v>
      </c>
      <c r="M343" s="13" t="s">
        <v>2501</v>
      </c>
      <c r="N343" s="13">
        <v>479.09699999999998</v>
      </c>
      <c r="O343" s="13" t="s">
        <v>2502</v>
      </c>
      <c r="P343" s="13" t="s">
        <v>2503</v>
      </c>
      <c r="Q343" s="13" t="s">
        <v>416</v>
      </c>
      <c r="R343" s="13" t="s">
        <v>2504</v>
      </c>
      <c r="S343" s="13" t="s">
        <v>476</v>
      </c>
      <c r="T343" s="13" t="s">
        <v>477</v>
      </c>
      <c r="U343" s="13" t="s">
        <v>478</v>
      </c>
      <c r="V343" s="47">
        <f>SUMIF(Data!$E:$E,$I343,Data!$AI:$AI)</f>
        <v>0</v>
      </c>
    </row>
    <row r="344" spans="1:22" x14ac:dyDescent="0.25">
      <c r="A344" s="46" t="s">
        <v>1209</v>
      </c>
      <c r="B344" s="46" t="s">
        <v>120</v>
      </c>
      <c r="C344" s="46" t="s">
        <v>2505</v>
      </c>
      <c r="D344" s="46">
        <v>7.1900000000000006E-2</v>
      </c>
      <c r="E344" s="47">
        <f>SUMIF(Data!$E:$E,$C344,Data!$AI:$AI)</f>
        <v>0</v>
      </c>
      <c r="I344" s="13" t="s">
        <v>2506</v>
      </c>
      <c r="J344" s="13" t="s">
        <v>2507</v>
      </c>
      <c r="K344" s="13" t="s">
        <v>137</v>
      </c>
      <c r="L344" s="13" t="s">
        <v>2237</v>
      </c>
      <c r="M344" s="13" t="s">
        <v>2508</v>
      </c>
      <c r="N344" s="13">
        <v>197.29400000000001</v>
      </c>
      <c r="O344" s="13" t="s">
        <v>2509</v>
      </c>
      <c r="P344" s="13" t="s">
        <v>2510</v>
      </c>
      <c r="Q344" s="13" t="s">
        <v>806</v>
      </c>
      <c r="R344" s="13" t="s">
        <v>2511</v>
      </c>
      <c r="S344" s="13" t="s">
        <v>192</v>
      </c>
      <c r="T344" s="13" t="s">
        <v>146</v>
      </c>
      <c r="U344" s="13" t="s">
        <v>110</v>
      </c>
      <c r="V344" s="47">
        <f>SUMIF(Data!$E:$E,$I344,Data!$AI:$AI)</f>
        <v>0</v>
      </c>
    </row>
    <row r="345" spans="1:22" x14ac:dyDescent="0.25">
      <c r="A345" s="46" t="s">
        <v>1209</v>
      </c>
      <c r="B345" s="46" t="s">
        <v>120</v>
      </c>
      <c r="C345" s="46" t="s">
        <v>2512</v>
      </c>
      <c r="D345" s="46">
        <v>8.2600000000000007E-2</v>
      </c>
      <c r="E345" s="47">
        <f>SUMIF(Data!$E:$E,$C345,Data!$AI:$AI)</f>
        <v>0</v>
      </c>
      <c r="I345" s="13" t="s">
        <v>2513</v>
      </c>
      <c r="J345" s="13" t="s">
        <v>2514</v>
      </c>
      <c r="K345" s="13" t="s">
        <v>137</v>
      </c>
      <c r="L345" s="13" t="s">
        <v>2237</v>
      </c>
      <c r="M345" s="13" t="s">
        <v>2515</v>
      </c>
      <c r="N345" s="13">
        <v>669.01900000000001</v>
      </c>
      <c r="O345" s="13" t="s">
        <v>2516</v>
      </c>
      <c r="P345" s="13" t="s">
        <v>2517</v>
      </c>
      <c r="Q345" s="13" t="s">
        <v>143</v>
      </c>
      <c r="R345" s="13" t="s">
        <v>2518</v>
      </c>
      <c r="S345" s="13" t="s">
        <v>523</v>
      </c>
      <c r="T345" s="13" t="s">
        <v>524</v>
      </c>
      <c r="U345" s="13" t="s">
        <v>525</v>
      </c>
      <c r="V345" s="47">
        <f>SUMIF(Data!$E:$E,$I345,Data!$AI:$AI)</f>
        <v>0</v>
      </c>
    </row>
    <row r="346" spans="1:22" x14ac:dyDescent="0.25">
      <c r="A346" s="46" t="s">
        <v>1209</v>
      </c>
      <c r="B346" s="46" t="s">
        <v>120</v>
      </c>
      <c r="C346" s="46" t="s">
        <v>2519</v>
      </c>
      <c r="D346" s="46">
        <v>0.17349999999999999</v>
      </c>
      <c r="E346" s="47">
        <f>SUMIF(Data!$E:$E,$C346,Data!$AI:$AI)</f>
        <v>0</v>
      </c>
      <c r="I346" s="13" t="s">
        <v>2520</v>
      </c>
      <c r="J346" s="13" t="s">
        <v>2521</v>
      </c>
      <c r="K346" s="13" t="s">
        <v>137</v>
      </c>
      <c r="L346" s="13" t="s">
        <v>2237</v>
      </c>
      <c r="M346" s="13" t="s">
        <v>2522</v>
      </c>
      <c r="N346" s="13">
        <v>477.77499999999998</v>
      </c>
      <c r="O346" s="13" t="s">
        <v>2523</v>
      </c>
      <c r="P346" s="13" t="s">
        <v>2524</v>
      </c>
      <c r="Q346" s="13" t="s">
        <v>224</v>
      </c>
      <c r="R346" s="13" t="s">
        <v>2525</v>
      </c>
      <c r="S346" s="13" t="s">
        <v>725</v>
      </c>
      <c r="T346" s="13" t="s">
        <v>726</v>
      </c>
      <c r="U346" s="13" t="s">
        <v>727</v>
      </c>
      <c r="V346" s="47">
        <f>SUMIF(Data!$E:$E,$I346,Data!$AI:$AI)</f>
        <v>0</v>
      </c>
    </row>
    <row r="347" spans="1:22" x14ac:dyDescent="0.25">
      <c r="A347" s="46" t="s">
        <v>1209</v>
      </c>
      <c r="B347" s="46" t="s">
        <v>120</v>
      </c>
      <c r="C347" s="46" t="s">
        <v>2526</v>
      </c>
      <c r="D347" s="46">
        <v>0.1171</v>
      </c>
      <c r="E347" s="47">
        <f>SUMIF(Data!$E:$E,$C347,Data!$AI:$AI)</f>
        <v>0</v>
      </c>
      <c r="I347" s="13">
        <v>7751</v>
      </c>
      <c r="J347" s="13" t="s">
        <v>2527</v>
      </c>
      <c r="K347" s="13" t="s">
        <v>137</v>
      </c>
      <c r="L347" s="13" t="s">
        <v>2528</v>
      </c>
      <c r="M347" s="13" t="s">
        <v>1739</v>
      </c>
      <c r="N347" s="13">
        <v>563.86400000000003</v>
      </c>
      <c r="O347" s="13" t="s">
        <v>2529</v>
      </c>
      <c r="P347" s="13" t="s">
        <v>2530</v>
      </c>
      <c r="Q347" s="13" t="s">
        <v>143</v>
      </c>
      <c r="R347" s="13" t="s">
        <v>2531</v>
      </c>
      <c r="S347" s="13" t="s">
        <v>441</v>
      </c>
      <c r="T347" s="13" t="s">
        <v>442</v>
      </c>
      <c r="U347" s="13" t="s">
        <v>443</v>
      </c>
      <c r="V347" s="47">
        <f>SUMIF(Data!$E:$E,$I347,Data!$AI:$AI)</f>
        <v>0</v>
      </c>
    </row>
    <row r="348" spans="1:22" x14ac:dyDescent="0.25">
      <c r="A348" s="46" t="s">
        <v>1209</v>
      </c>
      <c r="B348" s="46" t="s">
        <v>120</v>
      </c>
      <c r="C348" s="46" t="s">
        <v>2532</v>
      </c>
      <c r="D348" s="46">
        <v>0.24349999999999999</v>
      </c>
      <c r="E348" s="47">
        <f>SUMIF(Data!$E:$E,$C348,Data!$AI:$AI)</f>
        <v>0</v>
      </c>
      <c r="I348" s="13">
        <v>9022</v>
      </c>
      <c r="J348" s="13" t="s">
        <v>2533</v>
      </c>
      <c r="K348" s="13" t="s">
        <v>137</v>
      </c>
      <c r="L348" s="13" t="s">
        <v>2528</v>
      </c>
      <c r="M348" s="13" t="s">
        <v>2534</v>
      </c>
      <c r="N348" s="13">
        <v>78.56</v>
      </c>
      <c r="O348" s="13" t="s">
        <v>2535</v>
      </c>
      <c r="P348" s="13" t="s">
        <v>2536</v>
      </c>
      <c r="Q348" s="13" t="s">
        <v>416</v>
      </c>
      <c r="R348" s="13" t="s">
        <v>2537</v>
      </c>
      <c r="S348" s="13" t="s">
        <v>441</v>
      </c>
      <c r="T348" s="13" t="s">
        <v>442</v>
      </c>
      <c r="U348" s="13" t="s">
        <v>443</v>
      </c>
      <c r="V348" s="47">
        <f>SUMIF(Data!$E:$E,$I348,Data!$AI:$AI)</f>
        <v>0</v>
      </c>
    </row>
    <row r="349" spans="1:22" x14ac:dyDescent="0.25">
      <c r="A349" s="46" t="s">
        <v>1209</v>
      </c>
      <c r="B349" s="46" t="s">
        <v>120</v>
      </c>
      <c r="C349" s="46">
        <v>6005247</v>
      </c>
      <c r="D349" s="46">
        <v>8.48E-2</v>
      </c>
      <c r="E349" s="47">
        <f>SUMIF(Data!$E:$E,$C349,Data!$AI:$AI)</f>
        <v>0</v>
      </c>
      <c r="I349" s="13" t="s">
        <v>2538</v>
      </c>
      <c r="J349" s="13" t="s">
        <v>2539</v>
      </c>
      <c r="K349" s="13" t="s">
        <v>137</v>
      </c>
      <c r="L349" s="13" t="s">
        <v>2528</v>
      </c>
      <c r="M349" s="13" t="s">
        <v>2540</v>
      </c>
      <c r="N349" s="13">
        <v>157.08099999999999</v>
      </c>
      <c r="O349" s="13" t="s">
        <v>2541</v>
      </c>
      <c r="P349" s="13" t="s">
        <v>2542</v>
      </c>
      <c r="Q349" s="13" t="s">
        <v>190</v>
      </c>
      <c r="R349" s="13" t="s">
        <v>2543</v>
      </c>
      <c r="S349" s="13" t="s">
        <v>476</v>
      </c>
      <c r="T349" s="13" t="s">
        <v>477</v>
      </c>
      <c r="U349" s="13" t="s">
        <v>478</v>
      </c>
      <c r="V349" s="47">
        <f>SUMIF(Data!$E:$E,$I349,Data!$AI:$AI)</f>
        <v>0</v>
      </c>
    </row>
    <row r="350" spans="1:22" x14ac:dyDescent="0.25">
      <c r="A350" s="46" t="s">
        <v>1209</v>
      </c>
      <c r="B350" s="46" t="s">
        <v>120</v>
      </c>
      <c r="C350" s="46">
        <v>6101725</v>
      </c>
      <c r="D350" s="46">
        <v>0.17019999999999999</v>
      </c>
      <c r="E350" s="47">
        <f>SUMIF(Data!$E:$E,$C350,Data!$AI:$AI)</f>
        <v>0</v>
      </c>
      <c r="I350" s="13" t="s">
        <v>2544</v>
      </c>
      <c r="J350" s="13" t="s">
        <v>2545</v>
      </c>
      <c r="K350" s="13" t="s">
        <v>137</v>
      </c>
      <c r="L350" s="13" t="s">
        <v>2528</v>
      </c>
      <c r="M350" s="13" t="s">
        <v>2546</v>
      </c>
      <c r="N350" s="13">
        <v>545.05999999999995</v>
      </c>
      <c r="O350" s="13" t="s">
        <v>2547</v>
      </c>
      <c r="P350" s="13" t="s">
        <v>2548</v>
      </c>
      <c r="Q350" s="13" t="s">
        <v>172</v>
      </c>
      <c r="R350" s="13" t="s">
        <v>2549</v>
      </c>
      <c r="S350" s="13" t="s">
        <v>560</v>
      </c>
      <c r="T350" s="13" t="s">
        <v>561</v>
      </c>
      <c r="U350" s="13" t="s">
        <v>525</v>
      </c>
      <c r="V350" s="47">
        <f>SUMIF(Data!$E:$E,$I350,Data!$AI:$AI)</f>
        <v>0</v>
      </c>
    </row>
    <row r="351" spans="1:22" x14ac:dyDescent="0.25">
      <c r="A351" s="46" t="s">
        <v>1209</v>
      </c>
      <c r="B351" s="46" t="s">
        <v>120</v>
      </c>
      <c r="C351" s="46" t="s">
        <v>2550</v>
      </c>
      <c r="D351" s="46">
        <v>0.18579999999999999</v>
      </c>
      <c r="E351" s="47">
        <f>SUMIF(Data!$E:$E,$C351,Data!$AI:$AI)</f>
        <v>0</v>
      </c>
      <c r="I351" s="13" t="s">
        <v>2551</v>
      </c>
      <c r="J351" s="13" t="s">
        <v>2552</v>
      </c>
      <c r="K351" s="13" t="s">
        <v>137</v>
      </c>
      <c r="L351" s="13" t="s">
        <v>2528</v>
      </c>
      <c r="M351" s="13" t="s">
        <v>2553</v>
      </c>
      <c r="N351" s="13">
        <v>549.95100000000002</v>
      </c>
      <c r="O351" s="13" t="s">
        <v>2554</v>
      </c>
      <c r="P351" s="13" t="s">
        <v>2555</v>
      </c>
      <c r="Q351" s="13" t="s">
        <v>734</v>
      </c>
      <c r="R351" s="13" t="s">
        <v>2556</v>
      </c>
      <c r="S351" s="13" t="s">
        <v>476</v>
      </c>
      <c r="T351" s="13" t="s">
        <v>477</v>
      </c>
      <c r="U351" s="13" t="s">
        <v>478</v>
      </c>
      <c r="V351" s="47">
        <f>SUMIF(Data!$E:$E,$I351,Data!$AI:$AI)</f>
        <v>0</v>
      </c>
    </row>
    <row r="352" spans="1:22" x14ac:dyDescent="0.25">
      <c r="A352" s="46" t="s">
        <v>1209</v>
      </c>
      <c r="B352" s="46" t="s">
        <v>120</v>
      </c>
      <c r="C352" s="46" t="s">
        <v>2557</v>
      </c>
      <c r="D352" s="46">
        <v>0.24460000000000001</v>
      </c>
      <c r="E352" s="47">
        <f>SUMIF(Data!$E:$E,$C352,Data!$AI:$AI)</f>
        <v>0</v>
      </c>
      <c r="I352" s="13" t="s">
        <v>2558</v>
      </c>
      <c r="J352" s="13" t="s">
        <v>2559</v>
      </c>
      <c r="K352" s="13" t="s">
        <v>137</v>
      </c>
      <c r="L352" s="13" t="s">
        <v>2528</v>
      </c>
      <c r="M352" s="13" t="s">
        <v>2560</v>
      </c>
      <c r="N352" s="13">
        <v>445.55900000000003</v>
      </c>
      <c r="O352" s="13" t="s">
        <v>2561</v>
      </c>
      <c r="P352" s="13" t="s">
        <v>2562</v>
      </c>
      <c r="Q352" s="13" t="s">
        <v>162</v>
      </c>
      <c r="R352" s="13" t="s">
        <v>2563</v>
      </c>
      <c r="S352" s="13" t="s">
        <v>145</v>
      </c>
      <c r="T352" s="13" t="s">
        <v>146</v>
      </c>
      <c r="U352" s="13" t="s">
        <v>110</v>
      </c>
      <c r="V352" s="47">
        <f>SUMIF(Data!$E:$E,$I352,Data!$AI:$AI)</f>
        <v>0</v>
      </c>
    </row>
    <row r="353" spans="1:22" x14ac:dyDescent="0.25">
      <c r="A353" s="46" t="s">
        <v>1209</v>
      </c>
      <c r="B353" s="46" t="s">
        <v>120</v>
      </c>
      <c r="C353" s="46" t="s">
        <v>2564</v>
      </c>
      <c r="D353" s="46">
        <v>0.1925</v>
      </c>
      <c r="E353" s="47">
        <f>SUMIF(Data!$E:$E,$C353,Data!$AI:$AI)</f>
        <v>0</v>
      </c>
      <c r="I353" s="13" t="s">
        <v>2565</v>
      </c>
      <c r="J353" s="13" t="s">
        <v>2566</v>
      </c>
      <c r="K353" s="13" t="s">
        <v>137</v>
      </c>
      <c r="L353" s="13" t="s">
        <v>2528</v>
      </c>
      <c r="M353" s="13" t="s">
        <v>2567</v>
      </c>
      <c r="N353" s="13">
        <v>169.03</v>
      </c>
      <c r="O353" s="13" t="s">
        <v>2568</v>
      </c>
      <c r="P353" s="13" t="s">
        <v>2569</v>
      </c>
      <c r="Q353" s="13" t="s">
        <v>224</v>
      </c>
      <c r="R353" s="13" t="s">
        <v>2570</v>
      </c>
      <c r="S353" s="13" t="s">
        <v>192</v>
      </c>
      <c r="T353" s="13" t="s">
        <v>146</v>
      </c>
      <c r="U353" s="13" t="s">
        <v>110</v>
      </c>
      <c r="V353" s="47">
        <f>SUMIF(Data!$E:$E,$I353,Data!$AI:$AI)</f>
        <v>0</v>
      </c>
    </row>
    <row r="354" spans="1:22" x14ac:dyDescent="0.25">
      <c r="A354" s="46" t="s">
        <v>1209</v>
      </c>
      <c r="B354" s="46" t="s">
        <v>120</v>
      </c>
      <c r="C354" s="46" t="s">
        <v>2571</v>
      </c>
      <c r="D354" s="46">
        <v>0.20230000000000001</v>
      </c>
      <c r="E354" s="47">
        <f>SUMIF(Data!$E:$E,$C354,Data!$AI:$AI)</f>
        <v>0</v>
      </c>
      <c r="I354" s="13" t="s">
        <v>2572</v>
      </c>
      <c r="J354" s="13" t="s">
        <v>2573</v>
      </c>
      <c r="K354" s="13" t="s">
        <v>137</v>
      </c>
      <c r="L354" s="13" t="s">
        <v>2528</v>
      </c>
      <c r="M354" s="13" t="s">
        <v>2574</v>
      </c>
      <c r="N354" s="13">
        <v>85.399000000000001</v>
      </c>
      <c r="O354" s="13" t="s">
        <v>2575</v>
      </c>
      <c r="P354" s="13" t="s">
        <v>2576</v>
      </c>
      <c r="Q354" s="13" t="s">
        <v>143</v>
      </c>
      <c r="R354" s="13" t="s">
        <v>2577</v>
      </c>
      <c r="S354" s="13" t="s">
        <v>145</v>
      </c>
      <c r="T354" s="13" t="s">
        <v>146</v>
      </c>
      <c r="U354" s="13" t="s">
        <v>110</v>
      </c>
      <c r="V354" s="47">
        <f>SUMIF(Data!$E:$E,$I354,Data!$AI:$AI)</f>
        <v>0</v>
      </c>
    </row>
    <row r="355" spans="1:22" x14ac:dyDescent="0.25">
      <c r="A355" s="46" t="s">
        <v>1209</v>
      </c>
      <c r="B355" s="46" t="s">
        <v>120</v>
      </c>
      <c r="C355" s="46" t="s">
        <v>2578</v>
      </c>
      <c r="D355" s="46">
        <v>0.38869999999999999</v>
      </c>
      <c r="E355" s="47">
        <f>SUMIF(Data!$E:$E,$C355,Data!$AI:$AI)</f>
        <v>0</v>
      </c>
      <c r="I355" s="13" t="s">
        <v>2579</v>
      </c>
      <c r="J355" s="13" t="s">
        <v>2580</v>
      </c>
      <c r="K355" s="13" t="s">
        <v>137</v>
      </c>
      <c r="L355" s="13" t="s">
        <v>2528</v>
      </c>
      <c r="M355" s="13" t="s">
        <v>2581</v>
      </c>
      <c r="N355" s="13">
        <v>319.54300000000001</v>
      </c>
      <c r="O355" s="13" t="s">
        <v>2582</v>
      </c>
      <c r="P355" s="13" t="s">
        <v>2583</v>
      </c>
      <c r="Q355" s="13" t="s">
        <v>190</v>
      </c>
      <c r="R355" s="13" t="s">
        <v>2584</v>
      </c>
      <c r="S355" s="13" t="s">
        <v>725</v>
      </c>
      <c r="T355" s="13" t="s">
        <v>726</v>
      </c>
      <c r="U355" s="13" t="s">
        <v>727</v>
      </c>
      <c r="V355" s="47">
        <f>SUMIF(Data!$E:$E,$I355,Data!$AI:$AI)</f>
        <v>0</v>
      </c>
    </row>
    <row r="356" spans="1:22" x14ac:dyDescent="0.25">
      <c r="A356" s="46" t="s">
        <v>1209</v>
      </c>
      <c r="B356" s="46" t="s">
        <v>120</v>
      </c>
      <c r="C356" s="46">
        <v>6004404</v>
      </c>
      <c r="D356" s="46">
        <v>9.3899999999999997E-2</v>
      </c>
      <c r="E356" s="47">
        <f>SUMIF(Data!$E:$E,$C356,Data!$AI:$AI)</f>
        <v>0</v>
      </c>
      <c r="I356" s="13" t="s">
        <v>2585</v>
      </c>
      <c r="J356" s="13" t="s">
        <v>2586</v>
      </c>
      <c r="K356" s="13" t="s">
        <v>137</v>
      </c>
      <c r="L356" s="13" t="s">
        <v>2528</v>
      </c>
      <c r="M356" s="13" t="s">
        <v>2587</v>
      </c>
      <c r="N356" s="13">
        <v>102.209</v>
      </c>
      <c r="O356" s="13" t="s">
        <v>2588</v>
      </c>
      <c r="P356" s="13" t="s">
        <v>2589</v>
      </c>
      <c r="Q356" s="13" t="s">
        <v>208</v>
      </c>
      <c r="R356" s="13" t="s">
        <v>2590</v>
      </c>
      <c r="S356" s="13" t="s">
        <v>192</v>
      </c>
      <c r="T356" s="13" t="s">
        <v>146</v>
      </c>
      <c r="U356" s="13" t="s">
        <v>110</v>
      </c>
      <c r="V356" s="47">
        <f>SUMIF(Data!$E:$E,$I356,Data!$AI:$AI)</f>
        <v>0</v>
      </c>
    </row>
    <row r="357" spans="1:22" x14ac:dyDescent="0.25">
      <c r="A357" s="46" t="s">
        <v>1209</v>
      </c>
      <c r="B357" s="46" t="s">
        <v>120</v>
      </c>
      <c r="C357" s="46" t="s">
        <v>2591</v>
      </c>
      <c r="D357" s="46">
        <v>0.1615</v>
      </c>
      <c r="E357" s="47">
        <f>SUMIF(Data!$E:$E,$C357,Data!$AI:$AI)</f>
        <v>0</v>
      </c>
      <c r="I357" s="13" t="s">
        <v>2592</v>
      </c>
      <c r="J357" s="13" t="s">
        <v>2593</v>
      </c>
      <c r="K357" s="13" t="s">
        <v>137</v>
      </c>
      <c r="L357" s="13" t="s">
        <v>2528</v>
      </c>
      <c r="M357" s="13" t="s">
        <v>2594</v>
      </c>
      <c r="N357" s="13" t="s">
        <v>2595</v>
      </c>
      <c r="O357" s="13" t="s">
        <v>2596</v>
      </c>
      <c r="P357" s="13" t="s">
        <v>2597</v>
      </c>
      <c r="Q357" s="13" t="s">
        <v>416</v>
      </c>
      <c r="R357" s="13" t="s">
        <v>2598</v>
      </c>
      <c r="S357" s="13" t="s">
        <v>847</v>
      </c>
      <c r="T357" s="13" t="s">
        <v>848</v>
      </c>
      <c r="U357" s="13" t="s">
        <v>849</v>
      </c>
      <c r="V357" s="47">
        <f>SUMIF(Data!$E:$E,$I357,Data!$AI:$AI)</f>
        <v>0</v>
      </c>
    </row>
    <row r="358" spans="1:22" x14ac:dyDescent="0.25">
      <c r="A358" s="46" t="s">
        <v>1209</v>
      </c>
      <c r="B358" s="46" t="s">
        <v>120</v>
      </c>
      <c r="C358" s="46" t="s">
        <v>2599</v>
      </c>
      <c r="D358" s="46">
        <v>7.4300000000000005E-2</v>
      </c>
      <c r="E358" s="47">
        <f>SUMIF(Data!$E:$E,$C358,Data!$AI:$AI)</f>
        <v>0</v>
      </c>
      <c r="I358" s="13" t="s">
        <v>2600</v>
      </c>
      <c r="J358" s="13" t="s">
        <v>2601</v>
      </c>
      <c r="K358" s="13" t="s">
        <v>137</v>
      </c>
      <c r="L358" s="13" t="s">
        <v>2528</v>
      </c>
      <c r="M358" s="13" t="s">
        <v>2602</v>
      </c>
      <c r="N358" s="13">
        <v>73.328000000000003</v>
      </c>
      <c r="O358" s="13" t="s">
        <v>2603</v>
      </c>
      <c r="P358" s="13" t="s">
        <v>2604</v>
      </c>
      <c r="Q358" s="13" t="s">
        <v>806</v>
      </c>
      <c r="R358" s="13" t="s">
        <v>2605</v>
      </c>
      <c r="S358" s="13" t="s">
        <v>192</v>
      </c>
      <c r="T358" s="13" t="s">
        <v>146</v>
      </c>
      <c r="U358" s="13" t="s">
        <v>110</v>
      </c>
      <c r="V358" s="47">
        <f>SUMIF(Data!$E:$E,$I358,Data!$AI:$AI)</f>
        <v>0</v>
      </c>
    </row>
    <row r="359" spans="1:22" x14ac:dyDescent="0.25">
      <c r="A359" s="46" t="s">
        <v>1209</v>
      </c>
      <c r="B359" s="46" t="s">
        <v>120</v>
      </c>
      <c r="C359" s="46" t="s">
        <v>2606</v>
      </c>
      <c r="D359" s="46">
        <v>0.188</v>
      </c>
      <c r="E359" s="47">
        <f>SUMIF(Data!$E:$E,$C359,Data!$AI:$AI)</f>
        <v>0</v>
      </c>
      <c r="I359" s="13">
        <v>6503</v>
      </c>
      <c r="J359" s="13" t="s">
        <v>2607</v>
      </c>
      <c r="K359" s="13" t="s">
        <v>137</v>
      </c>
      <c r="L359" s="13" t="s">
        <v>2528</v>
      </c>
      <c r="M359" s="13" t="s">
        <v>2608</v>
      </c>
      <c r="N359" s="13" t="s">
        <v>2609</v>
      </c>
      <c r="O359" s="13" t="s">
        <v>2610</v>
      </c>
      <c r="P359" s="13" t="s">
        <v>2611</v>
      </c>
      <c r="Q359" s="13" t="s">
        <v>416</v>
      </c>
      <c r="R359" s="13" t="s">
        <v>2612</v>
      </c>
      <c r="S359" s="13" t="s">
        <v>441</v>
      </c>
      <c r="T359" s="13" t="s">
        <v>442</v>
      </c>
      <c r="U359" s="13" t="s">
        <v>443</v>
      </c>
      <c r="V359" s="47">
        <f>SUMIF(Data!$E:$E,$I359,Data!$AI:$AI)</f>
        <v>0</v>
      </c>
    </row>
    <row r="360" spans="1:22" x14ac:dyDescent="0.25">
      <c r="A360" s="46" t="s">
        <v>1209</v>
      </c>
      <c r="B360" s="46" t="s">
        <v>120</v>
      </c>
      <c r="C360" s="46" t="s">
        <v>2613</v>
      </c>
      <c r="D360" s="46">
        <v>0.46329999999999999</v>
      </c>
      <c r="E360" s="47">
        <f>SUMIF(Data!$E:$E,$C360,Data!$AI:$AI)</f>
        <v>0</v>
      </c>
      <c r="I360" s="13" t="s">
        <v>2614</v>
      </c>
      <c r="J360" s="13" t="s">
        <v>2615</v>
      </c>
      <c r="K360" s="13" t="s">
        <v>137</v>
      </c>
      <c r="L360" s="13" t="s">
        <v>2528</v>
      </c>
      <c r="M360" s="13" t="s">
        <v>2616</v>
      </c>
      <c r="N360" s="13">
        <v>137.63</v>
      </c>
      <c r="O360" s="13" t="s">
        <v>2617</v>
      </c>
      <c r="P360" s="13" t="s">
        <v>2618</v>
      </c>
      <c r="Q360" s="13" t="s">
        <v>143</v>
      </c>
      <c r="R360" s="13" t="s">
        <v>2619</v>
      </c>
      <c r="S360" s="13" t="s">
        <v>145</v>
      </c>
      <c r="T360" s="13" t="s">
        <v>146</v>
      </c>
      <c r="U360" s="13" t="s">
        <v>110</v>
      </c>
      <c r="V360" s="47">
        <f>SUMIF(Data!$E:$E,$I360,Data!$AI:$AI)</f>
        <v>0</v>
      </c>
    </row>
    <row r="361" spans="1:22" x14ac:dyDescent="0.25">
      <c r="A361" s="46" t="s">
        <v>1209</v>
      </c>
      <c r="B361" s="46" t="s">
        <v>120</v>
      </c>
      <c r="C361" s="46" t="s">
        <v>2620</v>
      </c>
      <c r="D361" s="46">
        <v>0.2676</v>
      </c>
      <c r="E361" s="47">
        <f>SUMIF(Data!$E:$E,$C361,Data!$AI:$AI)</f>
        <v>0</v>
      </c>
      <c r="I361" s="13" t="s">
        <v>2621</v>
      </c>
      <c r="J361" s="13" t="s">
        <v>2622</v>
      </c>
      <c r="K361" s="13" t="s">
        <v>137</v>
      </c>
      <c r="L361" s="13" t="s">
        <v>2528</v>
      </c>
      <c r="M361" s="13" t="s">
        <v>2623</v>
      </c>
      <c r="N361" s="13" t="s">
        <v>2624</v>
      </c>
      <c r="O361" s="13" t="s">
        <v>2625</v>
      </c>
      <c r="P361" s="13" t="s">
        <v>2626</v>
      </c>
      <c r="Q361" s="13" t="s">
        <v>190</v>
      </c>
      <c r="R361" s="13" t="s">
        <v>2627</v>
      </c>
      <c r="S361" s="13" t="s">
        <v>476</v>
      </c>
      <c r="T361" s="13" t="s">
        <v>477</v>
      </c>
      <c r="U361" s="13" t="s">
        <v>478</v>
      </c>
      <c r="V361" s="47">
        <f>SUMIF(Data!$E:$E,$I361,Data!$AI:$AI)</f>
        <v>0</v>
      </c>
    </row>
    <row r="362" spans="1:22" x14ac:dyDescent="0.25">
      <c r="A362" s="46" t="s">
        <v>1209</v>
      </c>
      <c r="B362" s="46" t="s">
        <v>120</v>
      </c>
      <c r="C362" s="46" t="s">
        <v>2628</v>
      </c>
      <c r="D362" s="46">
        <v>0.3251</v>
      </c>
      <c r="E362" s="47">
        <f>SUMIF(Data!$E:$E,$C362,Data!$AI:$AI)</f>
        <v>0</v>
      </c>
      <c r="I362" s="13" t="s">
        <v>2629</v>
      </c>
      <c r="J362" s="13" t="s">
        <v>2630</v>
      </c>
      <c r="K362" s="13" t="s">
        <v>137</v>
      </c>
      <c r="L362" s="13" t="s">
        <v>2528</v>
      </c>
      <c r="M362" s="13" t="s">
        <v>2631</v>
      </c>
      <c r="N362" s="13">
        <v>13.396000000000001</v>
      </c>
      <c r="O362" s="13" t="s">
        <v>2632</v>
      </c>
      <c r="P362" s="13" t="s">
        <v>2633</v>
      </c>
      <c r="Q362" s="13" t="s">
        <v>162</v>
      </c>
      <c r="R362" s="13" t="s">
        <v>2634</v>
      </c>
      <c r="S362" s="13" t="s">
        <v>192</v>
      </c>
      <c r="T362" s="13" t="s">
        <v>146</v>
      </c>
      <c r="U362" s="13" t="s">
        <v>110</v>
      </c>
      <c r="V362" s="47">
        <f>SUMIF(Data!$E:$E,$I362,Data!$AI:$AI)</f>
        <v>0</v>
      </c>
    </row>
    <row r="363" spans="1:22" x14ac:dyDescent="0.25">
      <c r="A363" s="46" t="s">
        <v>1209</v>
      </c>
      <c r="B363" s="46" t="s">
        <v>120</v>
      </c>
      <c r="C363" s="46" t="s">
        <v>2635</v>
      </c>
      <c r="D363" s="46">
        <v>0.1547</v>
      </c>
      <c r="E363" s="47">
        <f>SUMIF(Data!$E:$E,$C363,Data!$AI:$AI)</f>
        <v>0</v>
      </c>
      <c r="I363" s="13" t="s">
        <v>2636</v>
      </c>
      <c r="J363" s="13" t="s">
        <v>2637</v>
      </c>
      <c r="K363" s="13" t="s">
        <v>137</v>
      </c>
      <c r="L363" s="13" t="s">
        <v>2528</v>
      </c>
      <c r="M363" s="13" t="s">
        <v>2638</v>
      </c>
      <c r="N363" s="13">
        <v>171.67699999999999</v>
      </c>
      <c r="O363" s="13" t="s">
        <v>2639</v>
      </c>
      <c r="P363" s="13" t="s">
        <v>2640</v>
      </c>
      <c r="Q363" s="13" t="s">
        <v>694</v>
      </c>
      <c r="R363" s="13" t="s">
        <v>2641</v>
      </c>
      <c r="S363" s="13" t="s">
        <v>192</v>
      </c>
      <c r="T363" s="13" t="s">
        <v>146</v>
      </c>
      <c r="U363" s="13" t="s">
        <v>110</v>
      </c>
      <c r="V363" s="47">
        <f>SUMIF(Data!$E:$E,$I363,Data!$AI:$AI)</f>
        <v>0</v>
      </c>
    </row>
    <row r="364" spans="1:22" x14ac:dyDescent="0.25">
      <c r="A364" s="46" t="s">
        <v>1209</v>
      </c>
      <c r="B364" s="46" t="s">
        <v>120</v>
      </c>
      <c r="C364" s="46" t="s">
        <v>2642</v>
      </c>
      <c r="D364" s="46">
        <v>7.0599999999999996E-2</v>
      </c>
      <c r="E364" s="47">
        <f>SUMIF(Data!$E:$E,$C364,Data!$AI:$AI)</f>
        <v>0</v>
      </c>
      <c r="I364" s="13" t="s">
        <v>2643</v>
      </c>
      <c r="J364" s="13" t="s">
        <v>2644</v>
      </c>
      <c r="K364" s="13" t="s">
        <v>137</v>
      </c>
      <c r="L364" s="13" t="s">
        <v>2528</v>
      </c>
      <c r="M364" s="13" t="s">
        <v>2645</v>
      </c>
      <c r="N364" s="13">
        <v>841.16200000000003</v>
      </c>
      <c r="O364" s="13" t="s">
        <v>2646</v>
      </c>
      <c r="P364" s="13" t="s">
        <v>2647</v>
      </c>
      <c r="Q364" s="13" t="s">
        <v>734</v>
      </c>
      <c r="R364" s="13" t="s">
        <v>2648</v>
      </c>
      <c r="S364" s="13" t="s">
        <v>725</v>
      </c>
      <c r="T364" s="13" t="s">
        <v>726</v>
      </c>
      <c r="U364" s="13" t="s">
        <v>727</v>
      </c>
      <c r="V364" s="47">
        <f>SUMIF(Data!$E:$E,$I364,Data!$AI:$AI)</f>
        <v>0</v>
      </c>
    </row>
    <row r="365" spans="1:22" x14ac:dyDescent="0.25">
      <c r="A365" s="46" t="s">
        <v>1209</v>
      </c>
      <c r="B365" s="46" t="s">
        <v>120</v>
      </c>
      <c r="C365" s="46" t="s">
        <v>2649</v>
      </c>
      <c r="D365" s="46">
        <v>0.32279999999999998</v>
      </c>
      <c r="E365" s="47">
        <f>SUMIF(Data!$E:$E,$C365,Data!$AI:$AI)</f>
        <v>0</v>
      </c>
      <c r="I365" s="13" t="s">
        <v>2650</v>
      </c>
      <c r="J365" s="13" t="s">
        <v>2651</v>
      </c>
      <c r="K365" s="13" t="s">
        <v>137</v>
      </c>
      <c r="L365" s="13" t="s">
        <v>2528</v>
      </c>
      <c r="M365" s="13" t="s">
        <v>2256</v>
      </c>
      <c r="N365" s="13">
        <v>637.46600000000001</v>
      </c>
      <c r="O365" s="13" t="s">
        <v>2652</v>
      </c>
      <c r="P365" s="13" t="s">
        <v>2653</v>
      </c>
      <c r="Q365" s="13" t="s">
        <v>260</v>
      </c>
      <c r="R365" s="13" t="s">
        <v>2654</v>
      </c>
      <c r="S365" s="13" t="s">
        <v>192</v>
      </c>
      <c r="T365" s="13" t="s">
        <v>146</v>
      </c>
      <c r="U365" s="13" t="s">
        <v>110</v>
      </c>
      <c r="V365" s="47">
        <f>SUMIF(Data!$E:$E,$I365,Data!$AI:$AI)</f>
        <v>0</v>
      </c>
    </row>
    <row r="366" spans="1:22" x14ac:dyDescent="0.25">
      <c r="A366" s="46" t="s">
        <v>1209</v>
      </c>
      <c r="B366" s="46" t="s">
        <v>120</v>
      </c>
      <c r="C366" s="46" t="s">
        <v>2655</v>
      </c>
      <c r="D366" s="46">
        <v>0.90410000000000001</v>
      </c>
      <c r="E366" s="47">
        <f>SUMIF(Data!$E:$E,$C366,Data!$AI:$AI)</f>
        <v>0</v>
      </c>
      <c r="I366" s="13" t="s">
        <v>2656</v>
      </c>
      <c r="J366" s="13" t="s">
        <v>2657</v>
      </c>
      <c r="K366" s="13" t="s">
        <v>137</v>
      </c>
      <c r="L366" s="13" t="s">
        <v>2528</v>
      </c>
      <c r="M366" s="13" t="s">
        <v>2658</v>
      </c>
      <c r="N366" s="13">
        <v>161.71700000000001</v>
      </c>
      <c r="O366" s="13" t="s">
        <v>2659</v>
      </c>
      <c r="P366" s="13" t="s">
        <v>2660</v>
      </c>
      <c r="Q366" s="13" t="s">
        <v>694</v>
      </c>
      <c r="R366" s="13" t="s">
        <v>2661</v>
      </c>
      <c r="S366" s="13" t="s">
        <v>192</v>
      </c>
      <c r="T366" s="13" t="s">
        <v>146</v>
      </c>
      <c r="U366" s="13" t="s">
        <v>110</v>
      </c>
      <c r="V366" s="47">
        <f>SUMIF(Data!$E:$E,$I366,Data!$AI:$AI)</f>
        <v>0</v>
      </c>
    </row>
    <row r="367" spans="1:22" x14ac:dyDescent="0.25">
      <c r="A367" s="46" t="s">
        <v>1209</v>
      </c>
      <c r="B367" s="46" t="s">
        <v>120</v>
      </c>
      <c r="C367" s="46" t="s">
        <v>2662</v>
      </c>
      <c r="D367" s="46">
        <v>0.25330000000000003</v>
      </c>
      <c r="E367" s="47">
        <f>SUMIF(Data!$E:$E,$C367,Data!$AI:$AI)</f>
        <v>0</v>
      </c>
      <c r="I367" s="13" t="s">
        <v>2663</v>
      </c>
      <c r="J367" s="13" t="s">
        <v>2664</v>
      </c>
      <c r="K367" s="13" t="s">
        <v>137</v>
      </c>
      <c r="L367" s="13" t="s">
        <v>2528</v>
      </c>
      <c r="M367" s="13" t="s">
        <v>2665</v>
      </c>
      <c r="N367" s="13">
        <v>25.010999999999999</v>
      </c>
      <c r="O367" s="13" t="s">
        <v>2666</v>
      </c>
      <c r="P367" s="13" t="s">
        <v>2667</v>
      </c>
      <c r="Q367" s="13" t="s">
        <v>416</v>
      </c>
      <c r="R367" s="13" t="s">
        <v>2668</v>
      </c>
      <c r="S367" s="13" t="s">
        <v>192</v>
      </c>
      <c r="T367" s="13" t="s">
        <v>146</v>
      </c>
      <c r="U367" s="13" t="s">
        <v>110</v>
      </c>
      <c r="V367" s="47">
        <f>SUMIF(Data!$E:$E,$I367,Data!$AI:$AI)</f>
        <v>0</v>
      </c>
    </row>
    <row r="368" spans="1:22" x14ac:dyDescent="0.25">
      <c r="A368" s="46" t="s">
        <v>1209</v>
      </c>
      <c r="B368" s="46" t="s">
        <v>120</v>
      </c>
      <c r="C368" s="46" t="s">
        <v>2669</v>
      </c>
      <c r="D368" s="46">
        <v>0.32979999999999998</v>
      </c>
      <c r="E368" s="47">
        <f>SUMIF(Data!$E:$E,$C368,Data!$AI:$AI)</f>
        <v>0</v>
      </c>
      <c r="I368" s="13" t="s">
        <v>2670</v>
      </c>
      <c r="J368" s="13" t="s">
        <v>2671</v>
      </c>
      <c r="K368" s="13" t="s">
        <v>137</v>
      </c>
      <c r="L368" s="13" t="s">
        <v>2528</v>
      </c>
      <c r="M368" s="13" t="s">
        <v>2672</v>
      </c>
      <c r="N368" s="13">
        <v>196.69800000000001</v>
      </c>
      <c r="O368" s="13" t="s">
        <v>2673</v>
      </c>
      <c r="P368" s="13" t="s">
        <v>2674</v>
      </c>
      <c r="Q368" s="13" t="s">
        <v>260</v>
      </c>
      <c r="R368" s="13" t="s">
        <v>2675</v>
      </c>
      <c r="S368" s="13" t="s">
        <v>192</v>
      </c>
      <c r="T368" s="13" t="s">
        <v>146</v>
      </c>
      <c r="U368" s="13" t="s">
        <v>110</v>
      </c>
      <c r="V368" s="47">
        <f>SUMIF(Data!$E:$E,$I368,Data!$AI:$AI)</f>
        <v>0</v>
      </c>
    </row>
    <row r="369" spans="1:22" x14ac:dyDescent="0.25">
      <c r="A369" s="46" t="s">
        <v>1209</v>
      </c>
      <c r="B369" s="46" t="s">
        <v>120</v>
      </c>
      <c r="C369" s="46" t="s">
        <v>2676</v>
      </c>
      <c r="D369" s="46">
        <v>0.31209999999999999</v>
      </c>
      <c r="E369" s="47">
        <f>SUMIF(Data!$E:$E,$C369,Data!$AI:$AI)</f>
        <v>0</v>
      </c>
      <c r="I369" s="13" t="s">
        <v>2677</v>
      </c>
      <c r="J369" s="13" t="s">
        <v>2678</v>
      </c>
      <c r="K369" s="13" t="s">
        <v>137</v>
      </c>
      <c r="L369" s="13" t="s">
        <v>2528</v>
      </c>
      <c r="M369" s="13" t="s">
        <v>2679</v>
      </c>
      <c r="N369" s="13">
        <v>169.471</v>
      </c>
      <c r="O369" s="13" t="s">
        <v>2680</v>
      </c>
      <c r="P369" s="13" t="s">
        <v>2681</v>
      </c>
      <c r="Q369" s="13" t="s">
        <v>208</v>
      </c>
      <c r="R369" s="13" t="s">
        <v>2682</v>
      </c>
      <c r="S369" s="13" t="s">
        <v>192</v>
      </c>
      <c r="T369" s="13" t="s">
        <v>146</v>
      </c>
      <c r="U369" s="13" t="s">
        <v>110</v>
      </c>
      <c r="V369" s="47">
        <f>SUMIF(Data!$E:$E,$I369,Data!$AI:$AI)</f>
        <v>0</v>
      </c>
    </row>
    <row r="370" spans="1:22" x14ac:dyDescent="0.25">
      <c r="A370" s="46" t="s">
        <v>1209</v>
      </c>
      <c r="B370" s="46" t="s">
        <v>120</v>
      </c>
      <c r="C370" s="46">
        <v>6813116</v>
      </c>
      <c r="D370" s="46">
        <v>0.16750000000000001</v>
      </c>
      <c r="E370" s="47">
        <f>SUMIF(Data!$E:$E,$C370,Data!$AI:$AI)</f>
        <v>0</v>
      </c>
      <c r="I370" s="13" t="s">
        <v>2683</v>
      </c>
      <c r="J370" s="13" t="s">
        <v>2684</v>
      </c>
      <c r="K370" s="13" t="s">
        <v>137</v>
      </c>
      <c r="L370" s="13" t="s">
        <v>2528</v>
      </c>
      <c r="M370" s="13" t="s">
        <v>2685</v>
      </c>
      <c r="N370" s="13" t="s">
        <v>2686</v>
      </c>
      <c r="O370" s="13" t="s">
        <v>2687</v>
      </c>
      <c r="P370" s="13" t="s">
        <v>2688</v>
      </c>
      <c r="Q370" s="13" t="s">
        <v>172</v>
      </c>
      <c r="R370" s="13" t="s">
        <v>2689</v>
      </c>
      <c r="S370" s="13" t="s">
        <v>560</v>
      </c>
      <c r="T370" s="13" t="s">
        <v>561</v>
      </c>
      <c r="U370" s="13" t="s">
        <v>525</v>
      </c>
      <c r="V370" s="47">
        <f>SUMIF(Data!$E:$E,$I370,Data!$AI:$AI)</f>
        <v>0</v>
      </c>
    </row>
    <row r="371" spans="1:22" x14ac:dyDescent="0.25">
      <c r="A371" s="46" t="s">
        <v>1209</v>
      </c>
      <c r="B371" s="46" t="s">
        <v>120</v>
      </c>
      <c r="C371" s="46" t="s">
        <v>2690</v>
      </c>
      <c r="D371" s="46">
        <v>8.9200000000000002E-2</v>
      </c>
      <c r="E371" s="47">
        <f>SUMIF(Data!$E:$E,$C371,Data!$AI:$AI)</f>
        <v>0</v>
      </c>
      <c r="I371" s="13" t="s">
        <v>2691</v>
      </c>
      <c r="J371" s="13" t="s">
        <v>2692</v>
      </c>
      <c r="K371" s="13" t="s">
        <v>137</v>
      </c>
      <c r="L371" s="13" t="s">
        <v>2528</v>
      </c>
      <c r="M371" s="13" t="s">
        <v>2693</v>
      </c>
      <c r="N371" s="13">
        <v>335.92099999999999</v>
      </c>
      <c r="O371" s="13" t="s">
        <v>2694</v>
      </c>
      <c r="P371" s="13" t="s">
        <v>2695</v>
      </c>
      <c r="Q371" s="13" t="s">
        <v>224</v>
      </c>
      <c r="R371" s="13" t="s">
        <v>2696</v>
      </c>
      <c r="S371" s="13" t="s">
        <v>192</v>
      </c>
      <c r="T371" s="13" t="s">
        <v>146</v>
      </c>
      <c r="U371" s="13" t="s">
        <v>110</v>
      </c>
      <c r="V371" s="47">
        <f>SUMIF(Data!$E:$E,$I371,Data!$AI:$AI)</f>
        <v>0</v>
      </c>
    </row>
    <row r="372" spans="1:22" x14ac:dyDescent="0.25">
      <c r="A372" s="46" t="s">
        <v>1209</v>
      </c>
      <c r="B372" s="46" t="s">
        <v>120</v>
      </c>
      <c r="C372" s="46" t="s">
        <v>2697</v>
      </c>
      <c r="D372" s="46">
        <v>0.14030000000000001</v>
      </c>
      <c r="E372" s="47">
        <f>SUMIF(Data!$E:$E,$C372,Data!$AI:$AI)</f>
        <v>0</v>
      </c>
      <c r="I372" s="13" t="s">
        <v>2698</v>
      </c>
      <c r="J372" s="13" t="s">
        <v>2699</v>
      </c>
      <c r="K372" s="13" t="s">
        <v>137</v>
      </c>
      <c r="L372" s="13" t="s">
        <v>2528</v>
      </c>
      <c r="M372" s="13" t="s">
        <v>2700</v>
      </c>
      <c r="N372" s="13">
        <v>72.006</v>
      </c>
      <c r="O372" s="13" t="s">
        <v>2701</v>
      </c>
      <c r="P372" s="13" t="s">
        <v>2702</v>
      </c>
      <c r="Q372" s="13" t="s">
        <v>190</v>
      </c>
      <c r="R372" s="13" t="s">
        <v>2703</v>
      </c>
      <c r="S372" s="13" t="s">
        <v>145</v>
      </c>
      <c r="T372" s="13" t="s">
        <v>146</v>
      </c>
      <c r="U372" s="13" t="s">
        <v>110</v>
      </c>
      <c r="V372" s="47">
        <f>SUMIF(Data!$E:$E,$I372,Data!$AI:$AI)</f>
        <v>0</v>
      </c>
    </row>
    <row r="373" spans="1:22" x14ac:dyDescent="0.25">
      <c r="A373" s="46" t="s">
        <v>1209</v>
      </c>
      <c r="B373" s="46" t="s">
        <v>120</v>
      </c>
      <c r="C373" s="46" t="s">
        <v>2704</v>
      </c>
      <c r="D373" s="46">
        <v>0.21579999999999999</v>
      </c>
      <c r="E373" s="47">
        <f>SUMIF(Data!$E:$E,$C373,Data!$AI:$AI)</f>
        <v>0</v>
      </c>
      <c r="I373" s="13" t="s">
        <v>2705</v>
      </c>
      <c r="J373" s="13" t="s">
        <v>2706</v>
      </c>
      <c r="K373" s="13" t="s">
        <v>137</v>
      </c>
      <c r="L373" s="13" t="s">
        <v>2528</v>
      </c>
      <c r="M373" s="13" t="s">
        <v>2707</v>
      </c>
      <c r="N373" s="13">
        <v>177.89</v>
      </c>
      <c r="O373" s="13" t="s">
        <v>2708</v>
      </c>
      <c r="P373" s="13" t="s">
        <v>2709</v>
      </c>
      <c r="Q373" s="13" t="s">
        <v>162</v>
      </c>
      <c r="R373" s="13" t="s">
        <v>2710</v>
      </c>
      <c r="S373" s="13" t="s">
        <v>523</v>
      </c>
      <c r="T373" s="13" t="s">
        <v>524</v>
      </c>
      <c r="U373" s="13" t="s">
        <v>525</v>
      </c>
      <c r="V373" s="47">
        <f>SUMIF(Data!$E:$E,$I373,Data!$AI:$AI)</f>
        <v>0</v>
      </c>
    </row>
    <row r="374" spans="1:22" x14ac:dyDescent="0.25">
      <c r="A374" s="46" t="s">
        <v>1209</v>
      </c>
      <c r="B374" s="46" t="s">
        <v>120</v>
      </c>
      <c r="C374" s="46" t="s">
        <v>2711</v>
      </c>
      <c r="D374" s="46">
        <v>0.31380000000000002</v>
      </c>
      <c r="E374" s="47">
        <f>SUMIF(Data!$E:$E,$C374,Data!$AI:$AI)</f>
        <v>0</v>
      </c>
      <c r="I374" s="13" t="s">
        <v>2712</v>
      </c>
      <c r="J374" s="13" t="s">
        <v>2713</v>
      </c>
      <c r="K374" s="13" t="s">
        <v>137</v>
      </c>
      <c r="L374" s="13" t="s">
        <v>2528</v>
      </c>
      <c r="M374" s="13" t="s">
        <v>2714</v>
      </c>
      <c r="N374" s="13">
        <v>21.972999999999999</v>
      </c>
      <c r="O374" s="13" t="s">
        <v>2715</v>
      </c>
      <c r="P374" s="13" t="s">
        <v>2716</v>
      </c>
      <c r="Q374" s="13" t="s">
        <v>162</v>
      </c>
      <c r="R374" s="13" t="s">
        <v>2717</v>
      </c>
      <c r="S374" s="13" t="s">
        <v>145</v>
      </c>
      <c r="T374" s="13" t="s">
        <v>146</v>
      </c>
      <c r="U374" s="13" t="s">
        <v>110</v>
      </c>
      <c r="V374" s="47">
        <f>SUMIF(Data!$E:$E,$I374,Data!$AI:$AI)</f>
        <v>0</v>
      </c>
    </row>
    <row r="375" spans="1:22" x14ac:dyDescent="0.25">
      <c r="A375" s="46" t="s">
        <v>1209</v>
      </c>
      <c r="B375" s="46" t="s">
        <v>120</v>
      </c>
      <c r="C375" s="46" t="s">
        <v>2718</v>
      </c>
      <c r="D375" s="46">
        <v>0.4017</v>
      </c>
      <c r="E375" s="47">
        <f>SUMIF(Data!$E:$E,$C375,Data!$AI:$AI)</f>
        <v>0</v>
      </c>
      <c r="I375" s="13" t="s">
        <v>2719</v>
      </c>
      <c r="J375" s="13" t="s">
        <v>2720</v>
      </c>
      <c r="K375" s="13" t="s">
        <v>137</v>
      </c>
      <c r="L375" s="13" t="s">
        <v>2528</v>
      </c>
      <c r="M375" s="13" t="s">
        <v>2721</v>
      </c>
      <c r="N375" s="13">
        <v>985.35599999999999</v>
      </c>
      <c r="O375" s="13" t="s">
        <v>2722</v>
      </c>
      <c r="P375" s="13" t="s">
        <v>2723</v>
      </c>
      <c r="Q375" s="13" t="s">
        <v>190</v>
      </c>
      <c r="R375" s="13" t="s">
        <v>2724</v>
      </c>
      <c r="S375" s="13" t="s">
        <v>1127</v>
      </c>
      <c r="T375" s="13" t="s">
        <v>1128</v>
      </c>
      <c r="U375" s="13" t="s">
        <v>525</v>
      </c>
      <c r="V375" s="47">
        <f>SUMIF(Data!$E:$E,$I375,Data!$AI:$AI)</f>
        <v>0</v>
      </c>
    </row>
    <row r="376" spans="1:22" x14ac:dyDescent="0.25">
      <c r="A376" s="46" t="s">
        <v>1209</v>
      </c>
      <c r="B376" s="46" t="s">
        <v>120</v>
      </c>
      <c r="C376" s="46" t="s">
        <v>2725</v>
      </c>
      <c r="D376" s="46">
        <v>4.5199999999999997E-2</v>
      </c>
      <c r="E376" s="47">
        <f>SUMIF(Data!$E:$E,$C376,Data!$AI:$AI)</f>
        <v>0</v>
      </c>
      <c r="I376" s="13" t="s">
        <v>2726</v>
      </c>
      <c r="J376" s="13" t="s">
        <v>2727</v>
      </c>
      <c r="K376" s="13" t="s">
        <v>137</v>
      </c>
      <c r="L376" s="13" t="s">
        <v>2528</v>
      </c>
      <c r="M376" s="13" t="s">
        <v>2728</v>
      </c>
      <c r="N376" s="13">
        <v>206.87700000000001</v>
      </c>
      <c r="O376" s="13" t="s">
        <v>2729</v>
      </c>
      <c r="P376" s="13" t="s">
        <v>2730</v>
      </c>
      <c r="Q376" s="13" t="s">
        <v>162</v>
      </c>
      <c r="R376" s="13" t="s">
        <v>2731</v>
      </c>
      <c r="S376" s="13" t="s">
        <v>192</v>
      </c>
      <c r="T376" s="13" t="s">
        <v>146</v>
      </c>
      <c r="U376" s="13" t="s">
        <v>110</v>
      </c>
      <c r="V376" s="47">
        <f>SUMIF(Data!$E:$E,$I376,Data!$AI:$AI)</f>
        <v>0</v>
      </c>
    </row>
    <row r="377" spans="1:22" x14ac:dyDescent="0.25">
      <c r="A377" s="46" t="s">
        <v>1209</v>
      </c>
      <c r="B377" s="46" t="s">
        <v>120</v>
      </c>
      <c r="C377" s="46" t="s">
        <v>2732</v>
      </c>
      <c r="D377" s="46">
        <v>0.1908</v>
      </c>
      <c r="E377" s="47">
        <f>SUMIF(Data!$E:$E,$C377,Data!$AI:$AI)</f>
        <v>0</v>
      </c>
      <c r="I377" s="13">
        <v>6273</v>
      </c>
      <c r="J377" s="13" t="s">
        <v>2733</v>
      </c>
      <c r="K377" s="13" t="s">
        <v>137</v>
      </c>
      <c r="L377" s="13" t="s">
        <v>2528</v>
      </c>
      <c r="M377" s="13" t="s">
        <v>2734</v>
      </c>
      <c r="N377" s="13">
        <v>30.245000000000001</v>
      </c>
      <c r="O377" s="13" t="s">
        <v>2735</v>
      </c>
      <c r="P377" s="13" t="s">
        <v>2736</v>
      </c>
      <c r="Q377" s="13" t="s">
        <v>416</v>
      </c>
      <c r="R377" s="13" t="s">
        <v>2737</v>
      </c>
      <c r="S377" s="13" t="s">
        <v>441</v>
      </c>
      <c r="T377" s="13" t="s">
        <v>442</v>
      </c>
      <c r="U377" s="13" t="s">
        <v>443</v>
      </c>
      <c r="V377" s="47">
        <f>SUMIF(Data!$E:$E,$I377,Data!$AI:$AI)</f>
        <v>0</v>
      </c>
    </row>
    <row r="378" spans="1:22" x14ac:dyDescent="0.25">
      <c r="A378" s="46" t="s">
        <v>1209</v>
      </c>
      <c r="B378" s="46" t="s">
        <v>120</v>
      </c>
      <c r="C378" s="46" t="s">
        <v>2738</v>
      </c>
      <c r="D378" s="46">
        <v>0.14960000000000001</v>
      </c>
      <c r="E378" s="47">
        <f>SUMIF(Data!$E:$E,$C378,Data!$AI:$AI)</f>
        <v>0</v>
      </c>
      <c r="I378" s="13">
        <v>4661</v>
      </c>
      <c r="J378" s="13" t="s">
        <v>2739</v>
      </c>
      <c r="K378" s="13" t="s">
        <v>137</v>
      </c>
      <c r="L378" s="13" t="s">
        <v>2528</v>
      </c>
      <c r="M378" s="13" t="s">
        <v>2740</v>
      </c>
      <c r="N378" s="13">
        <v>100.6</v>
      </c>
      <c r="O378" s="13" t="s">
        <v>2741</v>
      </c>
      <c r="P378" s="13" t="s">
        <v>2742</v>
      </c>
      <c r="Q378" s="13" t="s">
        <v>162</v>
      </c>
      <c r="R378" s="13" t="s">
        <v>2743</v>
      </c>
      <c r="S378" s="13" t="s">
        <v>441</v>
      </c>
      <c r="T378" s="13" t="s">
        <v>442</v>
      </c>
      <c r="U378" s="13" t="s">
        <v>443</v>
      </c>
      <c r="V378" s="47">
        <f>SUMIF(Data!$E:$E,$I378,Data!$AI:$AI)</f>
        <v>0</v>
      </c>
    </row>
    <row r="379" spans="1:22" x14ac:dyDescent="0.25">
      <c r="A379" s="46" t="s">
        <v>1209</v>
      </c>
      <c r="B379" s="46" t="s">
        <v>120</v>
      </c>
      <c r="C379" s="46">
        <v>6802943</v>
      </c>
      <c r="D379" s="46">
        <v>0.25440000000000002</v>
      </c>
      <c r="E379" s="47">
        <f>SUMIF(Data!$E:$E,$C379,Data!$AI:$AI)</f>
        <v>0</v>
      </c>
      <c r="I379" s="13" t="s">
        <v>2744</v>
      </c>
      <c r="J379" s="13" t="s">
        <v>2745</v>
      </c>
      <c r="K379" s="13" t="s">
        <v>137</v>
      </c>
      <c r="L379" s="13" t="s">
        <v>2528</v>
      </c>
      <c r="M379" s="13" t="s">
        <v>2746</v>
      </c>
      <c r="N379" s="13">
        <v>100.76</v>
      </c>
      <c r="O379" s="13" t="s">
        <v>2747</v>
      </c>
      <c r="P379" s="13" t="s">
        <v>2748</v>
      </c>
      <c r="Q379" s="13" t="s">
        <v>208</v>
      </c>
      <c r="R379" s="13" t="s">
        <v>2749</v>
      </c>
      <c r="S379" s="13" t="s">
        <v>192</v>
      </c>
      <c r="T379" s="13" t="s">
        <v>146</v>
      </c>
      <c r="U379" s="13" t="s">
        <v>110</v>
      </c>
      <c r="V379" s="47">
        <f>SUMIF(Data!$E:$E,$I379,Data!$AI:$AI)</f>
        <v>0</v>
      </c>
    </row>
    <row r="380" spans="1:22" x14ac:dyDescent="0.25">
      <c r="A380" s="46" t="s">
        <v>1209</v>
      </c>
      <c r="B380" s="46" t="s">
        <v>120</v>
      </c>
      <c r="C380" s="46" t="s">
        <v>2750</v>
      </c>
      <c r="D380" s="46">
        <v>0.1595</v>
      </c>
      <c r="E380" s="47">
        <f>SUMIF(Data!$E:$E,$C380,Data!$AI:$AI)</f>
        <v>0</v>
      </c>
      <c r="I380" s="13" t="s">
        <v>2751</v>
      </c>
      <c r="J380" s="13" t="s">
        <v>2752</v>
      </c>
      <c r="K380" s="13" t="s">
        <v>137</v>
      </c>
      <c r="L380" s="13" t="s">
        <v>2528</v>
      </c>
      <c r="M380" s="13" t="s">
        <v>2753</v>
      </c>
      <c r="N380" s="13">
        <v>132.86600000000001</v>
      </c>
      <c r="O380" s="13" t="s">
        <v>2754</v>
      </c>
      <c r="P380" s="13" t="s">
        <v>2755</v>
      </c>
      <c r="Q380" s="13" t="s">
        <v>224</v>
      </c>
      <c r="R380" s="13" t="s">
        <v>2756</v>
      </c>
      <c r="S380" s="13" t="s">
        <v>642</v>
      </c>
      <c r="T380" s="13" t="s">
        <v>643</v>
      </c>
      <c r="U380" s="13" t="s">
        <v>525</v>
      </c>
      <c r="V380" s="47">
        <f>SUMIF(Data!$E:$E,$I380,Data!$AI:$AI)</f>
        <v>0</v>
      </c>
    </row>
    <row r="381" spans="1:22" x14ac:dyDescent="0.25">
      <c r="A381" s="46" t="s">
        <v>1209</v>
      </c>
      <c r="B381" s="46" t="s">
        <v>120</v>
      </c>
      <c r="C381" s="46">
        <v>6727079</v>
      </c>
      <c r="D381" s="46">
        <v>9.2200000000000004E-2</v>
      </c>
      <c r="E381" s="47">
        <f>SUMIF(Data!$E:$E,$C381,Data!$AI:$AI)</f>
        <v>0</v>
      </c>
      <c r="I381" s="13" t="s">
        <v>2757</v>
      </c>
      <c r="J381" s="13" t="s">
        <v>2758</v>
      </c>
      <c r="K381" s="13" t="s">
        <v>137</v>
      </c>
      <c r="L381" s="13" t="s">
        <v>2528</v>
      </c>
      <c r="M381" s="13" t="s">
        <v>2759</v>
      </c>
      <c r="N381" s="13">
        <v>96.78</v>
      </c>
      <c r="O381" s="13" t="s">
        <v>2760</v>
      </c>
      <c r="P381" s="13" t="s">
        <v>2761</v>
      </c>
      <c r="Q381" s="13" t="s">
        <v>260</v>
      </c>
      <c r="R381" s="13" t="s">
        <v>2762</v>
      </c>
      <c r="S381" s="13" t="s">
        <v>192</v>
      </c>
      <c r="T381" s="13" t="s">
        <v>146</v>
      </c>
      <c r="U381" s="13" t="s">
        <v>110</v>
      </c>
      <c r="V381" s="47">
        <f>SUMIF(Data!$E:$E,$I381,Data!$AI:$AI)</f>
        <v>0</v>
      </c>
    </row>
    <row r="382" spans="1:22" x14ac:dyDescent="0.25">
      <c r="A382" s="46" t="s">
        <v>1209</v>
      </c>
      <c r="B382" s="46" t="s">
        <v>120</v>
      </c>
      <c r="C382" s="46" t="s">
        <v>2763</v>
      </c>
      <c r="D382" s="46">
        <v>0.22650000000000001</v>
      </c>
      <c r="E382" s="47">
        <f>SUMIF(Data!$E:$E,$C382,Data!$AI:$AI)</f>
        <v>0</v>
      </c>
      <c r="I382" s="13" t="s">
        <v>2764</v>
      </c>
      <c r="J382" s="13" t="s">
        <v>2765</v>
      </c>
      <c r="K382" s="13" t="s">
        <v>137</v>
      </c>
      <c r="L382" s="13" t="s">
        <v>2528</v>
      </c>
      <c r="M382" s="13" t="s">
        <v>2766</v>
      </c>
      <c r="N382" s="13">
        <v>185.44200000000001</v>
      </c>
      <c r="O382" s="13" t="s">
        <v>2767</v>
      </c>
      <c r="P382" s="13" t="s">
        <v>2768</v>
      </c>
      <c r="Q382" s="13" t="s">
        <v>416</v>
      </c>
      <c r="R382" s="13" t="s">
        <v>2769</v>
      </c>
      <c r="S382" s="13" t="s">
        <v>145</v>
      </c>
      <c r="T382" s="13" t="s">
        <v>146</v>
      </c>
      <c r="U382" s="13" t="s">
        <v>110</v>
      </c>
      <c r="V382" s="47">
        <f>SUMIF(Data!$E:$E,$I382,Data!$AI:$AI)</f>
        <v>0</v>
      </c>
    </row>
    <row r="383" spans="1:22" x14ac:dyDescent="0.25">
      <c r="A383" s="46" t="s">
        <v>1209</v>
      </c>
      <c r="B383" s="46" t="s">
        <v>120</v>
      </c>
      <c r="C383" s="46" t="s">
        <v>2770</v>
      </c>
      <c r="D383" s="46">
        <v>9.7600000000000006E-2</v>
      </c>
      <c r="E383" s="47">
        <f>SUMIF(Data!$E:$E,$C383,Data!$AI:$AI)</f>
        <v>0</v>
      </c>
      <c r="I383" s="13" t="s">
        <v>2771</v>
      </c>
      <c r="J383" s="13" t="s">
        <v>2772</v>
      </c>
      <c r="K383" s="13" t="s">
        <v>137</v>
      </c>
      <c r="L383" s="13" t="s">
        <v>2528</v>
      </c>
      <c r="M383" s="13" t="s">
        <v>2773</v>
      </c>
      <c r="N383" s="13" t="s">
        <v>2774</v>
      </c>
      <c r="O383" s="13" t="s">
        <v>2775</v>
      </c>
      <c r="P383" s="13" t="s">
        <v>2776</v>
      </c>
      <c r="Q383" s="13" t="s">
        <v>416</v>
      </c>
      <c r="R383" s="13" t="s">
        <v>2777</v>
      </c>
      <c r="S383" s="13" t="s">
        <v>476</v>
      </c>
      <c r="T383" s="13" t="s">
        <v>477</v>
      </c>
      <c r="U383" s="13" t="s">
        <v>478</v>
      </c>
      <c r="V383" s="47">
        <f>SUMIF(Data!$E:$E,$I383,Data!$AI:$AI)</f>
        <v>0</v>
      </c>
    </row>
    <row r="384" spans="1:22" x14ac:dyDescent="0.25">
      <c r="A384" s="46" t="s">
        <v>1209</v>
      </c>
      <c r="B384" s="46" t="s">
        <v>120</v>
      </c>
      <c r="C384" s="46">
        <v>6241483</v>
      </c>
      <c r="D384" s="46">
        <v>6.93E-2</v>
      </c>
      <c r="E384" s="47">
        <f>SUMIF(Data!$E:$E,$C384,Data!$AI:$AI)</f>
        <v>0</v>
      </c>
      <c r="I384" s="13">
        <v>16</v>
      </c>
      <c r="J384" s="13" t="s">
        <v>2778</v>
      </c>
      <c r="K384" s="13" t="s">
        <v>137</v>
      </c>
      <c r="L384" s="13" t="s">
        <v>2528</v>
      </c>
      <c r="M384" s="13" t="s">
        <v>2779</v>
      </c>
      <c r="N384" s="13">
        <v>939.51599999999996</v>
      </c>
      <c r="O384" s="13" t="s">
        <v>2780</v>
      </c>
      <c r="P384" s="13" t="s">
        <v>2781</v>
      </c>
      <c r="Q384" s="13" t="s">
        <v>806</v>
      </c>
      <c r="R384" s="13" t="s">
        <v>2782</v>
      </c>
      <c r="S384" s="13" t="s">
        <v>549</v>
      </c>
      <c r="T384" s="13" t="s">
        <v>550</v>
      </c>
      <c r="U384" s="13" t="s">
        <v>551</v>
      </c>
      <c r="V384" s="47">
        <f>SUMIF(Data!$E:$E,$I384,Data!$AI:$AI)</f>
        <v>0</v>
      </c>
    </row>
    <row r="385" spans="1:22" x14ac:dyDescent="0.25">
      <c r="A385" s="46" t="s">
        <v>1209</v>
      </c>
      <c r="B385" s="46" t="s">
        <v>120</v>
      </c>
      <c r="C385" s="46">
        <v>6293558</v>
      </c>
      <c r="D385" s="46">
        <v>0.1676</v>
      </c>
      <c r="E385" s="47">
        <f>SUMIF(Data!$E:$E,$C385,Data!$AI:$AI)</f>
        <v>0</v>
      </c>
      <c r="I385" s="13" t="s">
        <v>2783</v>
      </c>
      <c r="J385" s="13" t="s">
        <v>2784</v>
      </c>
      <c r="K385" s="13" t="s">
        <v>137</v>
      </c>
      <c r="L385" s="13" t="s">
        <v>2528</v>
      </c>
      <c r="M385" s="13" t="s">
        <v>2785</v>
      </c>
      <c r="N385" s="13">
        <v>190.54900000000001</v>
      </c>
      <c r="O385" s="13" t="s">
        <v>2786</v>
      </c>
      <c r="P385" s="13" t="s">
        <v>2787</v>
      </c>
      <c r="Q385" s="13" t="s">
        <v>694</v>
      </c>
      <c r="R385" s="13" t="s">
        <v>2788</v>
      </c>
      <c r="S385" s="13" t="s">
        <v>192</v>
      </c>
      <c r="T385" s="13" t="s">
        <v>146</v>
      </c>
      <c r="U385" s="13" t="s">
        <v>110</v>
      </c>
      <c r="V385" s="47">
        <f>SUMIF(Data!$E:$E,$I385,Data!$AI:$AI)</f>
        <v>0</v>
      </c>
    </row>
    <row r="386" spans="1:22" x14ac:dyDescent="0.25">
      <c r="A386" s="46" t="s">
        <v>1209</v>
      </c>
      <c r="B386" s="46" t="s">
        <v>120</v>
      </c>
      <c r="C386" s="46" t="s">
        <v>2789</v>
      </c>
      <c r="D386" s="46">
        <v>3.6999999999999998E-2</v>
      </c>
      <c r="E386" s="47">
        <f>SUMIF(Data!$E:$E,$C386,Data!$AI:$AI)</f>
        <v>0</v>
      </c>
      <c r="I386" s="13" t="s">
        <v>2790</v>
      </c>
      <c r="J386" s="13" t="s">
        <v>2791</v>
      </c>
      <c r="K386" s="13" t="s">
        <v>137</v>
      </c>
      <c r="L386" s="13" t="s">
        <v>2528</v>
      </c>
      <c r="M386" s="13" t="s">
        <v>2792</v>
      </c>
      <c r="N386" s="13">
        <v>262.60599999999999</v>
      </c>
      <c r="O386" s="13" t="s">
        <v>2793</v>
      </c>
      <c r="P386" s="13" t="s">
        <v>2794</v>
      </c>
      <c r="Q386" s="13" t="s">
        <v>806</v>
      </c>
      <c r="R386" s="13" t="s">
        <v>2795</v>
      </c>
      <c r="S386" s="13" t="s">
        <v>523</v>
      </c>
      <c r="T386" s="13" t="s">
        <v>524</v>
      </c>
      <c r="U386" s="13" t="s">
        <v>525</v>
      </c>
      <c r="V386" s="47">
        <f>SUMIF(Data!$E:$E,$I386,Data!$AI:$AI)</f>
        <v>0</v>
      </c>
    </row>
    <row r="387" spans="1:22" x14ac:dyDescent="0.25">
      <c r="A387" s="46" t="s">
        <v>1209</v>
      </c>
      <c r="B387" s="46" t="s">
        <v>120</v>
      </c>
      <c r="C387" s="46" t="s">
        <v>2796</v>
      </c>
      <c r="D387" s="46">
        <v>0.1245</v>
      </c>
      <c r="E387" s="47">
        <f>SUMIF(Data!$E:$E,$C387,Data!$AI:$AI)</f>
        <v>0</v>
      </c>
      <c r="I387" s="13" t="s">
        <v>2797</v>
      </c>
      <c r="J387" s="13" t="s">
        <v>2798</v>
      </c>
      <c r="K387" s="13" t="s">
        <v>137</v>
      </c>
      <c r="L387" s="13" t="s">
        <v>2528</v>
      </c>
      <c r="M387" s="13" t="s">
        <v>2799</v>
      </c>
      <c r="N387" s="13">
        <v>408.55700000000002</v>
      </c>
      <c r="O387" s="13" t="s">
        <v>2800</v>
      </c>
      <c r="P387" s="13" t="s">
        <v>2801</v>
      </c>
      <c r="Q387" s="13" t="s">
        <v>190</v>
      </c>
      <c r="R387" s="13" t="s">
        <v>2802</v>
      </c>
      <c r="S387" s="13" t="s">
        <v>560</v>
      </c>
      <c r="T387" s="13" t="s">
        <v>561</v>
      </c>
      <c r="U387" s="13" t="s">
        <v>525</v>
      </c>
      <c r="V387" s="47">
        <f>SUMIF(Data!$E:$E,$I387,Data!$AI:$AI)</f>
        <v>0</v>
      </c>
    </row>
    <row r="388" spans="1:22" x14ac:dyDescent="0.25">
      <c r="A388" s="46" t="s">
        <v>1209</v>
      </c>
      <c r="B388" s="46" t="s">
        <v>120</v>
      </c>
      <c r="C388" s="46">
        <v>6172561</v>
      </c>
      <c r="D388" s="46">
        <v>8.3099999999999993E-2</v>
      </c>
      <c r="E388" s="47">
        <f>SUMIF(Data!$E:$E,$C388,Data!$AI:$AI)</f>
        <v>0</v>
      </c>
      <c r="I388" s="13" t="s">
        <v>2803</v>
      </c>
      <c r="J388" s="13" t="s">
        <v>2804</v>
      </c>
      <c r="K388" s="13" t="s">
        <v>137</v>
      </c>
      <c r="L388" s="13" t="s">
        <v>2528</v>
      </c>
      <c r="M388" s="13" t="s">
        <v>2805</v>
      </c>
      <c r="N388" s="13">
        <v>4.609</v>
      </c>
      <c r="O388" s="13" t="s">
        <v>2806</v>
      </c>
      <c r="P388" s="13" t="s">
        <v>2807</v>
      </c>
      <c r="Q388" s="13" t="s">
        <v>734</v>
      </c>
      <c r="R388" s="13" t="s">
        <v>2808</v>
      </c>
      <c r="S388" s="13" t="s">
        <v>226</v>
      </c>
      <c r="T388" s="13" t="s">
        <v>227</v>
      </c>
      <c r="U388" s="13" t="s">
        <v>228</v>
      </c>
      <c r="V388" s="47">
        <f>SUMIF(Data!$E:$E,$I388,Data!$AI:$AI)</f>
        <v>0</v>
      </c>
    </row>
    <row r="389" spans="1:22" x14ac:dyDescent="0.25">
      <c r="A389" s="46" t="s">
        <v>1209</v>
      </c>
      <c r="B389" s="46" t="s">
        <v>120</v>
      </c>
      <c r="C389" s="46" t="s">
        <v>2809</v>
      </c>
      <c r="D389" s="46">
        <v>7.8700000000000006E-2</v>
      </c>
      <c r="E389" s="47">
        <f>SUMIF(Data!$E:$E,$C389,Data!$AI:$AI)</f>
        <v>0</v>
      </c>
      <c r="I389" s="13" t="s">
        <v>2810</v>
      </c>
      <c r="J389" s="13" t="s">
        <v>2811</v>
      </c>
      <c r="K389" s="13" t="s">
        <v>137</v>
      </c>
      <c r="L389" s="13" t="s">
        <v>2528</v>
      </c>
      <c r="M389" s="13" t="s">
        <v>2812</v>
      </c>
      <c r="N389" s="13">
        <v>38.915999999999997</v>
      </c>
      <c r="O389" s="13" t="s">
        <v>2813</v>
      </c>
      <c r="P389" s="13" t="s">
        <v>2814</v>
      </c>
      <c r="Q389" s="13" t="s">
        <v>208</v>
      </c>
      <c r="R389" s="13" t="s">
        <v>2815</v>
      </c>
      <c r="S389" s="13" t="s">
        <v>226</v>
      </c>
      <c r="T389" s="13" t="s">
        <v>227</v>
      </c>
      <c r="U389" s="13" t="s">
        <v>228</v>
      </c>
      <c r="V389" s="47">
        <f>SUMIF(Data!$E:$E,$I389,Data!$AI:$AI)</f>
        <v>0</v>
      </c>
    </row>
    <row r="390" spans="1:22" x14ac:dyDescent="0.25">
      <c r="A390" s="46" t="s">
        <v>1209</v>
      </c>
      <c r="B390" s="46" t="s">
        <v>120</v>
      </c>
      <c r="C390" s="46" t="s">
        <v>2816</v>
      </c>
      <c r="D390" s="46">
        <v>0.11559999999999999</v>
      </c>
      <c r="E390" s="47">
        <f>SUMIF(Data!$E:$E,$C390,Data!$AI:$AI)</f>
        <v>0</v>
      </c>
      <c r="I390" s="13" t="s">
        <v>2817</v>
      </c>
      <c r="J390" s="13" t="s">
        <v>2818</v>
      </c>
      <c r="K390" s="13" t="s">
        <v>137</v>
      </c>
      <c r="L390" s="13" t="s">
        <v>2528</v>
      </c>
      <c r="M390" s="13" t="s">
        <v>2819</v>
      </c>
      <c r="N390" s="13">
        <v>179.828</v>
      </c>
      <c r="O390" s="13" t="s">
        <v>2820</v>
      </c>
      <c r="P390" s="13" t="s">
        <v>2821</v>
      </c>
      <c r="Q390" s="13" t="s">
        <v>172</v>
      </c>
      <c r="R390" s="13" t="s">
        <v>2822</v>
      </c>
      <c r="S390" s="13" t="s">
        <v>145</v>
      </c>
      <c r="T390" s="13" t="s">
        <v>146</v>
      </c>
      <c r="U390" s="13" t="s">
        <v>110</v>
      </c>
      <c r="V390" s="47">
        <f>SUMIF(Data!$E:$E,$I390,Data!$AI:$AI)</f>
        <v>0</v>
      </c>
    </row>
    <row r="391" spans="1:22" x14ac:dyDescent="0.25">
      <c r="A391" s="46" t="s">
        <v>1209</v>
      </c>
      <c r="B391" s="46" t="s">
        <v>120</v>
      </c>
      <c r="C391" s="46" t="s">
        <v>2823</v>
      </c>
      <c r="D391" s="46">
        <v>0.13020000000000001</v>
      </c>
      <c r="E391" s="47">
        <f>SUMIF(Data!$E:$E,$C391,Data!$AI:$AI)</f>
        <v>0</v>
      </c>
      <c r="I391" s="13" t="s">
        <v>2824</v>
      </c>
      <c r="J391" s="13" t="s">
        <v>2825</v>
      </c>
      <c r="K391" s="13" t="s">
        <v>137</v>
      </c>
      <c r="L391" s="13" t="s">
        <v>2528</v>
      </c>
      <c r="M391" s="13" t="s">
        <v>2826</v>
      </c>
      <c r="N391" s="13">
        <v>171.01300000000001</v>
      </c>
      <c r="O391" s="13" t="s">
        <v>2827</v>
      </c>
      <c r="P391" s="13" t="s">
        <v>2828</v>
      </c>
      <c r="Q391" s="13" t="s">
        <v>190</v>
      </c>
      <c r="R391" s="13" t="s">
        <v>2829</v>
      </c>
      <c r="S391" s="13" t="s">
        <v>192</v>
      </c>
      <c r="T391" s="13" t="s">
        <v>146</v>
      </c>
      <c r="U391" s="13" t="s">
        <v>110</v>
      </c>
      <c r="V391" s="47">
        <f>SUMIF(Data!$E:$E,$I391,Data!$AI:$AI)</f>
        <v>0</v>
      </c>
    </row>
    <row r="392" spans="1:22" x14ac:dyDescent="0.25">
      <c r="A392" s="46" t="s">
        <v>1209</v>
      </c>
      <c r="B392" s="46" t="s">
        <v>120</v>
      </c>
      <c r="C392" s="46" t="s">
        <v>2830</v>
      </c>
      <c r="D392" s="46">
        <v>0.1123</v>
      </c>
      <c r="E392" s="47">
        <f>SUMIF(Data!$E:$E,$C392,Data!$AI:$AI)</f>
        <v>0</v>
      </c>
      <c r="I392" s="13" t="s">
        <v>2831</v>
      </c>
      <c r="J392" s="13" t="s">
        <v>2832</v>
      </c>
      <c r="K392" s="13" t="s">
        <v>137</v>
      </c>
      <c r="L392" s="13" t="s">
        <v>2528</v>
      </c>
      <c r="M392" s="13" t="s">
        <v>2833</v>
      </c>
      <c r="N392" s="13">
        <v>81.66</v>
      </c>
      <c r="O392" s="13" t="s">
        <v>2834</v>
      </c>
      <c r="P392" s="13" t="s">
        <v>2835</v>
      </c>
      <c r="Q392" s="13" t="s">
        <v>416</v>
      </c>
      <c r="R392" s="13" t="s">
        <v>2836</v>
      </c>
      <c r="S392" s="13" t="s">
        <v>192</v>
      </c>
      <c r="T392" s="13" t="s">
        <v>146</v>
      </c>
      <c r="U392" s="13" t="s">
        <v>110</v>
      </c>
      <c r="V392" s="47">
        <f>SUMIF(Data!$E:$E,$I392,Data!$AI:$AI)</f>
        <v>0</v>
      </c>
    </row>
    <row r="393" spans="1:22" x14ac:dyDescent="0.25">
      <c r="A393" s="46" t="s">
        <v>1209</v>
      </c>
      <c r="B393" s="46" t="s">
        <v>120</v>
      </c>
      <c r="C393" s="46" t="s">
        <v>2837</v>
      </c>
      <c r="D393" s="46">
        <v>9.35E-2</v>
      </c>
      <c r="E393" s="47">
        <f>SUMIF(Data!$E:$E,$C393,Data!$AI:$AI)</f>
        <v>0</v>
      </c>
      <c r="I393" s="13" t="s">
        <v>2838</v>
      </c>
      <c r="J393" s="13" t="s">
        <v>2839</v>
      </c>
      <c r="K393" s="13" t="s">
        <v>137</v>
      </c>
      <c r="L393" s="13" t="s">
        <v>2528</v>
      </c>
      <c r="M393" s="13" t="s">
        <v>2840</v>
      </c>
      <c r="N393" s="13">
        <v>68.182000000000002</v>
      </c>
      <c r="O393" s="13" t="s">
        <v>2841</v>
      </c>
      <c r="P393" s="13" t="s">
        <v>2842</v>
      </c>
      <c r="Q393" s="13" t="s">
        <v>416</v>
      </c>
      <c r="R393" s="13" t="s">
        <v>2843</v>
      </c>
      <c r="S393" s="13" t="s">
        <v>192</v>
      </c>
      <c r="T393" s="13" t="s">
        <v>146</v>
      </c>
      <c r="U393" s="13" t="s">
        <v>110</v>
      </c>
      <c r="V393" s="47">
        <f>SUMIF(Data!$E:$E,$I393,Data!$AI:$AI)</f>
        <v>0</v>
      </c>
    </row>
    <row r="394" spans="1:22" x14ac:dyDescent="0.25">
      <c r="A394" s="46" t="s">
        <v>1209</v>
      </c>
      <c r="B394" s="46" t="s">
        <v>120</v>
      </c>
      <c r="C394" s="46" t="s">
        <v>2844</v>
      </c>
      <c r="D394" s="46">
        <v>0.126</v>
      </c>
      <c r="E394" s="47">
        <f>SUMIF(Data!$E:$E,$C394,Data!$AI:$AI)</f>
        <v>0</v>
      </c>
      <c r="I394" s="13">
        <v>2914</v>
      </c>
      <c r="J394" s="13" t="s">
        <v>2845</v>
      </c>
      <c r="K394" s="13" t="s">
        <v>137</v>
      </c>
      <c r="L394" s="13" t="s">
        <v>2528</v>
      </c>
      <c r="M394" s="13" t="s">
        <v>2846</v>
      </c>
      <c r="N394" s="13">
        <v>634.89800000000002</v>
      </c>
      <c r="O394" s="13" t="s">
        <v>2847</v>
      </c>
      <c r="P394" s="13" t="s">
        <v>2848</v>
      </c>
      <c r="Q394" s="13" t="s">
        <v>224</v>
      </c>
      <c r="R394" s="13" t="s">
        <v>2849</v>
      </c>
      <c r="S394" s="13" t="s">
        <v>441</v>
      </c>
      <c r="T394" s="13" t="s">
        <v>442</v>
      </c>
      <c r="U394" s="13" t="s">
        <v>443</v>
      </c>
      <c r="V394" s="47">
        <f>SUMIF(Data!$E:$E,$I394,Data!$AI:$AI)</f>
        <v>0</v>
      </c>
    </row>
    <row r="395" spans="1:22" x14ac:dyDescent="0.25">
      <c r="A395" s="46" t="s">
        <v>1209</v>
      </c>
      <c r="B395" s="46" t="s">
        <v>120</v>
      </c>
      <c r="C395" s="46" t="s">
        <v>2850</v>
      </c>
      <c r="D395" s="46">
        <v>8.6099999999999996E-2</v>
      </c>
      <c r="E395" s="47">
        <f>SUMIF(Data!$E:$E,$C395,Data!$AI:$AI)</f>
        <v>0</v>
      </c>
      <c r="I395" s="13" t="s">
        <v>2851</v>
      </c>
      <c r="J395" s="13" t="s">
        <v>2852</v>
      </c>
      <c r="K395" s="13" t="s">
        <v>137</v>
      </c>
      <c r="L395" s="13" t="s">
        <v>2528</v>
      </c>
      <c r="M395" s="13" t="s">
        <v>2853</v>
      </c>
      <c r="N395" s="13">
        <v>388.99400000000003</v>
      </c>
      <c r="O395" s="13" t="s">
        <v>2854</v>
      </c>
      <c r="P395" s="13" t="s">
        <v>2855</v>
      </c>
      <c r="Q395" s="13" t="s">
        <v>694</v>
      </c>
      <c r="R395" s="13" t="s">
        <v>2856</v>
      </c>
      <c r="S395" s="13" t="s">
        <v>192</v>
      </c>
      <c r="T395" s="13" t="s">
        <v>146</v>
      </c>
      <c r="U395" s="13" t="s">
        <v>110</v>
      </c>
      <c r="V395" s="47">
        <f>SUMIF(Data!$E:$E,$I395,Data!$AI:$AI)</f>
        <v>0</v>
      </c>
    </row>
    <row r="396" spans="1:22" x14ac:dyDescent="0.25">
      <c r="A396" s="46" t="s">
        <v>1209</v>
      </c>
      <c r="B396" s="46" t="s">
        <v>120</v>
      </c>
      <c r="C396" s="46" t="s">
        <v>2857</v>
      </c>
      <c r="D396" s="46">
        <v>0.14549999999999999</v>
      </c>
      <c r="E396" s="47">
        <f>SUMIF(Data!$E:$E,$C396,Data!$AI:$AI)</f>
        <v>0</v>
      </c>
      <c r="I396" s="13" t="s">
        <v>2858</v>
      </c>
      <c r="J396" s="13" t="s">
        <v>2859</v>
      </c>
      <c r="K396" s="13" t="s">
        <v>137</v>
      </c>
      <c r="L396" s="13" t="s">
        <v>2528</v>
      </c>
      <c r="M396" s="13" t="s">
        <v>2860</v>
      </c>
      <c r="N396" s="13">
        <v>213.63200000000001</v>
      </c>
      <c r="O396" s="13" t="s">
        <v>2861</v>
      </c>
      <c r="P396" s="13" t="s">
        <v>2862</v>
      </c>
      <c r="Q396" s="13" t="s">
        <v>208</v>
      </c>
      <c r="R396" s="13" t="s">
        <v>2863</v>
      </c>
      <c r="S396" s="13" t="s">
        <v>192</v>
      </c>
      <c r="T396" s="13" t="s">
        <v>146</v>
      </c>
      <c r="U396" s="13" t="s">
        <v>110</v>
      </c>
      <c r="V396" s="47">
        <f>SUMIF(Data!$E:$E,$I396,Data!$AI:$AI)</f>
        <v>0</v>
      </c>
    </row>
    <row r="397" spans="1:22" x14ac:dyDescent="0.25">
      <c r="A397" s="46" t="s">
        <v>1209</v>
      </c>
      <c r="B397" s="46" t="s">
        <v>120</v>
      </c>
      <c r="C397" s="46" t="s">
        <v>2864</v>
      </c>
      <c r="D397" s="46">
        <v>8.8999999999999996E-2</v>
      </c>
      <c r="E397" s="47">
        <f>SUMIF(Data!$E:$E,$C397,Data!$AI:$AI)</f>
        <v>0</v>
      </c>
      <c r="I397" s="13" t="s">
        <v>2865</v>
      </c>
      <c r="J397" s="13" t="s">
        <v>2866</v>
      </c>
      <c r="K397" s="13" t="s">
        <v>137</v>
      </c>
      <c r="L397" s="13" t="s">
        <v>2528</v>
      </c>
      <c r="M397" s="13" t="s">
        <v>2867</v>
      </c>
      <c r="N397" s="13">
        <v>163.072</v>
      </c>
      <c r="O397" s="13" t="s">
        <v>2868</v>
      </c>
      <c r="P397" s="13" t="s">
        <v>2869</v>
      </c>
      <c r="Q397" s="13" t="s">
        <v>694</v>
      </c>
      <c r="R397" s="13" t="s">
        <v>2870</v>
      </c>
      <c r="S397" s="13" t="s">
        <v>192</v>
      </c>
      <c r="T397" s="13" t="s">
        <v>146</v>
      </c>
      <c r="U397" s="13" t="s">
        <v>110</v>
      </c>
      <c r="V397" s="47">
        <f>SUMIF(Data!$E:$E,$I397,Data!$AI:$AI)</f>
        <v>0</v>
      </c>
    </row>
    <row r="398" spans="1:22" x14ac:dyDescent="0.25">
      <c r="A398" s="46" t="s">
        <v>1209</v>
      </c>
      <c r="B398" s="46" t="s">
        <v>120</v>
      </c>
      <c r="C398" s="46" t="s">
        <v>2871</v>
      </c>
      <c r="D398" s="46">
        <v>0.13420000000000001</v>
      </c>
      <c r="E398" s="47">
        <f>SUMIF(Data!$E:$E,$C398,Data!$AI:$AI)</f>
        <v>0</v>
      </c>
      <c r="I398" s="13" t="s">
        <v>2872</v>
      </c>
      <c r="J398" s="13" t="s">
        <v>2873</v>
      </c>
      <c r="K398" s="13" t="s">
        <v>137</v>
      </c>
      <c r="L398" s="13" t="s">
        <v>2528</v>
      </c>
      <c r="M398" s="13" t="s">
        <v>2874</v>
      </c>
      <c r="N398" s="13">
        <v>86.210999999999999</v>
      </c>
      <c r="O398" s="13" t="s">
        <v>2875</v>
      </c>
      <c r="P398" s="13" t="s">
        <v>2876</v>
      </c>
      <c r="Q398" s="13" t="s">
        <v>208</v>
      </c>
      <c r="R398" s="13" t="s">
        <v>2877</v>
      </c>
      <c r="S398" s="13" t="s">
        <v>192</v>
      </c>
      <c r="T398" s="13" t="s">
        <v>146</v>
      </c>
      <c r="U398" s="13" t="s">
        <v>110</v>
      </c>
      <c r="V398" s="47">
        <f>SUMIF(Data!$E:$E,$I398,Data!$AI:$AI)</f>
        <v>0</v>
      </c>
    </row>
    <row r="399" spans="1:22" x14ac:dyDescent="0.25">
      <c r="A399" s="46" t="s">
        <v>1209</v>
      </c>
      <c r="B399" s="46" t="s">
        <v>120</v>
      </c>
      <c r="C399" s="46" t="s">
        <v>2878</v>
      </c>
      <c r="D399" s="46">
        <v>9.4E-2</v>
      </c>
      <c r="E399" s="47">
        <f>SUMIF(Data!$E:$E,$C399,Data!$AI:$AI)</f>
        <v>0</v>
      </c>
      <c r="I399" s="13" t="s">
        <v>2879</v>
      </c>
      <c r="J399" s="13" t="s">
        <v>2880</v>
      </c>
      <c r="K399" s="13" t="s">
        <v>137</v>
      </c>
      <c r="L399" s="13" t="s">
        <v>2528</v>
      </c>
      <c r="M399" s="13" t="s">
        <v>2881</v>
      </c>
      <c r="N399" s="13">
        <v>253.364</v>
      </c>
      <c r="O399" s="13" t="s">
        <v>2882</v>
      </c>
      <c r="P399" s="13" t="s">
        <v>2883</v>
      </c>
      <c r="Q399" s="13" t="s">
        <v>734</v>
      </c>
      <c r="R399" s="13" t="s">
        <v>2884</v>
      </c>
      <c r="S399" s="13" t="s">
        <v>226</v>
      </c>
      <c r="T399" s="13" t="s">
        <v>227</v>
      </c>
      <c r="U399" s="13" t="s">
        <v>228</v>
      </c>
      <c r="V399" s="47">
        <f>SUMIF(Data!$E:$E,$I399,Data!$AI:$AI)</f>
        <v>0</v>
      </c>
    </row>
    <row r="400" spans="1:22" x14ac:dyDescent="0.25">
      <c r="A400" s="46" t="s">
        <v>1209</v>
      </c>
      <c r="B400" s="46" t="s">
        <v>120</v>
      </c>
      <c r="C400" s="46" t="s">
        <v>2885</v>
      </c>
      <c r="D400" s="46">
        <v>4.4200000000000003E-2</v>
      </c>
      <c r="E400" s="47">
        <f>SUMIF(Data!$E:$E,$C400,Data!$AI:$AI)</f>
        <v>0</v>
      </c>
      <c r="I400" s="13" t="s">
        <v>2886</v>
      </c>
      <c r="J400" s="13" t="s">
        <v>2887</v>
      </c>
      <c r="K400" s="13" t="s">
        <v>137</v>
      </c>
      <c r="L400" s="13" t="s">
        <v>2528</v>
      </c>
      <c r="M400" s="13" t="s">
        <v>2888</v>
      </c>
      <c r="N400" s="13">
        <v>160.59899999999999</v>
      </c>
      <c r="O400" s="13" t="s">
        <v>2889</v>
      </c>
      <c r="P400" s="13" t="s">
        <v>2890</v>
      </c>
      <c r="Q400" s="13" t="s">
        <v>143</v>
      </c>
      <c r="R400" s="13" t="s">
        <v>2891</v>
      </c>
      <c r="S400" s="13" t="s">
        <v>145</v>
      </c>
      <c r="T400" s="13" t="s">
        <v>146</v>
      </c>
      <c r="U400" s="13" t="s">
        <v>110</v>
      </c>
      <c r="V400" s="47">
        <f>SUMIF(Data!$E:$E,$I400,Data!$AI:$AI)</f>
        <v>0</v>
      </c>
    </row>
    <row r="401" spans="1:22" x14ac:dyDescent="0.25">
      <c r="A401" s="46" t="s">
        <v>1209</v>
      </c>
      <c r="B401" s="46" t="s">
        <v>120</v>
      </c>
      <c r="C401" s="46" t="s">
        <v>2892</v>
      </c>
      <c r="D401" s="46">
        <v>7.7200000000000005E-2</v>
      </c>
      <c r="E401" s="47">
        <f>SUMIF(Data!$E:$E,$C401,Data!$AI:$AI)</f>
        <v>0</v>
      </c>
      <c r="I401" s="13" t="s">
        <v>2893</v>
      </c>
      <c r="J401" s="13" t="s">
        <v>2894</v>
      </c>
      <c r="K401" s="13" t="s">
        <v>137</v>
      </c>
      <c r="L401" s="13" t="s">
        <v>2528</v>
      </c>
      <c r="M401" s="13" t="s">
        <v>2895</v>
      </c>
      <c r="N401" s="13">
        <v>57.470999999999997</v>
      </c>
      <c r="O401" s="13" t="s">
        <v>2896</v>
      </c>
      <c r="P401" s="13" t="s">
        <v>2897</v>
      </c>
      <c r="Q401" s="13" t="s">
        <v>143</v>
      </c>
      <c r="R401" s="13" t="s">
        <v>2898</v>
      </c>
      <c r="S401" s="13" t="s">
        <v>192</v>
      </c>
      <c r="T401" s="13" t="s">
        <v>146</v>
      </c>
      <c r="U401" s="13" t="s">
        <v>110</v>
      </c>
      <c r="V401" s="47">
        <f>SUMIF(Data!$E:$E,$I401,Data!$AI:$AI)</f>
        <v>0</v>
      </c>
    </row>
    <row r="402" spans="1:22" x14ac:dyDescent="0.25">
      <c r="A402" s="46" t="s">
        <v>1209</v>
      </c>
      <c r="B402" s="46" t="s">
        <v>120</v>
      </c>
      <c r="C402" s="46" t="s">
        <v>2899</v>
      </c>
      <c r="D402" s="46">
        <v>0.1421</v>
      </c>
      <c r="E402" s="47">
        <f>SUMIF(Data!$E:$E,$C402,Data!$AI:$AI)</f>
        <v>0</v>
      </c>
      <c r="I402" s="13" t="s">
        <v>2900</v>
      </c>
      <c r="J402" s="13" t="s">
        <v>2901</v>
      </c>
      <c r="K402" s="13" t="s">
        <v>137</v>
      </c>
      <c r="L402" s="13" t="s">
        <v>2528</v>
      </c>
      <c r="M402" s="13" t="s">
        <v>2902</v>
      </c>
      <c r="N402" s="13">
        <v>48.933999999999997</v>
      </c>
      <c r="O402" s="13" t="s">
        <v>2903</v>
      </c>
      <c r="P402" s="13" t="s">
        <v>2904</v>
      </c>
      <c r="Q402" s="13" t="s">
        <v>416</v>
      </c>
      <c r="R402" s="13" t="s">
        <v>2905</v>
      </c>
      <c r="S402" s="13" t="s">
        <v>145</v>
      </c>
      <c r="T402" s="13" t="s">
        <v>146</v>
      </c>
      <c r="U402" s="13" t="s">
        <v>110</v>
      </c>
      <c r="V402" s="47">
        <f>SUMIF(Data!$E:$E,$I402,Data!$AI:$AI)</f>
        <v>0</v>
      </c>
    </row>
    <row r="403" spans="1:22" x14ac:dyDescent="0.25">
      <c r="A403" s="46" t="s">
        <v>1209</v>
      </c>
      <c r="B403" s="46" t="s">
        <v>120</v>
      </c>
      <c r="C403" s="46" t="s">
        <v>2906</v>
      </c>
      <c r="D403" s="46">
        <v>4.7100000000000003E-2</v>
      </c>
      <c r="E403" s="47">
        <f>SUMIF(Data!$E:$E,$C403,Data!$AI:$AI)</f>
        <v>0</v>
      </c>
      <c r="I403" s="13" t="s">
        <v>2907</v>
      </c>
      <c r="J403" s="13" t="s">
        <v>2908</v>
      </c>
      <c r="K403" s="13" t="s">
        <v>137</v>
      </c>
      <c r="L403" s="13" t="s">
        <v>2528</v>
      </c>
      <c r="M403" s="13" t="s">
        <v>2909</v>
      </c>
      <c r="N403" s="13">
        <v>74.957999999999998</v>
      </c>
      <c r="O403" s="13" t="s">
        <v>2910</v>
      </c>
      <c r="P403" s="13" t="s">
        <v>2911</v>
      </c>
      <c r="Q403" s="13" t="s">
        <v>734</v>
      </c>
      <c r="R403" s="13" t="s">
        <v>2912</v>
      </c>
      <c r="S403" s="13" t="s">
        <v>226</v>
      </c>
      <c r="T403" s="13" t="s">
        <v>227</v>
      </c>
      <c r="U403" s="13" t="s">
        <v>228</v>
      </c>
      <c r="V403" s="47">
        <f>SUMIF(Data!$E:$E,$I403,Data!$AI:$AI)</f>
        <v>0</v>
      </c>
    </row>
    <row r="404" spans="1:22" x14ac:dyDescent="0.25">
      <c r="A404" s="46" t="s">
        <v>1209</v>
      </c>
      <c r="B404" s="46" t="s">
        <v>120</v>
      </c>
      <c r="C404" s="46" t="s">
        <v>2913</v>
      </c>
      <c r="D404" s="46">
        <v>4.3299999999999998E-2</v>
      </c>
      <c r="E404" s="47">
        <f>SUMIF(Data!$E:$E,$C404,Data!$AI:$AI)</f>
        <v>0</v>
      </c>
      <c r="I404" s="13" t="s">
        <v>2914</v>
      </c>
      <c r="J404" s="13" t="s">
        <v>2915</v>
      </c>
      <c r="K404" s="13" t="s">
        <v>137</v>
      </c>
      <c r="L404" s="13" t="s">
        <v>2528</v>
      </c>
      <c r="M404" s="13" t="s">
        <v>2916</v>
      </c>
      <c r="N404" s="13">
        <v>207.17500000000001</v>
      </c>
      <c r="O404" s="13" t="s">
        <v>2917</v>
      </c>
      <c r="P404" s="13" t="s">
        <v>2918</v>
      </c>
      <c r="Q404" s="13" t="s">
        <v>224</v>
      </c>
      <c r="R404" s="13" t="s">
        <v>2919</v>
      </c>
      <c r="S404" s="13" t="s">
        <v>145</v>
      </c>
      <c r="T404" s="13" t="s">
        <v>146</v>
      </c>
      <c r="U404" s="13" t="s">
        <v>110</v>
      </c>
      <c r="V404" s="47">
        <f>SUMIF(Data!$E:$E,$I404,Data!$AI:$AI)</f>
        <v>0</v>
      </c>
    </row>
    <row r="405" spans="1:22" x14ac:dyDescent="0.25">
      <c r="A405" s="46" t="s">
        <v>1209</v>
      </c>
      <c r="B405" s="46" t="s">
        <v>120</v>
      </c>
      <c r="C405" s="46" t="s">
        <v>2920</v>
      </c>
      <c r="D405" s="46">
        <v>5.1999999999999998E-2</v>
      </c>
      <c r="E405" s="47">
        <f>SUMIF(Data!$E:$E,$C405,Data!$AI:$AI)</f>
        <v>0</v>
      </c>
      <c r="I405" s="13" t="s">
        <v>2921</v>
      </c>
      <c r="J405" s="13" t="s">
        <v>2922</v>
      </c>
      <c r="K405" s="13" t="s">
        <v>137</v>
      </c>
      <c r="L405" s="13" t="s">
        <v>2528</v>
      </c>
      <c r="M405" s="13" t="s">
        <v>2923</v>
      </c>
      <c r="N405" s="13" t="s">
        <v>2924</v>
      </c>
      <c r="O405" s="13" t="s">
        <v>2925</v>
      </c>
      <c r="P405" s="13" t="s">
        <v>2926</v>
      </c>
      <c r="Q405" s="13" t="s">
        <v>143</v>
      </c>
      <c r="R405" s="13" t="s">
        <v>2927</v>
      </c>
      <c r="S405" s="13" t="s">
        <v>2928</v>
      </c>
      <c r="T405" s="13" t="s">
        <v>2929</v>
      </c>
      <c r="U405" s="13" t="s">
        <v>2930</v>
      </c>
      <c r="V405" s="47">
        <f>SUMIF(Data!$E:$E,$I405,Data!$AI:$AI)</f>
        <v>0</v>
      </c>
    </row>
    <row r="406" spans="1:22" x14ac:dyDescent="0.25">
      <c r="A406" s="46" t="s">
        <v>1209</v>
      </c>
      <c r="B406" s="46" t="s">
        <v>120</v>
      </c>
      <c r="C406" s="46" t="s">
        <v>2931</v>
      </c>
      <c r="D406" s="46">
        <v>6.8599999999999994E-2</v>
      </c>
      <c r="E406" s="47">
        <f>SUMIF(Data!$E:$E,$C406,Data!$AI:$AI)</f>
        <v>0</v>
      </c>
      <c r="I406" s="13" t="s">
        <v>2932</v>
      </c>
      <c r="J406" s="13" t="s">
        <v>2933</v>
      </c>
      <c r="K406" s="13" t="s">
        <v>137</v>
      </c>
      <c r="L406" s="13" t="s">
        <v>2528</v>
      </c>
      <c r="M406" s="13" t="s">
        <v>1049</v>
      </c>
      <c r="N406" s="13">
        <v>65.656999999999996</v>
      </c>
      <c r="O406" s="13" t="s">
        <v>2934</v>
      </c>
      <c r="P406" s="13" t="s">
        <v>2935</v>
      </c>
      <c r="Q406" s="13" t="s">
        <v>416</v>
      </c>
      <c r="R406" s="13" t="s">
        <v>2936</v>
      </c>
      <c r="S406" s="13" t="s">
        <v>192</v>
      </c>
      <c r="T406" s="13" t="s">
        <v>146</v>
      </c>
      <c r="U406" s="13" t="s">
        <v>110</v>
      </c>
      <c r="V406" s="47">
        <f>SUMIF(Data!$E:$E,$I406,Data!$AI:$AI)</f>
        <v>0</v>
      </c>
    </row>
    <row r="407" spans="1:22" x14ac:dyDescent="0.25">
      <c r="A407" s="46" t="s">
        <v>1209</v>
      </c>
      <c r="B407" s="46" t="s">
        <v>120</v>
      </c>
      <c r="C407" s="46">
        <v>6478957</v>
      </c>
      <c r="D407" s="46">
        <v>0.14099999999999999</v>
      </c>
      <c r="E407" s="47">
        <f>SUMIF(Data!$E:$E,$C407,Data!$AI:$AI)</f>
        <v>0</v>
      </c>
      <c r="I407" s="13" t="s">
        <v>2937</v>
      </c>
      <c r="J407" s="13" t="s">
        <v>2938</v>
      </c>
      <c r="K407" s="13" t="s">
        <v>137</v>
      </c>
      <c r="L407" s="13" t="s">
        <v>2939</v>
      </c>
      <c r="M407" s="13" t="s">
        <v>2940</v>
      </c>
      <c r="N407" s="13">
        <v>77.268000000000001</v>
      </c>
      <c r="O407" s="13" t="s">
        <v>2941</v>
      </c>
      <c r="P407" s="13" t="s">
        <v>2942</v>
      </c>
      <c r="Q407" s="13" t="s">
        <v>143</v>
      </c>
      <c r="R407" s="13" t="s">
        <v>2943</v>
      </c>
      <c r="S407" s="13" t="s">
        <v>145</v>
      </c>
      <c r="T407" s="13" t="s">
        <v>146</v>
      </c>
      <c r="U407" s="13" t="s">
        <v>110</v>
      </c>
      <c r="V407" s="47">
        <f>SUMIF(Data!$E:$E,$I407,Data!$AI:$AI)</f>
        <v>0</v>
      </c>
    </row>
    <row r="408" spans="1:22" x14ac:dyDescent="0.25">
      <c r="A408" s="46" t="s">
        <v>1209</v>
      </c>
      <c r="B408" s="46" t="s">
        <v>120</v>
      </c>
      <c r="C408" s="46" t="s">
        <v>2944</v>
      </c>
      <c r="D408" s="46">
        <v>3.0800000000000001E-2</v>
      </c>
      <c r="E408" s="47">
        <f>SUMIF(Data!$E:$E,$C408,Data!$AI:$AI)</f>
        <v>0</v>
      </c>
      <c r="I408" s="13">
        <v>1</v>
      </c>
      <c r="J408" s="13" t="s">
        <v>2945</v>
      </c>
      <c r="K408" s="13" t="s">
        <v>137</v>
      </c>
      <c r="L408" s="13" t="s">
        <v>2939</v>
      </c>
      <c r="M408" s="13" t="s">
        <v>2946</v>
      </c>
      <c r="N408" s="13" t="s">
        <v>2947</v>
      </c>
      <c r="O408" s="13" t="s">
        <v>2948</v>
      </c>
      <c r="P408" s="13" t="s">
        <v>2949</v>
      </c>
      <c r="Q408" s="13" t="s">
        <v>416</v>
      </c>
      <c r="R408" s="13" t="s">
        <v>2950</v>
      </c>
      <c r="S408" s="13" t="s">
        <v>549</v>
      </c>
      <c r="T408" s="13" t="s">
        <v>550</v>
      </c>
      <c r="U408" s="13" t="s">
        <v>551</v>
      </c>
      <c r="V408" s="47">
        <f>SUMIF(Data!$E:$E,$I408,Data!$AI:$AI)</f>
        <v>0</v>
      </c>
    </row>
    <row r="409" spans="1:22" x14ac:dyDescent="0.25">
      <c r="A409" s="46" t="s">
        <v>1209</v>
      </c>
      <c r="B409" s="46" t="s">
        <v>120</v>
      </c>
      <c r="C409" s="46" t="s">
        <v>2951</v>
      </c>
      <c r="D409" s="46">
        <v>2.6100000000000002E-2</v>
      </c>
      <c r="E409" s="47">
        <f>SUMIF(Data!$E:$E,$C409,Data!$AI:$AI)</f>
        <v>0</v>
      </c>
      <c r="I409" s="13" t="s">
        <v>2952</v>
      </c>
      <c r="J409" s="13" t="s">
        <v>2953</v>
      </c>
      <c r="K409" s="13" t="s">
        <v>137</v>
      </c>
      <c r="L409" s="13" t="s">
        <v>2939</v>
      </c>
      <c r="M409" s="13" t="s">
        <v>2954</v>
      </c>
      <c r="N409" s="13">
        <v>233.24600000000001</v>
      </c>
      <c r="O409" s="13" t="s">
        <v>2955</v>
      </c>
      <c r="P409" s="13" t="s">
        <v>2956</v>
      </c>
      <c r="Q409" s="13" t="s">
        <v>208</v>
      </c>
      <c r="R409" s="13" t="s">
        <v>2957</v>
      </c>
      <c r="S409" s="13" t="s">
        <v>226</v>
      </c>
      <c r="T409" s="13" t="s">
        <v>227</v>
      </c>
      <c r="U409" s="13" t="s">
        <v>228</v>
      </c>
      <c r="V409" s="47">
        <f>SUMIF(Data!$E:$E,$I409,Data!$AI:$AI)</f>
        <v>0</v>
      </c>
    </row>
    <row r="410" spans="1:22" x14ac:dyDescent="0.25">
      <c r="A410" s="46" t="s">
        <v>1209</v>
      </c>
      <c r="B410" s="46" t="s">
        <v>120</v>
      </c>
      <c r="C410" s="46" t="s">
        <v>2958</v>
      </c>
      <c r="D410" s="46">
        <v>9.3399999999999997E-2</v>
      </c>
      <c r="E410" s="47">
        <f>SUMIF(Data!$E:$E,$C410,Data!$AI:$AI)</f>
        <v>0</v>
      </c>
      <c r="I410" s="13" t="s">
        <v>2959</v>
      </c>
      <c r="J410" s="13" t="s">
        <v>2960</v>
      </c>
      <c r="K410" s="13" t="s">
        <v>137</v>
      </c>
      <c r="L410" s="13" t="s">
        <v>2939</v>
      </c>
      <c r="M410" s="13" t="s">
        <v>2961</v>
      </c>
      <c r="N410" s="13">
        <v>124.16</v>
      </c>
      <c r="O410" s="13" t="s">
        <v>2962</v>
      </c>
      <c r="P410" s="13" t="s">
        <v>2963</v>
      </c>
      <c r="Q410" s="13" t="s">
        <v>190</v>
      </c>
      <c r="R410" s="13" t="s">
        <v>2964</v>
      </c>
      <c r="S410" s="13" t="s">
        <v>145</v>
      </c>
      <c r="T410" s="13" t="s">
        <v>146</v>
      </c>
      <c r="U410" s="13" t="s">
        <v>110</v>
      </c>
      <c r="V410" s="47">
        <f>SUMIF(Data!$E:$E,$I410,Data!$AI:$AI)</f>
        <v>0</v>
      </c>
    </row>
    <row r="411" spans="1:22" x14ac:dyDescent="0.25">
      <c r="A411" s="46" t="s">
        <v>1209</v>
      </c>
      <c r="B411" s="46" t="s">
        <v>120</v>
      </c>
      <c r="C411" s="46" t="s">
        <v>2965</v>
      </c>
      <c r="D411" s="46">
        <v>0.10680000000000001</v>
      </c>
      <c r="E411" s="47">
        <f>SUMIF(Data!$E:$E,$C411,Data!$AI:$AI)</f>
        <v>0</v>
      </c>
      <c r="I411" s="13" t="s">
        <v>2966</v>
      </c>
      <c r="J411" s="13" t="s">
        <v>2967</v>
      </c>
      <c r="K411" s="13" t="s">
        <v>137</v>
      </c>
      <c r="L411" s="13" t="s">
        <v>2939</v>
      </c>
      <c r="M411" s="13" t="s">
        <v>2968</v>
      </c>
      <c r="N411" s="13">
        <v>567.88599999999997</v>
      </c>
      <c r="O411" s="13" t="s">
        <v>2969</v>
      </c>
      <c r="P411" s="13" t="s">
        <v>2970</v>
      </c>
      <c r="Q411" s="13" t="s">
        <v>416</v>
      </c>
      <c r="R411" s="13" t="s">
        <v>2971</v>
      </c>
      <c r="S411" s="13" t="s">
        <v>2928</v>
      </c>
      <c r="T411" s="13" t="s">
        <v>2929</v>
      </c>
      <c r="U411" s="13" t="s">
        <v>2930</v>
      </c>
      <c r="V411" s="47">
        <f>SUMIF(Data!$E:$E,$I411,Data!$AI:$AI)</f>
        <v>0</v>
      </c>
    </row>
    <row r="412" spans="1:22" x14ac:dyDescent="0.25">
      <c r="A412" s="46" t="s">
        <v>1209</v>
      </c>
      <c r="B412" s="46" t="s">
        <v>120</v>
      </c>
      <c r="C412" s="46">
        <v>6317328</v>
      </c>
      <c r="D412" s="46">
        <v>9.5200000000000007E-2</v>
      </c>
      <c r="E412" s="47">
        <f>SUMIF(Data!$E:$E,$C412,Data!$AI:$AI)</f>
        <v>0</v>
      </c>
      <c r="I412" s="13" t="s">
        <v>2972</v>
      </c>
      <c r="J412" s="13" t="s">
        <v>2973</v>
      </c>
      <c r="K412" s="13" t="s">
        <v>137</v>
      </c>
      <c r="L412" s="13" t="s">
        <v>2939</v>
      </c>
      <c r="M412" s="13" t="s">
        <v>2974</v>
      </c>
      <c r="N412" s="13">
        <v>78.11</v>
      </c>
      <c r="O412" s="13" t="s">
        <v>2975</v>
      </c>
      <c r="P412" s="13" t="s">
        <v>2976</v>
      </c>
      <c r="Q412" s="13" t="s">
        <v>190</v>
      </c>
      <c r="R412" s="13" t="s">
        <v>2977</v>
      </c>
      <c r="S412" s="13" t="s">
        <v>192</v>
      </c>
      <c r="T412" s="13" t="s">
        <v>146</v>
      </c>
      <c r="U412" s="13" t="s">
        <v>110</v>
      </c>
      <c r="V412" s="47">
        <f>SUMIF(Data!$E:$E,$I412,Data!$AI:$AI)</f>
        <v>0</v>
      </c>
    </row>
    <row r="413" spans="1:22" x14ac:dyDescent="0.25">
      <c r="A413" s="46" t="s">
        <v>1209</v>
      </c>
      <c r="B413" s="46" t="s">
        <v>120</v>
      </c>
      <c r="C413" s="46" t="s">
        <v>2978</v>
      </c>
      <c r="D413" s="46">
        <v>0.23319999999999999</v>
      </c>
      <c r="E413" s="47">
        <f>SUMIF(Data!$E:$E,$C413,Data!$AI:$AI)</f>
        <v>0</v>
      </c>
      <c r="I413" s="13" t="s">
        <v>2979</v>
      </c>
      <c r="J413" s="13" t="s">
        <v>2980</v>
      </c>
      <c r="K413" s="13" t="s">
        <v>137</v>
      </c>
      <c r="L413" s="13" t="s">
        <v>2939</v>
      </c>
      <c r="M413" s="13" t="s">
        <v>2981</v>
      </c>
      <c r="N413" s="13">
        <v>140.70599999999999</v>
      </c>
      <c r="O413" s="13" t="s">
        <v>2982</v>
      </c>
      <c r="P413" s="13" t="s">
        <v>2983</v>
      </c>
      <c r="Q413" s="13" t="s">
        <v>416</v>
      </c>
      <c r="R413" s="13" t="s">
        <v>2984</v>
      </c>
      <c r="S413" s="13" t="s">
        <v>192</v>
      </c>
      <c r="T413" s="13" t="s">
        <v>146</v>
      </c>
      <c r="U413" s="13" t="s">
        <v>110</v>
      </c>
      <c r="V413" s="47">
        <f>SUMIF(Data!$E:$E,$I413,Data!$AI:$AI)</f>
        <v>0</v>
      </c>
    </row>
    <row r="414" spans="1:22" x14ac:dyDescent="0.25">
      <c r="A414" s="46" t="s">
        <v>1209</v>
      </c>
      <c r="B414" s="46" t="s">
        <v>120</v>
      </c>
      <c r="C414" s="46" t="s">
        <v>2985</v>
      </c>
      <c r="D414" s="46">
        <v>0.24379999999999999</v>
      </c>
      <c r="E414" s="47">
        <f>SUMIF(Data!$E:$E,$C414,Data!$AI:$AI)</f>
        <v>0</v>
      </c>
      <c r="I414" s="13">
        <v>8801</v>
      </c>
      <c r="J414" s="13" t="s">
        <v>2986</v>
      </c>
      <c r="K414" s="13" t="s">
        <v>137</v>
      </c>
      <c r="L414" s="13" t="s">
        <v>2939</v>
      </c>
      <c r="M414" s="13" t="s">
        <v>2987</v>
      </c>
      <c r="N414" s="13">
        <v>527.18600000000004</v>
      </c>
      <c r="O414" s="13" t="s">
        <v>2988</v>
      </c>
      <c r="P414" s="13" t="s">
        <v>2989</v>
      </c>
      <c r="Q414" s="13" t="s">
        <v>806</v>
      </c>
      <c r="R414" s="13" t="s">
        <v>2990</v>
      </c>
      <c r="S414" s="13" t="s">
        <v>441</v>
      </c>
      <c r="T414" s="13" t="s">
        <v>442</v>
      </c>
      <c r="U414" s="13" t="s">
        <v>443</v>
      </c>
      <c r="V414" s="47">
        <f>SUMIF(Data!$E:$E,$I414,Data!$AI:$AI)</f>
        <v>0</v>
      </c>
    </row>
    <row r="415" spans="1:22" x14ac:dyDescent="0.25">
      <c r="A415" s="46" t="s">
        <v>1209</v>
      </c>
      <c r="B415" s="46" t="s">
        <v>120</v>
      </c>
      <c r="C415" s="46" t="s">
        <v>2991</v>
      </c>
      <c r="D415" s="46">
        <v>0.20849999999999999</v>
      </c>
      <c r="E415" s="47">
        <f>SUMIF(Data!$E:$E,$C415,Data!$AI:$AI)</f>
        <v>0</v>
      </c>
      <c r="I415" s="13" t="s">
        <v>2992</v>
      </c>
      <c r="J415" s="13" t="s">
        <v>2993</v>
      </c>
      <c r="K415" s="13" t="s">
        <v>137</v>
      </c>
      <c r="L415" s="13" t="s">
        <v>2939</v>
      </c>
      <c r="M415" s="13" t="s">
        <v>2994</v>
      </c>
      <c r="N415" s="13">
        <v>147.26</v>
      </c>
      <c r="O415" s="13" t="s">
        <v>2995</v>
      </c>
      <c r="P415" s="13" t="s">
        <v>2996</v>
      </c>
      <c r="Q415" s="13" t="s">
        <v>162</v>
      </c>
      <c r="R415" s="13" t="s">
        <v>2997</v>
      </c>
      <c r="S415" s="13" t="s">
        <v>192</v>
      </c>
      <c r="T415" s="13" t="s">
        <v>146</v>
      </c>
      <c r="U415" s="13" t="s">
        <v>110</v>
      </c>
      <c r="V415" s="47">
        <f>SUMIF(Data!$E:$E,$I415,Data!$AI:$AI)</f>
        <v>0</v>
      </c>
    </row>
    <row r="416" spans="1:22" x14ac:dyDescent="0.25">
      <c r="A416" s="46" t="s">
        <v>1209</v>
      </c>
      <c r="B416" s="46" t="s">
        <v>120</v>
      </c>
      <c r="C416" s="46">
        <v>6003542</v>
      </c>
      <c r="D416" s="46">
        <v>0.16470000000000001</v>
      </c>
      <c r="E416" s="47">
        <f>SUMIF(Data!$E:$E,$C416,Data!$AI:$AI)</f>
        <v>0</v>
      </c>
      <c r="I416" s="13" t="s">
        <v>2998</v>
      </c>
      <c r="J416" s="13" t="s">
        <v>2999</v>
      </c>
      <c r="K416" s="13" t="s">
        <v>137</v>
      </c>
      <c r="L416" s="13" t="s">
        <v>2939</v>
      </c>
      <c r="M416" s="13" t="s">
        <v>3000</v>
      </c>
      <c r="N416" s="13">
        <v>401.93400000000003</v>
      </c>
      <c r="O416" s="13" t="s">
        <v>3001</v>
      </c>
      <c r="P416" s="13" t="s">
        <v>3002</v>
      </c>
      <c r="Q416" s="13" t="s">
        <v>172</v>
      </c>
      <c r="R416" s="13" t="s">
        <v>3003</v>
      </c>
      <c r="S416" s="13" t="s">
        <v>192</v>
      </c>
      <c r="T416" s="13" t="s">
        <v>146</v>
      </c>
      <c r="U416" s="13" t="s">
        <v>110</v>
      </c>
      <c r="V416" s="47">
        <f>SUMIF(Data!$E:$E,$I416,Data!$AI:$AI)</f>
        <v>0</v>
      </c>
    </row>
    <row r="417" spans="1:22" x14ac:dyDescent="0.25">
      <c r="A417" s="46" t="s">
        <v>1209</v>
      </c>
      <c r="B417" s="46" t="s">
        <v>120</v>
      </c>
      <c r="C417" s="46">
        <v>6004017</v>
      </c>
      <c r="D417" s="46">
        <v>0.2467</v>
      </c>
      <c r="E417" s="47">
        <f>SUMIF(Data!$E:$E,$C417,Data!$AI:$AI)</f>
        <v>0</v>
      </c>
      <c r="I417" s="13" t="s">
        <v>3004</v>
      </c>
      <c r="J417" s="13" t="s">
        <v>3005</v>
      </c>
      <c r="K417" s="13" t="s">
        <v>137</v>
      </c>
      <c r="L417" s="13" t="s">
        <v>2939</v>
      </c>
      <c r="M417" s="13" t="s">
        <v>3006</v>
      </c>
      <c r="N417" s="13" t="s">
        <v>3007</v>
      </c>
      <c r="O417" s="13" t="s">
        <v>3008</v>
      </c>
      <c r="P417" s="13" t="s">
        <v>3009</v>
      </c>
      <c r="Q417" s="13" t="s">
        <v>190</v>
      </c>
      <c r="R417" s="13" t="s">
        <v>3010</v>
      </c>
      <c r="S417" s="13" t="s">
        <v>476</v>
      </c>
      <c r="T417" s="13" t="s">
        <v>477</v>
      </c>
      <c r="U417" s="13" t="s">
        <v>478</v>
      </c>
      <c r="V417" s="47">
        <f>SUMIF(Data!$E:$E,$I417,Data!$AI:$AI)</f>
        <v>0</v>
      </c>
    </row>
    <row r="418" spans="1:22" x14ac:dyDescent="0.25">
      <c r="A418" s="46" t="s">
        <v>1209</v>
      </c>
      <c r="B418" s="46" t="s">
        <v>120</v>
      </c>
      <c r="C418" s="46">
        <v>6018858</v>
      </c>
      <c r="D418" s="46">
        <v>0.15429999999999999</v>
      </c>
      <c r="E418" s="47">
        <f>SUMIF(Data!$E:$E,$C418,Data!$AI:$AI)</f>
        <v>0</v>
      </c>
      <c r="I418" s="13" t="s">
        <v>3011</v>
      </c>
      <c r="J418" s="13" t="s">
        <v>3012</v>
      </c>
      <c r="K418" s="13" t="s">
        <v>137</v>
      </c>
      <c r="L418" s="13" t="s">
        <v>2939</v>
      </c>
      <c r="M418" s="13" t="s">
        <v>3013</v>
      </c>
      <c r="N418" s="13">
        <v>83.757000000000005</v>
      </c>
      <c r="O418" s="13" t="s">
        <v>3014</v>
      </c>
      <c r="P418" s="13" t="s">
        <v>3015</v>
      </c>
      <c r="Q418" s="13" t="s">
        <v>208</v>
      </c>
      <c r="R418" s="13" t="s">
        <v>3016</v>
      </c>
      <c r="S418" s="13" t="s">
        <v>192</v>
      </c>
      <c r="T418" s="13" t="s">
        <v>146</v>
      </c>
      <c r="U418" s="13" t="s">
        <v>110</v>
      </c>
      <c r="V418" s="47">
        <f>SUMIF(Data!$E:$E,$I418,Data!$AI:$AI)</f>
        <v>0</v>
      </c>
    </row>
    <row r="419" spans="1:22" x14ac:dyDescent="0.25">
      <c r="A419" s="46" t="s">
        <v>1209</v>
      </c>
      <c r="B419" s="46" t="s">
        <v>120</v>
      </c>
      <c r="C419" s="46">
        <v>6086286</v>
      </c>
      <c r="D419" s="46">
        <v>0.2848</v>
      </c>
      <c r="E419" s="47">
        <f>SUMIF(Data!$E:$E,$C419,Data!$AI:$AI)</f>
        <v>0</v>
      </c>
      <c r="I419" s="13">
        <v>6971</v>
      </c>
      <c r="J419" s="13" t="s">
        <v>3017</v>
      </c>
      <c r="K419" s="13" t="s">
        <v>137</v>
      </c>
      <c r="L419" s="13" t="s">
        <v>2939</v>
      </c>
      <c r="M419" s="13" t="s">
        <v>3018</v>
      </c>
      <c r="N419" s="13">
        <v>187.714</v>
      </c>
      <c r="O419" s="13" t="s">
        <v>3019</v>
      </c>
      <c r="P419" s="13" t="s">
        <v>3020</v>
      </c>
      <c r="Q419" s="13" t="s">
        <v>143</v>
      </c>
      <c r="R419" s="13" t="s">
        <v>3021</v>
      </c>
      <c r="S419" s="13" t="s">
        <v>441</v>
      </c>
      <c r="T419" s="13" t="s">
        <v>442</v>
      </c>
      <c r="U419" s="13" t="s">
        <v>443</v>
      </c>
      <c r="V419" s="47">
        <f>SUMIF(Data!$E:$E,$I419,Data!$AI:$AI)</f>
        <v>0</v>
      </c>
    </row>
    <row r="420" spans="1:22" x14ac:dyDescent="0.25">
      <c r="A420" s="46" t="s">
        <v>1209</v>
      </c>
      <c r="B420" s="46" t="s">
        <v>120</v>
      </c>
      <c r="C420" s="46">
        <v>6201595</v>
      </c>
      <c r="D420" s="46">
        <v>6.4500000000000002E-2</v>
      </c>
      <c r="E420" s="47">
        <f>SUMIF(Data!$E:$E,$C420,Data!$AI:$AI)</f>
        <v>0</v>
      </c>
      <c r="I420" s="13" t="s">
        <v>3022</v>
      </c>
      <c r="J420" s="13" t="s">
        <v>3023</v>
      </c>
      <c r="K420" s="13" t="s">
        <v>137</v>
      </c>
      <c r="L420" s="13" t="s">
        <v>2939</v>
      </c>
      <c r="M420" s="13" t="s">
        <v>3024</v>
      </c>
      <c r="N420" s="13">
        <v>275.404</v>
      </c>
      <c r="O420" s="13" t="s">
        <v>3025</v>
      </c>
      <c r="P420" s="13" t="s">
        <v>3026</v>
      </c>
      <c r="Q420" s="13" t="s">
        <v>694</v>
      </c>
      <c r="R420" s="13" t="s">
        <v>3027</v>
      </c>
      <c r="S420" s="13" t="s">
        <v>192</v>
      </c>
      <c r="T420" s="13" t="s">
        <v>146</v>
      </c>
      <c r="U420" s="13" t="s">
        <v>110</v>
      </c>
      <c r="V420" s="47">
        <f>SUMIF(Data!$E:$E,$I420,Data!$AI:$AI)</f>
        <v>0</v>
      </c>
    </row>
    <row r="421" spans="1:22" x14ac:dyDescent="0.25">
      <c r="A421" s="46" t="s">
        <v>1209</v>
      </c>
      <c r="B421" s="46" t="s">
        <v>120</v>
      </c>
      <c r="C421" s="46">
        <v>6371896</v>
      </c>
      <c r="D421" s="46">
        <v>7.9399999999999998E-2</v>
      </c>
      <c r="E421" s="47">
        <f>SUMIF(Data!$E:$E,$C421,Data!$AI:$AI)</f>
        <v>0</v>
      </c>
      <c r="I421" s="13" t="s">
        <v>3028</v>
      </c>
      <c r="J421" s="13" t="s">
        <v>3029</v>
      </c>
      <c r="K421" s="13" t="s">
        <v>137</v>
      </c>
      <c r="L421" s="13" t="s">
        <v>2939</v>
      </c>
      <c r="M421" s="13" t="s">
        <v>3030</v>
      </c>
      <c r="N421" s="13">
        <v>15.294</v>
      </c>
      <c r="O421" s="13" t="s">
        <v>3031</v>
      </c>
      <c r="P421" s="13" t="s">
        <v>3032</v>
      </c>
      <c r="Q421" s="13" t="s">
        <v>162</v>
      </c>
      <c r="R421" s="13" t="s">
        <v>3033</v>
      </c>
      <c r="S421" s="13" t="s">
        <v>192</v>
      </c>
      <c r="T421" s="13" t="s">
        <v>146</v>
      </c>
      <c r="U421" s="13" t="s">
        <v>110</v>
      </c>
      <c r="V421" s="47">
        <f>SUMIF(Data!$E:$E,$I421,Data!$AI:$AI)</f>
        <v>0</v>
      </c>
    </row>
    <row r="422" spans="1:22" x14ac:dyDescent="0.25">
      <c r="A422" s="46" t="s">
        <v>1209</v>
      </c>
      <c r="B422" s="46" t="s">
        <v>120</v>
      </c>
      <c r="C422" s="46">
        <v>6393243</v>
      </c>
      <c r="D422" s="46">
        <v>8.1100000000000005E-2</v>
      </c>
      <c r="E422" s="47">
        <f>SUMIF(Data!$E:$E,$C422,Data!$AI:$AI)</f>
        <v>0</v>
      </c>
      <c r="I422" s="13" t="s">
        <v>3034</v>
      </c>
      <c r="J422" s="13" t="s">
        <v>3035</v>
      </c>
      <c r="K422" s="13" t="s">
        <v>137</v>
      </c>
      <c r="L422" s="13" t="s">
        <v>2939</v>
      </c>
      <c r="M422" s="13" t="s">
        <v>3036</v>
      </c>
      <c r="N422" s="13">
        <v>218.773</v>
      </c>
      <c r="O422" s="13" t="s">
        <v>3037</v>
      </c>
      <c r="P422" s="13" t="s">
        <v>3038</v>
      </c>
      <c r="Q422" s="13" t="s">
        <v>190</v>
      </c>
      <c r="R422" s="13" t="s">
        <v>3039</v>
      </c>
      <c r="S422" s="13" t="s">
        <v>192</v>
      </c>
      <c r="T422" s="13" t="s">
        <v>146</v>
      </c>
      <c r="U422" s="13" t="s">
        <v>110</v>
      </c>
      <c r="V422" s="47">
        <f>SUMIF(Data!$E:$E,$I422,Data!$AI:$AI)</f>
        <v>0</v>
      </c>
    </row>
    <row r="423" spans="1:22" x14ac:dyDescent="0.25">
      <c r="A423" s="46" t="s">
        <v>1209</v>
      </c>
      <c r="B423" s="46" t="s">
        <v>120</v>
      </c>
      <c r="C423" s="46">
        <v>6397858</v>
      </c>
      <c r="D423" s="46">
        <v>4.48E-2</v>
      </c>
      <c r="E423" s="47">
        <f>SUMIF(Data!$E:$E,$C423,Data!$AI:$AI)</f>
        <v>0</v>
      </c>
      <c r="I423" s="13" t="s">
        <v>3040</v>
      </c>
      <c r="J423" s="13" t="s">
        <v>3041</v>
      </c>
      <c r="K423" s="13" t="s">
        <v>137</v>
      </c>
      <c r="L423" s="13" t="s">
        <v>2939</v>
      </c>
      <c r="M423" s="13" t="s">
        <v>3042</v>
      </c>
      <c r="N423" s="13">
        <v>658.05100000000004</v>
      </c>
      <c r="O423" s="13" t="s">
        <v>3043</v>
      </c>
      <c r="P423" s="13" t="s">
        <v>3044</v>
      </c>
      <c r="Q423" s="13" t="s">
        <v>190</v>
      </c>
      <c r="R423" s="13" t="s">
        <v>3045</v>
      </c>
      <c r="S423" s="13" t="s">
        <v>2365</v>
      </c>
      <c r="T423" s="13" t="s">
        <v>2366</v>
      </c>
      <c r="U423" s="13" t="s">
        <v>2367</v>
      </c>
      <c r="V423" s="47">
        <f>SUMIF(Data!$E:$E,$I423,Data!$AI:$AI)</f>
        <v>0</v>
      </c>
    </row>
    <row r="424" spans="1:22" x14ac:dyDescent="0.25">
      <c r="A424" s="46" t="s">
        <v>1209</v>
      </c>
      <c r="B424" s="46" t="s">
        <v>120</v>
      </c>
      <c r="C424" s="46">
        <v>6621591</v>
      </c>
      <c r="D424" s="46">
        <v>0.15740000000000001</v>
      </c>
      <c r="E424" s="47">
        <f>SUMIF(Data!$E:$E,$C424,Data!$AI:$AI)</f>
        <v>0</v>
      </c>
      <c r="I424" s="13" t="s">
        <v>3046</v>
      </c>
      <c r="J424" s="13" t="s">
        <v>3047</v>
      </c>
      <c r="K424" s="13" t="s">
        <v>137</v>
      </c>
      <c r="L424" s="13" t="s">
        <v>2939</v>
      </c>
      <c r="M424" s="13" t="s">
        <v>3048</v>
      </c>
      <c r="N424" s="13">
        <v>117.654</v>
      </c>
      <c r="O424" s="13" t="s">
        <v>3049</v>
      </c>
      <c r="P424" s="13" t="s">
        <v>3050</v>
      </c>
      <c r="Q424" s="13" t="s">
        <v>416</v>
      </c>
      <c r="R424" s="13" t="s">
        <v>3051</v>
      </c>
      <c r="S424" s="13" t="s">
        <v>768</v>
      </c>
      <c r="T424" s="13" t="s">
        <v>769</v>
      </c>
      <c r="U424" s="13" t="s">
        <v>770</v>
      </c>
      <c r="V424" s="47">
        <f>SUMIF(Data!$E:$E,$I424,Data!$AI:$AI)</f>
        <v>0</v>
      </c>
    </row>
    <row r="425" spans="1:22" x14ac:dyDescent="0.25">
      <c r="A425" s="46" t="s">
        <v>1209</v>
      </c>
      <c r="B425" s="46" t="s">
        <v>120</v>
      </c>
      <c r="C425" s="46">
        <v>6984249</v>
      </c>
      <c r="D425" s="46">
        <v>0.1434</v>
      </c>
      <c r="E425" s="47">
        <f>SUMIF(Data!$E:$E,$C425,Data!$AI:$AI)</f>
        <v>0</v>
      </c>
      <c r="I425" s="13" t="s">
        <v>1137</v>
      </c>
      <c r="J425" s="13" t="s">
        <v>3052</v>
      </c>
      <c r="K425" s="13" t="s">
        <v>137</v>
      </c>
      <c r="L425" s="13" t="s">
        <v>2939</v>
      </c>
      <c r="M425" s="13" t="s">
        <v>3053</v>
      </c>
      <c r="N425" s="13">
        <v>183.94200000000001</v>
      </c>
      <c r="O425" s="13" t="s">
        <v>3054</v>
      </c>
      <c r="P425" s="13" t="s">
        <v>3055</v>
      </c>
      <c r="Q425" s="13" t="s">
        <v>734</v>
      </c>
      <c r="R425" s="13" t="s">
        <v>3056</v>
      </c>
      <c r="S425" s="13" t="s">
        <v>847</v>
      </c>
      <c r="T425" s="13" t="s">
        <v>848</v>
      </c>
      <c r="U425" s="13" t="s">
        <v>849</v>
      </c>
      <c r="V425" s="47">
        <f>SUMIF(Data!$E:$E,$I425,Data!$AI:$AI)</f>
        <v>0</v>
      </c>
    </row>
    <row r="426" spans="1:22" x14ac:dyDescent="0.25">
      <c r="A426" s="46" t="s">
        <v>1209</v>
      </c>
      <c r="B426" s="46" t="s">
        <v>120</v>
      </c>
      <c r="C426" s="46">
        <v>6986740</v>
      </c>
      <c r="D426" s="46">
        <v>5.2699999999999997E-2</v>
      </c>
      <c r="E426" s="47">
        <f>SUMIF(Data!$E:$E,$C426,Data!$AI:$AI)</f>
        <v>0</v>
      </c>
      <c r="I426" s="13" t="s">
        <v>3057</v>
      </c>
      <c r="J426" s="13" t="s">
        <v>3058</v>
      </c>
      <c r="K426" s="13" t="s">
        <v>137</v>
      </c>
      <c r="L426" s="13" t="s">
        <v>2939</v>
      </c>
      <c r="M426" s="13" t="s">
        <v>3059</v>
      </c>
      <c r="N426" s="13">
        <v>44.469000000000001</v>
      </c>
      <c r="O426" s="13" t="s">
        <v>3060</v>
      </c>
      <c r="P426" s="13" t="s">
        <v>3061</v>
      </c>
      <c r="Q426" s="13" t="s">
        <v>143</v>
      </c>
      <c r="R426" s="13" t="s">
        <v>3062</v>
      </c>
      <c r="S426" s="13" t="s">
        <v>192</v>
      </c>
      <c r="T426" s="13" t="s">
        <v>146</v>
      </c>
      <c r="U426" s="13" t="s">
        <v>110</v>
      </c>
      <c r="V426" s="47">
        <f>SUMIF(Data!$E:$E,$I426,Data!$AI:$AI)</f>
        <v>0</v>
      </c>
    </row>
    <row r="427" spans="1:22" x14ac:dyDescent="0.25">
      <c r="A427" s="46" t="s">
        <v>1209</v>
      </c>
      <c r="B427" s="46" t="s">
        <v>120</v>
      </c>
      <c r="C427" s="46" t="s">
        <v>3063</v>
      </c>
      <c r="D427" s="46">
        <v>8.0699999999999994E-2</v>
      </c>
      <c r="E427" s="47">
        <f>SUMIF(Data!$E:$E,$C427,Data!$AI:$AI)</f>
        <v>0</v>
      </c>
      <c r="I427" s="13" t="s">
        <v>3064</v>
      </c>
      <c r="J427" s="13" t="s">
        <v>3065</v>
      </c>
      <c r="K427" s="13" t="s">
        <v>137</v>
      </c>
      <c r="L427" s="13" t="s">
        <v>2939</v>
      </c>
      <c r="M427" s="13" t="s">
        <v>3066</v>
      </c>
      <c r="N427" s="13">
        <v>130.49700000000001</v>
      </c>
      <c r="O427" s="13" t="s">
        <v>3067</v>
      </c>
      <c r="P427" s="13" t="s">
        <v>3068</v>
      </c>
      <c r="Q427" s="13" t="s">
        <v>143</v>
      </c>
      <c r="R427" s="13" t="s">
        <v>3069</v>
      </c>
      <c r="S427" s="13" t="s">
        <v>145</v>
      </c>
      <c r="T427" s="13" t="s">
        <v>146</v>
      </c>
      <c r="U427" s="13" t="s">
        <v>110</v>
      </c>
      <c r="V427" s="47">
        <f>SUMIF(Data!$E:$E,$I427,Data!$AI:$AI)</f>
        <v>0</v>
      </c>
    </row>
    <row r="428" spans="1:22" x14ac:dyDescent="0.25">
      <c r="A428" s="46" t="s">
        <v>1209</v>
      </c>
      <c r="B428" s="46" t="s">
        <v>120</v>
      </c>
      <c r="C428" s="46" t="s">
        <v>3070</v>
      </c>
      <c r="D428" s="46">
        <v>7.6899999999999996E-2</v>
      </c>
      <c r="E428" s="47">
        <f>SUMIF(Data!$E:$E,$C428,Data!$AI:$AI)</f>
        <v>0</v>
      </c>
      <c r="I428" s="13" t="s">
        <v>3071</v>
      </c>
      <c r="J428" s="13" t="s">
        <v>3072</v>
      </c>
      <c r="K428" s="13" t="s">
        <v>137</v>
      </c>
      <c r="L428" s="13" t="s">
        <v>2939</v>
      </c>
      <c r="M428" s="13" t="s">
        <v>3073</v>
      </c>
      <c r="N428" s="13">
        <v>195.69900000000001</v>
      </c>
      <c r="O428" s="13" t="s">
        <v>3074</v>
      </c>
      <c r="P428" s="13" t="s">
        <v>3075</v>
      </c>
      <c r="Q428" s="13" t="s">
        <v>734</v>
      </c>
      <c r="R428" s="13" t="s">
        <v>3076</v>
      </c>
      <c r="S428" s="13" t="s">
        <v>192</v>
      </c>
      <c r="T428" s="13" t="s">
        <v>146</v>
      </c>
      <c r="U428" s="13" t="s">
        <v>110</v>
      </c>
      <c r="V428" s="47">
        <f>SUMIF(Data!$E:$E,$I428,Data!$AI:$AI)</f>
        <v>0</v>
      </c>
    </row>
    <row r="429" spans="1:22" x14ac:dyDescent="0.25">
      <c r="A429" s="46" t="s">
        <v>1209</v>
      </c>
      <c r="B429" s="46" t="s">
        <v>120</v>
      </c>
      <c r="C429" s="46" t="s">
        <v>3077</v>
      </c>
      <c r="D429" s="46">
        <v>0.28760000000000002</v>
      </c>
      <c r="E429" s="47">
        <f>SUMIF(Data!$E:$E,$C429,Data!$AI:$AI)</f>
        <v>0</v>
      </c>
      <c r="I429" s="13" t="s">
        <v>3078</v>
      </c>
      <c r="J429" s="13" t="s">
        <v>3079</v>
      </c>
      <c r="K429" s="13" t="s">
        <v>137</v>
      </c>
      <c r="L429" s="13" t="s">
        <v>2939</v>
      </c>
      <c r="M429" s="13" t="s">
        <v>3080</v>
      </c>
      <c r="N429" s="13">
        <v>324.48099999999999</v>
      </c>
      <c r="O429" s="13" t="s">
        <v>3081</v>
      </c>
      <c r="P429" s="13" t="s">
        <v>3082</v>
      </c>
      <c r="Q429" s="13" t="s">
        <v>416</v>
      </c>
      <c r="R429" s="13" t="s">
        <v>3083</v>
      </c>
      <c r="S429" s="13" t="s">
        <v>2928</v>
      </c>
      <c r="T429" s="13" t="s">
        <v>2929</v>
      </c>
      <c r="U429" s="13" t="s">
        <v>2930</v>
      </c>
      <c r="V429" s="47">
        <f>SUMIF(Data!$E:$E,$I429,Data!$AI:$AI)</f>
        <v>0</v>
      </c>
    </row>
    <row r="430" spans="1:22" x14ac:dyDescent="0.25">
      <c r="A430" s="46" t="s">
        <v>1209</v>
      </c>
      <c r="B430" s="46" t="s">
        <v>120</v>
      </c>
      <c r="C430" s="46" t="s">
        <v>3084</v>
      </c>
      <c r="D430" s="46">
        <v>9.1800000000000007E-2</v>
      </c>
      <c r="E430" s="47">
        <f>SUMIF(Data!$E:$E,$C430,Data!$AI:$AI)</f>
        <v>0</v>
      </c>
      <c r="I430" s="13">
        <v>4543</v>
      </c>
      <c r="J430" s="13" t="s">
        <v>3085</v>
      </c>
      <c r="K430" s="13" t="s">
        <v>137</v>
      </c>
      <c r="L430" s="13" t="s">
        <v>2939</v>
      </c>
      <c r="M430" s="13" t="s">
        <v>3086</v>
      </c>
      <c r="N430" s="13">
        <v>361.7</v>
      </c>
      <c r="O430" s="13" t="s">
        <v>3087</v>
      </c>
      <c r="P430" s="13" t="s">
        <v>3088</v>
      </c>
      <c r="Q430" s="13" t="s">
        <v>208</v>
      </c>
      <c r="R430" s="13" t="s">
        <v>3089</v>
      </c>
      <c r="S430" s="13" t="s">
        <v>441</v>
      </c>
      <c r="T430" s="13" t="s">
        <v>442</v>
      </c>
      <c r="U430" s="13" t="s">
        <v>443</v>
      </c>
      <c r="V430" s="47">
        <f>SUMIF(Data!$E:$E,$I430,Data!$AI:$AI)</f>
        <v>0</v>
      </c>
    </row>
    <row r="431" spans="1:22" x14ac:dyDescent="0.25">
      <c r="A431" s="46" t="s">
        <v>1209</v>
      </c>
      <c r="B431" s="46" t="s">
        <v>120</v>
      </c>
      <c r="C431" s="46" t="s">
        <v>3090</v>
      </c>
      <c r="D431" s="46">
        <v>0.11459999999999999</v>
      </c>
      <c r="E431" s="47">
        <f>SUMIF(Data!$E:$E,$C431,Data!$AI:$AI)</f>
        <v>0</v>
      </c>
      <c r="I431" s="13" t="s">
        <v>3091</v>
      </c>
      <c r="J431" s="13" t="s">
        <v>3092</v>
      </c>
      <c r="K431" s="13" t="s">
        <v>137</v>
      </c>
      <c r="L431" s="13" t="s">
        <v>2939</v>
      </c>
      <c r="M431" s="13" t="s">
        <v>3093</v>
      </c>
      <c r="N431" s="13">
        <v>429.78800000000001</v>
      </c>
      <c r="O431" s="13" t="s">
        <v>3094</v>
      </c>
      <c r="P431" s="13" t="s">
        <v>3095</v>
      </c>
      <c r="Q431" s="13" t="s">
        <v>143</v>
      </c>
      <c r="R431" s="13" t="s">
        <v>3096</v>
      </c>
      <c r="S431" s="13" t="s">
        <v>192</v>
      </c>
      <c r="T431" s="13" t="s">
        <v>146</v>
      </c>
      <c r="U431" s="13" t="s">
        <v>110</v>
      </c>
      <c r="V431" s="47">
        <f>SUMIF(Data!$E:$E,$I431,Data!$AI:$AI)</f>
        <v>0</v>
      </c>
    </row>
    <row r="432" spans="1:22" x14ac:dyDescent="0.25">
      <c r="A432" s="46" t="s">
        <v>1209</v>
      </c>
      <c r="B432" s="46" t="s">
        <v>120</v>
      </c>
      <c r="C432" s="46" t="s">
        <v>3097</v>
      </c>
      <c r="D432" s="46">
        <v>0.34010000000000001</v>
      </c>
      <c r="E432" s="47">
        <f>SUMIF(Data!$E:$E,$C432,Data!$AI:$AI)</f>
        <v>0</v>
      </c>
      <c r="I432" s="13" t="s">
        <v>3098</v>
      </c>
      <c r="J432" s="13" t="s">
        <v>3099</v>
      </c>
      <c r="K432" s="13" t="s">
        <v>137</v>
      </c>
      <c r="L432" s="13" t="s">
        <v>2939</v>
      </c>
      <c r="M432" s="13" t="s">
        <v>3100</v>
      </c>
      <c r="N432" s="13">
        <v>787.26499999999999</v>
      </c>
      <c r="O432" s="13" t="s">
        <v>3101</v>
      </c>
      <c r="P432" s="13" t="s">
        <v>3102</v>
      </c>
      <c r="Q432" s="13" t="s">
        <v>416</v>
      </c>
      <c r="R432" s="13" t="s">
        <v>3103</v>
      </c>
      <c r="S432" s="13" t="s">
        <v>2928</v>
      </c>
      <c r="T432" s="13" t="s">
        <v>2929</v>
      </c>
      <c r="U432" s="13" t="s">
        <v>2930</v>
      </c>
      <c r="V432" s="47">
        <f>SUMIF(Data!$E:$E,$I432,Data!$AI:$AI)</f>
        <v>0</v>
      </c>
    </row>
    <row r="433" spans="1:22" x14ac:dyDescent="0.25">
      <c r="A433" s="46" t="s">
        <v>1209</v>
      </c>
      <c r="B433" s="46" t="s">
        <v>120</v>
      </c>
      <c r="C433" s="46" t="s">
        <v>3104</v>
      </c>
      <c r="D433" s="46">
        <v>9.3700000000000006E-2</v>
      </c>
      <c r="E433" s="47">
        <f>SUMIF(Data!$E:$E,$C433,Data!$AI:$AI)</f>
        <v>0</v>
      </c>
      <c r="I433" s="13" t="s">
        <v>3105</v>
      </c>
      <c r="J433" s="13" t="s">
        <v>3106</v>
      </c>
      <c r="K433" s="13" t="s">
        <v>137</v>
      </c>
      <c r="L433" s="13" t="s">
        <v>2939</v>
      </c>
      <c r="M433" s="13" t="s">
        <v>3107</v>
      </c>
      <c r="N433" s="13">
        <v>504.90499999999997</v>
      </c>
      <c r="O433" s="13" t="s">
        <v>3108</v>
      </c>
      <c r="P433" s="13" t="s">
        <v>3109</v>
      </c>
      <c r="Q433" s="13" t="s">
        <v>224</v>
      </c>
      <c r="R433" s="13" t="s">
        <v>3110</v>
      </c>
      <c r="S433" s="13" t="s">
        <v>476</v>
      </c>
      <c r="T433" s="13" t="s">
        <v>477</v>
      </c>
      <c r="U433" s="13" t="s">
        <v>478</v>
      </c>
      <c r="V433" s="47">
        <f>SUMIF(Data!$E:$E,$I433,Data!$AI:$AI)</f>
        <v>0</v>
      </c>
    </row>
    <row r="434" spans="1:22" x14ac:dyDescent="0.25">
      <c r="A434" s="46" t="s">
        <v>1209</v>
      </c>
      <c r="B434" s="46" t="s">
        <v>120</v>
      </c>
      <c r="C434" s="46" t="s">
        <v>3111</v>
      </c>
      <c r="D434" s="46">
        <v>5.3999999999999999E-2</v>
      </c>
      <c r="E434" s="47">
        <f>SUMIF(Data!$E:$E,$C434,Data!$AI:$AI)</f>
        <v>0</v>
      </c>
      <c r="I434" s="13" t="s">
        <v>3112</v>
      </c>
      <c r="J434" s="13" t="s">
        <v>3113</v>
      </c>
      <c r="K434" s="13" t="s">
        <v>137</v>
      </c>
      <c r="L434" s="13" t="s">
        <v>2939</v>
      </c>
      <c r="M434" s="13" t="s">
        <v>3114</v>
      </c>
      <c r="N434" s="13">
        <v>105.367</v>
      </c>
      <c r="O434" s="13" t="s">
        <v>3115</v>
      </c>
      <c r="P434" s="13" t="s">
        <v>3116</v>
      </c>
      <c r="Q434" s="13" t="s">
        <v>694</v>
      </c>
      <c r="R434" s="13" t="s">
        <v>3117</v>
      </c>
      <c r="S434" s="13" t="s">
        <v>192</v>
      </c>
      <c r="T434" s="13" t="s">
        <v>146</v>
      </c>
      <c r="U434" s="13" t="s">
        <v>110</v>
      </c>
      <c r="V434" s="47">
        <f>SUMIF(Data!$E:$E,$I434,Data!$AI:$AI)</f>
        <v>0</v>
      </c>
    </row>
    <row r="435" spans="1:22" x14ac:dyDescent="0.25">
      <c r="A435" s="46" t="s">
        <v>1209</v>
      </c>
      <c r="B435" s="46" t="s">
        <v>120</v>
      </c>
      <c r="C435" s="46" t="s">
        <v>3118</v>
      </c>
      <c r="D435" s="46">
        <v>2.4799999999999999E-2</v>
      </c>
      <c r="E435" s="47">
        <f>SUMIF(Data!$E:$E,$C435,Data!$AI:$AI)</f>
        <v>0</v>
      </c>
      <c r="I435" s="13" t="s">
        <v>3119</v>
      </c>
      <c r="J435" s="13" t="s">
        <v>3120</v>
      </c>
      <c r="K435" s="13" t="s">
        <v>137</v>
      </c>
      <c r="L435" s="13" t="s">
        <v>2939</v>
      </c>
      <c r="M435" s="13" t="s">
        <v>3121</v>
      </c>
      <c r="N435" s="13">
        <v>82.03</v>
      </c>
      <c r="O435" s="13" t="s">
        <v>3122</v>
      </c>
      <c r="P435" s="13" t="s">
        <v>3123</v>
      </c>
      <c r="Q435" s="13" t="s">
        <v>416</v>
      </c>
      <c r="R435" s="13" t="s">
        <v>3124</v>
      </c>
      <c r="S435" s="13" t="s">
        <v>145</v>
      </c>
      <c r="T435" s="13" t="s">
        <v>146</v>
      </c>
      <c r="U435" s="13" t="s">
        <v>110</v>
      </c>
      <c r="V435" s="47">
        <f>SUMIF(Data!$E:$E,$I435,Data!$AI:$AI)</f>
        <v>0</v>
      </c>
    </row>
    <row r="436" spans="1:22" x14ac:dyDescent="0.25">
      <c r="A436" s="46" t="s">
        <v>1209</v>
      </c>
      <c r="B436" s="46" t="s">
        <v>120</v>
      </c>
      <c r="C436" s="46" t="s">
        <v>3125</v>
      </c>
      <c r="D436" s="46">
        <v>5.8000000000000003E-2</v>
      </c>
      <c r="E436" s="47">
        <f>SUMIF(Data!$E:$E,$C436,Data!$AI:$AI)</f>
        <v>0</v>
      </c>
      <c r="I436" s="13" t="s">
        <v>3126</v>
      </c>
      <c r="J436" s="13" t="s">
        <v>3127</v>
      </c>
      <c r="K436" s="13" t="s">
        <v>137</v>
      </c>
      <c r="L436" s="13" t="s">
        <v>2939</v>
      </c>
      <c r="M436" s="13" t="s">
        <v>3128</v>
      </c>
      <c r="N436" s="13">
        <v>77.635000000000005</v>
      </c>
      <c r="O436" s="13" t="s">
        <v>3129</v>
      </c>
      <c r="P436" s="13" t="s">
        <v>3130</v>
      </c>
      <c r="Q436" s="13" t="s">
        <v>416</v>
      </c>
      <c r="R436" s="13" t="s">
        <v>3131</v>
      </c>
      <c r="S436" s="13" t="s">
        <v>192</v>
      </c>
      <c r="T436" s="13" t="s">
        <v>146</v>
      </c>
      <c r="U436" s="13" t="s">
        <v>110</v>
      </c>
      <c r="V436" s="47">
        <f>SUMIF(Data!$E:$E,$I436,Data!$AI:$AI)</f>
        <v>0</v>
      </c>
    </row>
    <row r="437" spans="1:22" x14ac:dyDescent="0.25">
      <c r="A437" s="46" t="s">
        <v>1209</v>
      </c>
      <c r="B437" s="46" t="s">
        <v>120</v>
      </c>
      <c r="C437" s="46" t="s">
        <v>3132</v>
      </c>
      <c r="D437" s="46">
        <v>8.9599999999999999E-2</v>
      </c>
      <c r="E437" s="47">
        <f>SUMIF(Data!$E:$E,$C437,Data!$AI:$AI)</f>
        <v>0</v>
      </c>
      <c r="I437" s="13" t="s">
        <v>3133</v>
      </c>
      <c r="J437" s="13" t="s">
        <v>3133</v>
      </c>
      <c r="K437" s="13" t="s">
        <v>137</v>
      </c>
      <c r="L437" s="13" t="s">
        <v>2939</v>
      </c>
      <c r="M437" s="13" t="s">
        <v>3134</v>
      </c>
      <c r="N437" s="13" t="s">
        <v>3135</v>
      </c>
      <c r="O437" s="13" t="s">
        <v>3136</v>
      </c>
      <c r="P437" s="13" t="s">
        <v>3137</v>
      </c>
      <c r="Q437" s="13" t="s">
        <v>143</v>
      </c>
      <c r="R437" s="13" t="s">
        <v>3138</v>
      </c>
      <c r="S437" s="13" t="s">
        <v>3139</v>
      </c>
      <c r="T437" s="13" t="s">
        <v>3140</v>
      </c>
      <c r="U437" s="13" t="s">
        <v>525</v>
      </c>
      <c r="V437" s="47">
        <f>SUMIF(Data!$E:$E,$I437,Data!$AI:$AI)</f>
        <v>0</v>
      </c>
    </row>
    <row r="438" spans="1:22" x14ac:dyDescent="0.25">
      <c r="A438" s="46" t="s">
        <v>3141</v>
      </c>
      <c r="B438" s="46" t="s">
        <v>120</v>
      </c>
      <c r="C438" s="46" t="s">
        <v>3142</v>
      </c>
      <c r="D438" s="46">
        <v>0.41980000000000001</v>
      </c>
      <c r="E438" s="47">
        <f>SUMIF(Data!$E:$E,$C438,Data!$AI:$AI)</f>
        <v>0</v>
      </c>
      <c r="I438" s="13" t="s">
        <v>3143</v>
      </c>
      <c r="J438" s="13" t="s">
        <v>3144</v>
      </c>
      <c r="K438" s="13" t="s">
        <v>137</v>
      </c>
      <c r="L438" s="13" t="s">
        <v>2939</v>
      </c>
      <c r="M438" s="13" t="s">
        <v>3145</v>
      </c>
      <c r="N438" s="13">
        <v>106.765</v>
      </c>
      <c r="O438" s="13" t="s">
        <v>3146</v>
      </c>
      <c r="P438" s="13" t="s">
        <v>3147</v>
      </c>
      <c r="Q438" s="13" t="s">
        <v>806</v>
      </c>
      <c r="R438" s="13" t="s">
        <v>3148</v>
      </c>
      <c r="S438" s="13" t="s">
        <v>192</v>
      </c>
      <c r="T438" s="13" t="s">
        <v>146</v>
      </c>
      <c r="U438" s="13" t="s">
        <v>110</v>
      </c>
      <c r="V438" s="47">
        <f>SUMIF(Data!$E:$E,$I438,Data!$AI:$AI)</f>
        <v>0</v>
      </c>
    </row>
    <row r="439" spans="1:22" x14ac:dyDescent="0.25">
      <c r="A439" s="46" t="s">
        <v>3141</v>
      </c>
      <c r="B439" s="46" t="s">
        <v>120</v>
      </c>
      <c r="C439" s="46" t="s">
        <v>3149</v>
      </c>
      <c r="D439" s="46">
        <v>0.15840000000000001</v>
      </c>
      <c r="E439" s="47">
        <f>SUMIF(Data!$E:$E,$C439,Data!$AI:$AI)</f>
        <v>0</v>
      </c>
      <c r="I439" s="13" t="s">
        <v>3150</v>
      </c>
      <c r="J439" s="13" t="s">
        <v>3151</v>
      </c>
      <c r="K439" s="13" t="s">
        <v>137</v>
      </c>
      <c r="L439" s="13" t="s">
        <v>2939</v>
      </c>
      <c r="M439" s="13" t="s">
        <v>3152</v>
      </c>
      <c r="N439" s="13" t="s">
        <v>3153</v>
      </c>
      <c r="O439" s="13" t="s">
        <v>3154</v>
      </c>
      <c r="P439" s="13" t="s">
        <v>3155</v>
      </c>
      <c r="Q439" s="13" t="s">
        <v>190</v>
      </c>
      <c r="R439" s="13" t="s">
        <v>3156</v>
      </c>
      <c r="S439" s="13" t="s">
        <v>2365</v>
      </c>
      <c r="T439" s="13" t="s">
        <v>2366</v>
      </c>
      <c r="U439" s="13" t="s">
        <v>2367</v>
      </c>
      <c r="V439" s="47">
        <f>SUMIF(Data!$E:$E,$I439,Data!$AI:$AI)</f>
        <v>0</v>
      </c>
    </row>
    <row r="440" spans="1:22" x14ac:dyDescent="0.25">
      <c r="A440" s="46" t="s">
        <v>3141</v>
      </c>
      <c r="B440" s="46" t="s">
        <v>120</v>
      </c>
      <c r="C440" s="46" t="s">
        <v>3157</v>
      </c>
      <c r="D440" s="46">
        <v>0.35489999999999999</v>
      </c>
      <c r="E440" s="47">
        <f>SUMIF(Data!$E:$E,$C440,Data!$AI:$AI)</f>
        <v>0</v>
      </c>
      <c r="I440" s="13" t="s">
        <v>3158</v>
      </c>
      <c r="J440" s="13" t="s">
        <v>3159</v>
      </c>
      <c r="K440" s="13" t="s">
        <v>137</v>
      </c>
      <c r="L440" s="13" t="s">
        <v>2939</v>
      </c>
      <c r="M440" s="13" t="s">
        <v>3160</v>
      </c>
      <c r="N440" s="13">
        <v>173.37700000000001</v>
      </c>
      <c r="O440" s="13" t="s">
        <v>3161</v>
      </c>
      <c r="P440" s="13" t="s">
        <v>3162</v>
      </c>
      <c r="Q440" s="13" t="s">
        <v>806</v>
      </c>
      <c r="R440" s="13" t="s">
        <v>3163</v>
      </c>
      <c r="S440" s="13" t="s">
        <v>192</v>
      </c>
      <c r="T440" s="13" t="s">
        <v>146</v>
      </c>
      <c r="U440" s="13" t="s">
        <v>110</v>
      </c>
      <c r="V440" s="47">
        <f>SUMIF(Data!$E:$E,$I440,Data!$AI:$AI)</f>
        <v>0</v>
      </c>
    </row>
    <row r="441" spans="1:22" x14ac:dyDescent="0.25">
      <c r="A441" s="46" t="s">
        <v>3141</v>
      </c>
      <c r="B441" s="46" t="s">
        <v>120</v>
      </c>
      <c r="C441" s="46" t="s">
        <v>3164</v>
      </c>
      <c r="D441" s="46">
        <v>0.25940000000000002</v>
      </c>
      <c r="E441" s="47">
        <f>SUMIF(Data!$E:$E,$C441,Data!$AI:$AI)</f>
        <v>0</v>
      </c>
      <c r="I441" s="13" t="s">
        <v>3165</v>
      </c>
      <c r="J441" s="13" t="s">
        <v>3166</v>
      </c>
      <c r="K441" s="13" t="s">
        <v>137</v>
      </c>
      <c r="L441" s="13" t="s">
        <v>2939</v>
      </c>
      <c r="M441" s="13" t="s">
        <v>3167</v>
      </c>
      <c r="N441" s="13">
        <v>232.39400000000001</v>
      </c>
      <c r="O441" s="13" t="s">
        <v>3168</v>
      </c>
      <c r="P441" s="13" t="s">
        <v>3169</v>
      </c>
      <c r="Q441" s="13" t="s">
        <v>190</v>
      </c>
      <c r="R441" s="13" t="s">
        <v>3170</v>
      </c>
      <c r="S441" s="13" t="s">
        <v>2928</v>
      </c>
      <c r="T441" s="13" t="s">
        <v>2929</v>
      </c>
      <c r="U441" s="13" t="s">
        <v>2930</v>
      </c>
      <c r="V441" s="47">
        <f>SUMIF(Data!$E:$E,$I441,Data!$AI:$AI)</f>
        <v>0</v>
      </c>
    </row>
    <row r="442" spans="1:22" x14ac:dyDescent="0.25">
      <c r="A442" s="46" t="s">
        <v>3141</v>
      </c>
      <c r="B442" s="46" t="s">
        <v>120</v>
      </c>
      <c r="C442" s="46" t="s">
        <v>3171</v>
      </c>
      <c r="D442" s="46">
        <v>0.22289999999999999</v>
      </c>
      <c r="E442" s="47">
        <f>SUMIF(Data!$E:$E,$C442,Data!$AI:$AI)</f>
        <v>0</v>
      </c>
      <c r="I442" s="13" t="s">
        <v>3172</v>
      </c>
      <c r="J442" s="13" t="s">
        <v>3173</v>
      </c>
      <c r="K442" s="13" t="s">
        <v>137</v>
      </c>
      <c r="L442" s="13" t="s">
        <v>2939</v>
      </c>
      <c r="M442" s="13" t="s">
        <v>3174</v>
      </c>
      <c r="N442" s="13">
        <v>315.44099999999997</v>
      </c>
      <c r="O442" s="13" t="s">
        <v>3175</v>
      </c>
      <c r="P442" s="13" t="s">
        <v>3176</v>
      </c>
      <c r="Q442" s="13" t="s">
        <v>172</v>
      </c>
      <c r="R442" s="13" t="s">
        <v>3177</v>
      </c>
      <c r="S442" s="13" t="s">
        <v>145</v>
      </c>
      <c r="T442" s="13" t="s">
        <v>146</v>
      </c>
      <c r="U442" s="13" t="s">
        <v>110</v>
      </c>
      <c r="V442" s="47">
        <f>SUMIF(Data!$E:$E,$I442,Data!$AI:$AI)</f>
        <v>0</v>
      </c>
    </row>
    <row r="443" spans="1:22" x14ac:dyDescent="0.25">
      <c r="A443" s="46" t="s">
        <v>3141</v>
      </c>
      <c r="B443" s="46" t="s">
        <v>120</v>
      </c>
      <c r="C443" s="46">
        <v>136701</v>
      </c>
      <c r="D443" s="46">
        <v>0.76019999999999999</v>
      </c>
      <c r="E443" s="47">
        <f>SUMIF(Data!$E:$E,$C443,Data!$AI:$AI)</f>
        <v>0</v>
      </c>
      <c r="I443" s="13" t="s">
        <v>3178</v>
      </c>
      <c r="J443" s="13" t="s">
        <v>3179</v>
      </c>
      <c r="K443" s="13" t="s">
        <v>137</v>
      </c>
      <c r="L443" s="13" t="s">
        <v>2939</v>
      </c>
      <c r="M443" s="13" t="s">
        <v>3180</v>
      </c>
      <c r="N443" s="13">
        <v>54.131</v>
      </c>
      <c r="O443" s="13" t="s">
        <v>3181</v>
      </c>
      <c r="P443" s="13" t="s">
        <v>3182</v>
      </c>
      <c r="Q443" s="13" t="s">
        <v>162</v>
      </c>
      <c r="R443" s="13" t="s">
        <v>3183</v>
      </c>
      <c r="S443" s="13" t="s">
        <v>145</v>
      </c>
      <c r="T443" s="13" t="s">
        <v>146</v>
      </c>
      <c r="U443" s="13" t="s">
        <v>110</v>
      </c>
      <c r="V443" s="47">
        <f>SUMIF(Data!$E:$E,$I443,Data!$AI:$AI)</f>
        <v>0</v>
      </c>
    </row>
    <row r="444" spans="1:22" x14ac:dyDescent="0.25">
      <c r="A444" s="46" t="s">
        <v>3141</v>
      </c>
      <c r="B444" s="46" t="s">
        <v>120</v>
      </c>
      <c r="C444" s="46">
        <v>2019479</v>
      </c>
      <c r="D444" s="46">
        <v>1.7544999999999999</v>
      </c>
      <c r="E444" s="47">
        <f>SUMIF(Data!$E:$E,$C444,Data!$AI:$AI)</f>
        <v>0</v>
      </c>
      <c r="I444" s="13" t="s">
        <v>3184</v>
      </c>
      <c r="J444" s="13" t="s">
        <v>3185</v>
      </c>
      <c r="K444" s="13" t="s">
        <v>137</v>
      </c>
      <c r="L444" s="13" t="s">
        <v>2939</v>
      </c>
      <c r="M444" s="13" t="s">
        <v>3186</v>
      </c>
      <c r="N444" s="13">
        <v>45.142000000000003</v>
      </c>
      <c r="O444" s="13" t="s">
        <v>3187</v>
      </c>
      <c r="P444" s="13" t="s">
        <v>3188</v>
      </c>
      <c r="Q444" s="13" t="s">
        <v>208</v>
      </c>
      <c r="R444" s="13" t="s">
        <v>3189</v>
      </c>
      <c r="S444" s="13" t="s">
        <v>145</v>
      </c>
      <c r="T444" s="13" t="s">
        <v>146</v>
      </c>
      <c r="U444" s="13" t="s">
        <v>110</v>
      </c>
      <c r="V444" s="47">
        <f>SUMIF(Data!$E:$E,$I444,Data!$AI:$AI)</f>
        <v>0</v>
      </c>
    </row>
    <row r="445" spans="1:22" x14ac:dyDescent="0.25">
      <c r="A445" s="46" t="s">
        <v>3141</v>
      </c>
      <c r="B445" s="46" t="s">
        <v>120</v>
      </c>
      <c r="C445" s="46">
        <v>2131179</v>
      </c>
      <c r="D445" s="46">
        <v>2.2972999999999999</v>
      </c>
      <c r="E445" s="47">
        <f>SUMIF(Data!$E:$E,$C445,Data!$AI:$AI)</f>
        <v>0</v>
      </c>
      <c r="I445" s="13" t="s">
        <v>3190</v>
      </c>
      <c r="J445" s="13" t="s">
        <v>3191</v>
      </c>
      <c r="K445" s="13" t="s">
        <v>137</v>
      </c>
      <c r="L445" s="13" t="s">
        <v>2939</v>
      </c>
      <c r="M445" s="13" t="s">
        <v>3192</v>
      </c>
      <c r="N445" s="13">
        <v>426.67</v>
      </c>
      <c r="O445" s="13" t="s">
        <v>3193</v>
      </c>
      <c r="P445" s="13" t="s">
        <v>3194</v>
      </c>
      <c r="Q445" s="13" t="s">
        <v>190</v>
      </c>
      <c r="R445" s="13" t="s">
        <v>3195</v>
      </c>
      <c r="S445" s="13" t="s">
        <v>145</v>
      </c>
      <c r="T445" s="13" t="s">
        <v>146</v>
      </c>
      <c r="U445" s="13" t="s">
        <v>110</v>
      </c>
      <c r="V445" s="47">
        <f>SUMIF(Data!$E:$E,$I445,Data!$AI:$AI)</f>
        <v>0</v>
      </c>
    </row>
    <row r="446" spans="1:22" x14ac:dyDescent="0.25">
      <c r="A446" s="46" t="s">
        <v>3141</v>
      </c>
      <c r="B446" s="46" t="s">
        <v>120</v>
      </c>
      <c r="C446" s="46">
        <v>2229610</v>
      </c>
      <c r="D446" s="46">
        <v>0.59619999999999995</v>
      </c>
      <c r="E446" s="47">
        <f>SUMIF(Data!$E:$E,$C446,Data!$AI:$AI)</f>
        <v>0</v>
      </c>
      <c r="I446" s="13" t="s">
        <v>3196</v>
      </c>
      <c r="J446" s="13" t="s">
        <v>3197</v>
      </c>
      <c r="K446" s="13" t="s">
        <v>137</v>
      </c>
      <c r="L446" s="13" t="s">
        <v>2939</v>
      </c>
      <c r="M446" s="13" t="s">
        <v>3198</v>
      </c>
      <c r="N446" s="13">
        <v>141.63200000000001</v>
      </c>
      <c r="O446" s="13" t="s">
        <v>3199</v>
      </c>
      <c r="P446" s="13" t="s">
        <v>3200</v>
      </c>
      <c r="Q446" s="13" t="s">
        <v>734</v>
      </c>
      <c r="R446" s="13" t="s">
        <v>3201</v>
      </c>
      <c r="S446" s="13" t="s">
        <v>192</v>
      </c>
      <c r="T446" s="13" t="s">
        <v>146</v>
      </c>
      <c r="U446" s="13" t="s">
        <v>110</v>
      </c>
      <c r="V446" s="47">
        <f>SUMIF(Data!$E:$E,$I446,Data!$AI:$AI)</f>
        <v>0</v>
      </c>
    </row>
    <row r="447" spans="1:22" x14ac:dyDescent="0.25">
      <c r="A447" s="46" t="s">
        <v>3141</v>
      </c>
      <c r="B447" s="46" t="s">
        <v>120</v>
      </c>
      <c r="C447" s="46">
        <v>2319157</v>
      </c>
      <c r="D447" s="46">
        <v>2.2136</v>
      </c>
      <c r="E447" s="47">
        <f>SUMIF(Data!$E:$E,$C447,Data!$AI:$AI)</f>
        <v>0</v>
      </c>
      <c r="I447" s="13" t="s">
        <v>3202</v>
      </c>
      <c r="J447" s="13" t="s">
        <v>3203</v>
      </c>
      <c r="K447" s="13" t="s">
        <v>137</v>
      </c>
      <c r="L447" s="13" t="s">
        <v>2939</v>
      </c>
      <c r="M447" s="13" t="s">
        <v>3204</v>
      </c>
      <c r="N447" s="13">
        <v>73.555999999999997</v>
      </c>
      <c r="O447" s="13" t="s">
        <v>3205</v>
      </c>
      <c r="P447" s="13" t="s">
        <v>3206</v>
      </c>
      <c r="Q447" s="13" t="s">
        <v>143</v>
      </c>
      <c r="R447" s="13" t="s">
        <v>3207</v>
      </c>
      <c r="S447" s="13" t="s">
        <v>560</v>
      </c>
      <c r="T447" s="13" t="s">
        <v>561</v>
      </c>
      <c r="U447" s="13" t="s">
        <v>525</v>
      </c>
      <c r="V447" s="47">
        <f>SUMIF(Data!$E:$E,$I447,Data!$AI:$AI)</f>
        <v>0</v>
      </c>
    </row>
    <row r="448" spans="1:22" x14ac:dyDescent="0.25">
      <c r="A448" s="46" t="s">
        <v>3141</v>
      </c>
      <c r="B448" s="46" t="s">
        <v>120</v>
      </c>
      <c r="C448" s="46">
        <v>2333931</v>
      </c>
      <c r="D448" s="46">
        <v>0.84689999999999999</v>
      </c>
      <c r="E448" s="47">
        <f>SUMIF(Data!$E:$E,$C448,Data!$AI:$AI)</f>
        <v>0</v>
      </c>
      <c r="I448" s="13" t="s">
        <v>3208</v>
      </c>
      <c r="J448" s="13" t="s">
        <v>3209</v>
      </c>
      <c r="K448" s="13" t="s">
        <v>137</v>
      </c>
      <c r="L448" s="13" t="s">
        <v>2939</v>
      </c>
      <c r="M448" s="13" t="s">
        <v>3210</v>
      </c>
      <c r="N448" s="13">
        <v>16.425999999999998</v>
      </c>
      <c r="O448" s="13" t="s">
        <v>3211</v>
      </c>
      <c r="P448" s="13" t="s">
        <v>3212</v>
      </c>
      <c r="Q448" s="13" t="s">
        <v>162</v>
      </c>
      <c r="R448" s="13" t="s">
        <v>3213</v>
      </c>
      <c r="S448" s="13" t="s">
        <v>560</v>
      </c>
      <c r="T448" s="13" t="s">
        <v>561</v>
      </c>
      <c r="U448" s="13" t="s">
        <v>525</v>
      </c>
      <c r="V448" s="47">
        <f>SUMIF(Data!$E:$E,$I448,Data!$AI:$AI)</f>
        <v>0</v>
      </c>
    </row>
    <row r="449" spans="1:22" x14ac:dyDescent="0.25">
      <c r="A449" s="46" t="s">
        <v>3141</v>
      </c>
      <c r="B449" s="46" t="s">
        <v>120</v>
      </c>
      <c r="C449" s="46">
        <v>2812452</v>
      </c>
      <c r="D449" s="46">
        <v>4.7233000000000001</v>
      </c>
      <c r="E449" s="47">
        <f>SUMIF(Data!$E:$E,$C449,Data!$AI:$AI)</f>
        <v>0</v>
      </c>
      <c r="I449" s="13" t="s">
        <v>3214</v>
      </c>
      <c r="J449" s="13" t="s">
        <v>3215</v>
      </c>
      <c r="K449" s="13" t="s">
        <v>137</v>
      </c>
      <c r="L449" s="13" t="s">
        <v>2939</v>
      </c>
      <c r="M449" s="13" t="s">
        <v>3216</v>
      </c>
      <c r="N449" s="13">
        <v>114.289</v>
      </c>
      <c r="O449" s="13" t="s">
        <v>3217</v>
      </c>
      <c r="P449" s="13" t="s">
        <v>3218</v>
      </c>
      <c r="Q449" s="13" t="s">
        <v>208</v>
      </c>
      <c r="R449" s="13" t="s">
        <v>3219</v>
      </c>
      <c r="S449" s="13" t="s">
        <v>145</v>
      </c>
      <c r="T449" s="13" t="s">
        <v>146</v>
      </c>
      <c r="U449" s="13" t="s">
        <v>110</v>
      </c>
      <c r="V449" s="47">
        <f>SUMIF(Data!$E:$E,$I449,Data!$AI:$AI)</f>
        <v>0</v>
      </c>
    </row>
    <row r="450" spans="1:22" x14ac:dyDescent="0.25">
      <c r="A450" s="46" t="s">
        <v>3141</v>
      </c>
      <c r="B450" s="46" t="s">
        <v>120</v>
      </c>
      <c r="C450" s="46">
        <v>2852533</v>
      </c>
      <c r="D450" s="46">
        <v>3.0015999999999998</v>
      </c>
      <c r="E450" s="47">
        <f>SUMIF(Data!$E:$E,$C450,Data!$AI:$AI)</f>
        <v>0</v>
      </c>
      <c r="I450" s="13" t="s">
        <v>3220</v>
      </c>
      <c r="J450" s="13" t="s">
        <v>3221</v>
      </c>
      <c r="K450" s="13" t="s">
        <v>137</v>
      </c>
      <c r="L450" s="13" t="s">
        <v>2939</v>
      </c>
      <c r="M450" s="13" t="s">
        <v>3222</v>
      </c>
      <c r="N450" s="13">
        <v>121.706</v>
      </c>
      <c r="O450" s="13" t="s">
        <v>3223</v>
      </c>
      <c r="P450" s="13" t="s">
        <v>3224</v>
      </c>
      <c r="Q450" s="13" t="s">
        <v>734</v>
      </c>
      <c r="R450" s="13" t="s">
        <v>3225</v>
      </c>
      <c r="S450" s="13" t="s">
        <v>725</v>
      </c>
      <c r="T450" s="13" t="s">
        <v>726</v>
      </c>
      <c r="U450" s="13" t="s">
        <v>727</v>
      </c>
      <c r="V450" s="47">
        <f>SUMIF(Data!$E:$E,$I450,Data!$AI:$AI)</f>
        <v>0</v>
      </c>
    </row>
    <row r="451" spans="1:22" x14ac:dyDescent="0.25">
      <c r="A451" s="46" t="s">
        <v>3141</v>
      </c>
      <c r="B451" s="46" t="s">
        <v>120</v>
      </c>
      <c r="C451" s="46">
        <v>4554406</v>
      </c>
      <c r="D451" s="46">
        <v>0.25740000000000002</v>
      </c>
      <c r="E451" s="47">
        <f>SUMIF(Data!$E:$E,$C451,Data!$AI:$AI)</f>
        <v>0</v>
      </c>
      <c r="I451" s="13" t="s">
        <v>3226</v>
      </c>
      <c r="J451" s="13" t="s">
        <v>3227</v>
      </c>
      <c r="K451" s="13" t="s">
        <v>137</v>
      </c>
      <c r="L451" s="13" t="s">
        <v>2939</v>
      </c>
      <c r="M451" s="13" t="s">
        <v>3228</v>
      </c>
      <c r="N451" s="13">
        <v>47.012999999999998</v>
      </c>
      <c r="O451" s="13" t="s">
        <v>3229</v>
      </c>
      <c r="P451" s="13" t="s">
        <v>3230</v>
      </c>
      <c r="Q451" s="13" t="s">
        <v>172</v>
      </c>
      <c r="R451" s="13" t="s">
        <v>3231</v>
      </c>
      <c r="S451" s="13" t="s">
        <v>145</v>
      </c>
      <c r="T451" s="13" t="s">
        <v>146</v>
      </c>
      <c r="U451" s="13" t="s">
        <v>110</v>
      </c>
      <c r="V451" s="47">
        <f>SUMIF(Data!$E:$E,$I451,Data!$AI:$AI)</f>
        <v>0</v>
      </c>
    </row>
    <row r="452" spans="1:22" x14ac:dyDescent="0.25">
      <c r="A452" s="46" t="s">
        <v>3141</v>
      </c>
      <c r="B452" s="46" t="s">
        <v>120</v>
      </c>
      <c r="C452" s="46">
        <v>6365866</v>
      </c>
      <c r="D452" s="46">
        <v>0.66269999999999996</v>
      </c>
      <c r="E452" s="47">
        <f>SUMIF(Data!$E:$E,$C452,Data!$AI:$AI)</f>
        <v>0</v>
      </c>
      <c r="I452" s="13" t="s">
        <v>3232</v>
      </c>
      <c r="J452" s="13" t="s">
        <v>3233</v>
      </c>
      <c r="K452" s="13" t="s">
        <v>137</v>
      </c>
      <c r="L452" s="13" t="s">
        <v>2939</v>
      </c>
      <c r="M452" s="13" t="s">
        <v>3234</v>
      </c>
      <c r="N452" s="13">
        <v>46.752000000000002</v>
      </c>
      <c r="O452" s="13" t="s">
        <v>3235</v>
      </c>
      <c r="P452" s="13" t="s">
        <v>3236</v>
      </c>
      <c r="Q452" s="13" t="s">
        <v>190</v>
      </c>
      <c r="R452" s="13" t="s">
        <v>3237</v>
      </c>
      <c r="S452" s="13" t="s">
        <v>192</v>
      </c>
      <c r="T452" s="13" t="s">
        <v>146</v>
      </c>
      <c r="U452" s="13" t="s">
        <v>110</v>
      </c>
      <c r="V452" s="47">
        <f>SUMIF(Data!$E:$E,$I452,Data!$AI:$AI)</f>
        <v>0</v>
      </c>
    </row>
    <row r="453" spans="1:22" x14ac:dyDescent="0.25">
      <c r="A453" s="46" t="s">
        <v>3141</v>
      </c>
      <c r="B453" s="46" t="s">
        <v>120</v>
      </c>
      <c r="C453" s="46">
        <v>6850856</v>
      </c>
      <c r="D453" s="46">
        <v>0.72989999999999999</v>
      </c>
      <c r="E453" s="47">
        <f>SUMIF(Data!$E:$E,$C453,Data!$AI:$AI)</f>
        <v>0</v>
      </c>
      <c r="I453" s="13" t="s">
        <v>3238</v>
      </c>
      <c r="J453" s="13" t="s">
        <v>3239</v>
      </c>
      <c r="K453" s="13" t="s">
        <v>137</v>
      </c>
      <c r="L453" s="13" t="s">
        <v>2939</v>
      </c>
      <c r="M453" s="13" t="s">
        <v>3240</v>
      </c>
      <c r="N453" s="13">
        <v>779.529</v>
      </c>
      <c r="O453" s="13" t="s">
        <v>3241</v>
      </c>
      <c r="P453" s="13" t="s">
        <v>3242</v>
      </c>
      <c r="Q453" s="13" t="s">
        <v>260</v>
      </c>
      <c r="R453" s="13" t="s">
        <v>3243</v>
      </c>
      <c r="S453" s="13" t="s">
        <v>1164</v>
      </c>
      <c r="T453" s="13" t="s">
        <v>1165</v>
      </c>
      <c r="U453" s="13" t="s">
        <v>525</v>
      </c>
      <c r="V453" s="47">
        <f>SUMIF(Data!$E:$E,$I453,Data!$AI:$AI)</f>
        <v>0</v>
      </c>
    </row>
    <row r="454" spans="1:22" x14ac:dyDescent="0.25">
      <c r="A454" s="46" t="s">
        <v>3141</v>
      </c>
      <c r="B454" s="46" t="s">
        <v>120</v>
      </c>
      <c r="C454" s="46">
        <v>7742468</v>
      </c>
      <c r="D454" s="46">
        <v>0.57130000000000003</v>
      </c>
      <c r="E454" s="47">
        <f>SUMIF(Data!$E:$E,$C454,Data!$AI:$AI)</f>
        <v>0</v>
      </c>
      <c r="I454" s="13" t="s">
        <v>3244</v>
      </c>
      <c r="J454" s="13" t="s">
        <v>3245</v>
      </c>
      <c r="K454" s="13" t="s">
        <v>137</v>
      </c>
      <c r="L454" s="13" t="s">
        <v>2939</v>
      </c>
      <c r="M454" s="13" t="s">
        <v>3246</v>
      </c>
      <c r="N454" s="13">
        <v>123.026</v>
      </c>
      <c r="O454" s="13" t="s">
        <v>3247</v>
      </c>
      <c r="P454" s="13" t="s">
        <v>3248</v>
      </c>
      <c r="Q454" s="13" t="s">
        <v>416</v>
      </c>
      <c r="R454" s="13" t="s">
        <v>3249</v>
      </c>
      <c r="S454" s="13" t="s">
        <v>192</v>
      </c>
      <c r="T454" s="13" t="s">
        <v>146</v>
      </c>
      <c r="U454" s="13" t="s">
        <v>110</v>
      </c>
      <c r="V454" s="47">
        <f>SUMIF(Data!$E:$E,$I454,Data!$AI:$AI)</f>
        <v>0</v>
      </c>
    </row>
    <row r="455" spans="1:22" x14ac:dyDescent="0.25">
      <c r="A455" s="46" t="s">
        <v>3141</v>
      </c>
      <c r="B455" s="46" t="s">
        <v>120</v>
      </c>
      <c r="C455" s="46" t="s">
        <v>3250</v>
      </c>
      <c r="D455" s="46">
        <v>0.71650000000000003</v>
      </c>
      <c r="E455" s="47">
        <f>SUMIF(Data!$E:$E,$C455,Data!$AI:$AI)</f>
        <v>0</v>
      </c>
      <c r="I455" s="13" t="s">
        <v>3251</v>
      </c>
      <c r="J455" s="13" t="s">
        <v>3252</v>
      </c>
      <c r="K455" s="13" t="s">
        <v>137</v>
      </c>
      <c r="L455" s="13" t="s">
        <v>2939</v>
      </c>
      <c r="M455" s="13" t="s">
        <v>3253</v>
      </c>
      <c r="N455" s="13">
        <v>348.517</v>
      </c>
      <c r="O455" s="13" t="s">
        <v>3254</v>
      </c>
      <c r="P455" s="13" t="s">
        <v>3255</v>
      </c>
      <c r="Q455" s="13" t="s">
        <v>190</v>
      </c>
      <c r="R455" s="13" t="s">
        <v>3256</v>
      </c>
      <c r="S455" s="13" t="s">
        <v>192</v>
      </c>
      <c r="T455" s="13" t="s">
        <v>146</v>
      </c>
      <c r="U455" s="13" t="s">
        <v>110</v>
      </c>
      <c r="V455" s="47">
        <f>SUMIF(Data!$E:$E,$I455,Data!$AI:$AI)</f>
        <v>0</v>
      </c>
    </row>
    <row r="456" spans="1:22" x14ac:dyDescent="0.25">
      <c r="A456" s="46" t="s">
        <v>3141</v>
      </c>
      <c r="B456" s="46" t="s">
        <v>120</v>
      </c>
      <c r="C456" s="46" t="s">
        <v>3257</v>
      </c>
      <c r="D456" s="46">
        <v>1.1032</v>
      </c>
      <c r="E456" s="47">
        <f>SUMIF(Data!$E:$E,$C456,Data!$AI:$AI)</f>
        <v>0</v>
      </c>
      <c r="I456" s="13" t="s">
        <v>3258</v>
      </c>
      <c r="J456" s="13" t="s">
        <v>3259</v>
      </c>
      <c r="K456" s="13" t="s">
        <v>137</v>
      </c>
      <c r="L456" s="13" t="s">
        <v>2939</v>
      </c>
      <c r="M456" s="13" t="s">
        <v>3260</v>
      </c>
      <c r="N456" s="13">
        <v>58.673999999999999</v>
      </c>
      <c r="O456" s="13" t="s">
        <v>3261</v>
      </c>
      <c r="P456" s="13" t="s">
        <v>3262</v>
      </c>
      <c r="Q456" s="13" t="s">
        <v>143</v>
      </c>
      <c r="R456" s="13" t="s">
        <v>3263</v>
      </c>
      <c r="S456" s="13" t="s">
        <v>145</v>
      </c>
      <c r="T456" s="13" t="s">
        <v>146</v>
      </c>
      <c r="U456" s="13" t="s">
        <v>110</v>
      </c>
      <c r="V456" s="47">
        <f>SUMIF(Data!$E:$E,$I456,Data!$AI:$AI)</f>
        <v>0</v>
      </c>
    </row>
    <row r="457" spans="1:22" x14ac:dyDescent="0.25">
      <c r="A457" s="46" t="s">
        <v>3141</v>
      </c>
      <c r="B457" s="46" t="s">
        <v>120</v>
      </c>
      <c r="C457" s="46" t="s">
        <v>3264</v>
      </c>
      <c r="D457" s="46">
        <v>2.3658999999999999</v>
      </c>
      <c r="E457" s="47">
        <f>SUMIF(Data!$E:$E,$C457,Data!$AI:$AI)</f>
        <v>0</v>
      </c>
      <c r="I457" s="13" t="s">
        <v>3265</v>
      </c>
      <c r="J457" s="13" t="s">
        <v>3266</v>
      </c>
      <c r="K457" s="13" t="s">
        <v>137</v>
      </c>
      <c r="L457" s="13" t="s">
        <v>2939</v>
      </c>
      <c r="M457" s="13" t="s">
        <v>3267</v>
      </c>
      <c r="N457" s="13">
        <v>432.49299999999999</v>
      </c>
      <c r="O457" s="13" t="s">
        <v>3268</v>
      </c>
      <c r="P457" s="13" t="s">
        <v>3269</v>
      </c>
      <c r="Q457" s="13" t="s">
        <v>224</v>
      </c>
      <c r="R457" s="13" t="s">
        <v>3270</v>
      </c>
      <c r="S457" s="13" t="s">
        <v>192</v>
      </c>
      <c r="T457" s="13" t="s">
        <v>146</v>
      </c>
      <c r="U457" s="13" t="s">
        <v>110</v>
      </c>
      <c r="V457" s="47">
        <f>SUMIF(Data!$E:$E,$I457,Data!$AI:$AI)</f>
        <v>0</v>
      </c>
    </row>
    <row r="458" spans="1:22" x14ac:dyDescent="0.25">
      <c r="A458" s="46" t="s">
        <v>3141</v>
      </c>
      <c r="B458" s="46" t="s">
        <v>120</v>
      </c>
      <c r="C458" s="46" t="s">
        <v>3271</v>
      </c>
      <c r="D458" s="46">
        <v>3.1349999999999998</v>
      </c>
      <c r="E458" s="47">
        <f>SUMIF(Data!$E:$E,$C458,Data!$AI:$AI)</f>
        <v>0</v>
      </c>
      <c r="I458" s="13" t="s">
        <v>3272</v>
      </c>
      <c r="J458" s="13" t="s">
        <v>3273</v>
      </c>
      <c r="K458" s="13" t="s">
        <v>137</v>
      </c>
      <c r="L458" s="13" t="s">
        <v>2939</v>
      </c>
      <c r="M458" s="13" t="s">
        <v>3274</v>
      </c>
      <c r="N458" s="13">
        <v>70.302999999999997</v>
      </c>
      <c r="O458" s="13" t="s">
        <v>3275</v>
      </c>
      <c r="P458" s="13" t="s">
        <v>3276</v>
      </c>
      <c r="Q458" s="13" t="s">
        <v>162</v>
      </c>
      <c r="R458" s="13" t="s">
        <v>3277</v>
      </c>
      <c r="S458" s="13" t="s">
        <v>1127</v>
      </c>
      <c r="T458" s="13" t="s">
        <v>1128</v>
      </c>
      <c r="U458" s="13" t="s">
        <v>525</v>
      </c>
      <c r="V458" s="47">
        <f>SUMIF(Data!$E:$E,$I458,Data!$AI:$AI)</f>
        <v>0</v>
      </c>
    </row>
    <row r="459" spans="1:22" x14ac:dyDescent="0.25">
      <c r="A459" s="46" t="s">
        <v>3141</v>
      </c>
      <c r="B459" s="46" t="s">
        <v>120</v>
      </c>
      <c r="C459" s="46">
        <v>2096847</v>
      </c>
      <c r="D459" s="46">
        <v>0.90769999999999995</v>
      </c>
      <c r="E459" s="47">
        <f>SUMIF(Data!$E:$E,$C459,Data!$AI:$AI)</f>
        <v>0</v>
      </c>
      <c r="I459" s="13" t="s">
        <v>3278</v>
      </c>
      <c r="J459" s="13" t="s">
        <v>3279</v>
      </c>
      <c r="K459" s="13" t="s">
        <v>137</v>
      </c>
      <c r="L459" s="13" t="s">
        <v>2939</v>
      </c>
      <c r="M459" s="13" t="s">
        <v>3280</v>
      </c>
      <c r="N459" s="13" t="s">
        <v>3281</v>
      </c>
      <c r="O459" s="13" t="s">
        <v>3282</v>
      </c>
      <c r="P459" s="13" t="s">
        <v>3283</v>
      </c>
      <c r="Q459" s="13" t="s">
        <v>190</v>
      </c>
      <c r="R459" s="13" t="s">
        <v>3284</v>
      </c>
      <c r="S459" s="13" t="s">
        <v>2928</v>
      </c>
      <c r="T459" s="13" t="s">
        <v>2929</v>
      </c>
      <c r="U459" s="13" t="s">
        <v>2930</v>
      </c>
      <c r="V459" s="47">
        <f>SUMIF(Data!$E:$E,$I459,Data!$AI:$AI)</f>
        <v>0</v>
      </c>
    </row>
    <row r="460" spans="1:22" x14ac:dyDescent="0.25">
      <c r="A460" s="46" t="s">
        <v>3141</v>
      </c>
      <c r="B460" s="46" t="s">
        <v>120</v>
      </c>
      <c r="C460" s="46">
        <v>2284084</v>
      </c>
      <c r="D460" s="46">
        <v>0.95509999999999995</v>
      </c>
      <c r="E460" s="47">
        <f>SUMIF(Data!$E:$E,$C460,Data!$AI:$AI)</f>
        <v>0</v>
      </c>
      <c r="I460" s="13" t="s">
        <v>3285</v>
      </c>
      <c r="J460" s="13" t="s">
        <v>3286</v>
      </c>
      <c r="K460" s="13" t="s">
        <v>137</v>
      </c>
      <c r="L460" s="13" t="s">
        <v>2939</v>
      </c>
      <c r="M460" s="13" t="s">
        <v>3287</v>
      </c>
      <c r="N460" s="13">
        <v>178.08699999999999</v>
      </c>
      <c r="O460" s="13" t="s">
        <v>3288</v>
      </c>
      <c r="P460" s="13" t="s">
        <v>3289</v>
      </c>
      <c r="Q460" s="13" t="s">
        <v>143</v>
      </c>
      <c r="R460" s="13" t="s">
        <v>3290</v>
      </c>
      <c r="S460" s="13" t="s">
        <v>192</v>
      </c>
      <c r="T460" s="13" t="s">
        <v>146</v>
      </c>
      <c r="U460" s="13" t="s">
        <v>110</v>
      </c>
      <c r="V460" s="47">
        <f>SUMIF(Data!$E:$E,$I460,Data!$AI:$AI)</f>
        <v>0</v>
      </c>
    </row>
    <row r="461" spans="1:22" x14ac:dyDescent="0.25">
      <c r="A461" s="46" t="s">
        <v>3141</v>
      </c>
      <c r="B461" s="46" t="s">
        <v>120</v>
      </c>
      <c r="C461" s="46">
        <v>2727910</v>
      </c>
      <c r="D461" s="46">
        <v>0.94259999999999999</v>
      </c>
      <c r="E461" s="47">
        <f>SUMIF(Data!$E:$E,$C461,Data!$AI:$AI)</f>
        <v>0</v>
      </c>
      <c r="I461" s="13" t="s">
        <v>3291</v>
      </c>
      <c r="J461" s="13" t="s">
        <v>3292</v>
      </c>
      <c r="K461" s="13" t="s">
        <v>137</v>
      </c>
      <c r="L461" s="13" t="s">
        <v>2939</v>
      </c>
      <c r="M461" s="13" t="s">
        <v>3293</v>
      </c>
      <c r="N461" s="13">
        <v>41.228999999999999</v>
      </c>
      <c r="O461" s="13" t="s">
        <v>3294</v>
      </c>
      <c r="P461" s="13" t="s">
        <v>3295</v>
      </c>
      <c r="Q461" s="13" t="s">
        <v>208</v>
      </c>
      <c r="R461" s="13" t="s">
        <v>3296</v>
      </c>
      <c r="S461" s="13" t="s">
        <v>145</v>
      </c>
      <c r="T461" s="13" t="s">
        <v>146</v>
      </c>
      <c r="U461" s="13" t="s">
        <v>110</v>
      </c>
      <c r="V461" s="47">
        <f>SUMIF(Data!$E:$E,$I461,Data!$AI:$AI)</f>
        <v>0</v>
      </c>
    </row>
    <row r="462" spans="1:22" x14ac:dyDescent="0.25">
      <c r="A462" s="46" t="s">
        <v>3141</v>
      </c>
      <c r="B462" s="46" t="s">
        <v>120</v>
      </c>
      <c r="C462" s="46" t="s">
        <v>3297</v>
      </c>
      <c r="D462" s="46">
        <v>0.26440000000000002</v>
      </c>
      <c r="E462" s="47">
        <f>SUMIF(Data!$E:$E,$C462,Data!$AI:$AI)</f>
        <v>0</v>
      </c>
      <c r="I462" s="13">
        <v>7733</v>
      </c>
      <c r="J462" s="13" t="s">
        <v>3298</v>
      </c>
      <c r="K462" s="13" t="s">
        <v>137</v>
      </c>
      <c r="L462" s="13" t="s">
        <v>2939</v>
      </c>
      <c r="M462" s="13" t="s">
        <v>3299</v>
      </c>
      <c r="N462" s="13">
        <v>760.9</v>
      </c>
      <c r="O462" s="13" t="s">
        <v>3300</v>
      </c>
      <c r="P462" s="13" t="s">
        <v>3301</v>
      </c>
      <c r="Q462" s="13" t="s">
        <v>208</v>
      </c>
      <c r="R462" s="13" t="s">
        <v>3302</v>
      </c>
      <c r="S462" s="13" t="s">
        <v>441</v>
      </c>
      <c r="T462" s="13" t="s">
        <v>442</v>
      </c>
      <c r="U462" s="13" t="s">
        <v>443</v>
      </c>
      <c r="V462" s="47">
        <f>SUMIF(Data!$E:$E,$I462,Data!$AI:$AI)</f>
        <v>0</v>
      </c>
    </row>
    <row r="463" spans="1:22" x14ac:dyDescent="0.25">
      <c r="A463" s="46" t="s">
        <v>3141</v>
      </c>
      <c r="B463" s="46" t="s">
        <v>120</v>
      </c>
      <c r="C463" s="46">
        <v>2166320</v>
      </c>
      <c r="D463" s="46">
        <v>0.78239999999999998</v>
      </c>
      <c r="E463" s="47">
        <f>SUMIF(Data!$E:$E,$C463,Data!$AI:$AI)</f>
        <v>0</v>
      </c>
      <c r="I463" s="13" t="s">
        <v>3303</v>
      </c>
      <c r="J463" s="13" t="s">
        <v>3304</v>
      </c>
      <c r="K463" s="13" t="s">
        <v>137</v>
      </c>
      <c r="L463" s="13" t="s">
        <v>2939</v>
      </c>
      <c r="M463" s="13" t="s">
        <v>3305</v>
      </c>
      <c r="N463" s="13">
        <v>586.07000000000005</v>
      </c>
      <c r="O463" s="13" t="s">
        <v>3306</v>
      </c>
      <c r="P463" s="13" t="s">
        <v>3307</v>
      </c>
      <c r="Q463" s="13" t="s">
        <v>190</v>
      </c>
      <c r="R463" s="13" t="s">
        <v>3308</v>
      </c>
      <c r="S463" s="13" t="s">
        <v>1127</v>
      </c>
      <c r="T463" s="13" t="s">
        <v>1128</v>
      </c>
      <c r="U463" s="13" t="s">
        <v>525</v>
      </c>
      <c r="V463" s="47">
        <f>SUMIF(Data!$E:$E,$I463,Data!$AI:$AI)</f>
        <v>0</v>
      </c>
    </row>
    <row r="464" spans="1:22" x14ac:dyDescent="0.25">
      <c r="A464" s="46" t="s">
        <v>3141</v>
      </c>
      <c r="B464" s="46" t="s">
        <v>120</v>
      </c>
      <c r="C464" s="46">
        <v>2491594</v>
      </c>
      <c r="D464" s="46">
        <v>0.73370000000000002</v>
      </c>
      <c r="E464" s="47">
        <f>SUMIF(Data!$E:$E,$C464,Data!$AI:$AI)</f>
        <v>0</v>
      </c>
      <c r="I464" s="13" t="s">
        <v>3309</v>
      </c>
      <c r="J464" s="13" t="s">
        <v>3310</v>
      </c>
      <c r="K464" s="13" t="s">
        <v>137</v>
      </c>
      <c r="L464" s="13" t="s">
        <v>2939</v>
      </c>
      <c r="M464" s="13" t="s">
        <v>3311</v>
      </c>
      <c r="N464" s="13">
        <v>18.666</v>
      </c>
      <c r="O464" s="13" t="s">
        <v>3312</v>
      </c>
      <c r="P464" s="13" t="s">
        <v>3313</v>
      </c>
      <c r="Q464" s="13" t="s">
        <v>416</v>
      </c>
      <c r="R464" s="13" t="s">
        <v>3314</v>
      </c>
      <c r="S464" s="13" t="s">
        <v>145</v>
      </c>
      <c r="T464" s="13" t="s">
        <v>146</v>
      </c>
      <c r="U464" s="13" t="s">
        <v>110</v>
      </c>
      <c r="V464" s="47">
        <f>SUMIF(Data!$E:$E,$I464,Data!$AI:$AI)</f>
        <v>0</v>
      </c>
    </row>
    <row r="465" spans="1:22" x14ac:dyDescent="0.25">
      <c r="A465" s="46" t="s">
        <v>3141</v>
      </c>
      <c r="B465" s="46" t="s">
        <v>120</v>
      </c>
      <c r="C465" s="46">
        <v>2543967</v>
      </c>
      <c r="D465" s="46">
        <v>0.62339999999999995</v>
      </c>
      <c r="E465" s="47">
        <f>SUMIF(Data!$E:$E,$C465,Data!$AI:$AI)</f>
        <v>0</v>
      </c>
      <c r="I465" s="13">
        <v>8591</v>
      </c>
      <c r="J465" s="13" t="s">
        <v>3315</v>
      </c>
      <c r="K465" s="13" t="s">
        <v>137</v>
      </c>
      <c r="L465" s="13" t="s">
        <v>2939</v>
      </c>
      <c r="M465" s="13" t="s">
        <v>3316</v>
      </c>
      <c r="N465" s="13">
        <v>709.09</v>
      </c>
      <c r="O465" s="13" t="s">
        <v>3317</v>
      </c>
      <c r="P465" s="13" t="s">
        <v>3318</v>
      </c>
      <c r="Q465" s="13" t="s">
        <v>190</v>
      </c>
      <c r="R465" s="13" t="s">
        <v>3319</v>
      </c>
      <c r="S465" s="13" t="s">
        <v>441</v>
      </c>
      <c r="T465" s="13" t="s">
        <v>442</v>
      </c>
      <c r="U465" s="13" t="s">
        <v>443</v>
      </c>
      <c r="V465" s="47">
        <f>SUMIF(Data!$E:$E,$I465,Data!$AI:$AI)</f>
        <v>0</v>
      </c>
    </row>
    <row r="466" spans="1:22" x14ac:dyDescent="0.25">
      <c r="A466" s="46" t="s">
        <v>3141</v>
      </c>
      <c r="B466" s="46" t="s">
        <v>120</v>
      </c>
      <c r="C466" s="46">
        <v>2724193</v>
      </c>
      <c r="D466" s="46">
        <v>1.4236</v>
      </c>
      <c r="E466" s="47">
        <f>SUMIF(Data!$E:$E,$C466,Data!$AI:$AI)</f>
        <v>0</v>
      </c>
      <c r="I466" s="13" t="s">
        <v>3320</v>
      </c>
      <c r="J466" s="13" t="s">
        <v>3321</v>
      </c>
      <c r="K466" s="13" t="s">
        <v>137</v>
      </c>
      <c r="L466" s="13" t="s">
        <v>2939</v>
      </c>
      <c r="M466" s="13" t="s">
        <v>3322</v>
      </c>
      <c r="N466" s="13" t="s">
        <v>3323</v>
      </c>
      <c r="O466" s="13" t="s">
        <v>3324</v>
      </c>
      <c r="P466" s="13" t="s">
        <v>3325</v>
      </c>
      <c r="Q466" s="13" t="s">
        <v>694</v>
      </c>
      <c r="R466" s="13" t="s">
        <v>3326</v>
      </c>
      <c r="S466" s="13" t="s">
        <v>523</v>
      </c>
      <c r="T466" s="13" t="s">
        <v>524</v>
      </c>
      <c r="U466" s="13" t="s">
        <v>525</v>
      </c>
      <c r="V466" s="47">
        <f>SUMIF(Data!$E:$E,$I466,Data!$AI:$AI)</f>
        <v>0</v>
      </c>
    </row>
    <row r="467" spans="1:22" x14ac:dyDescent="0.25">
      <c r="A467" s="46" t="s">
        <v>3141</v>
      </c>
      <c r="B467" s="46" t="s">
        <v>120</v>
      </c>
      <c r="C467" s="46">
        <v>2726177</v>
      </c>
      <c r="D467" s="46">
        <v>0.90110000000000001</v>
      </c>
      <c r="E467" s="47">
        <f>SUMIF(Data!$E:$E,$C467,Data!$AI:$AI)</f>
        <v>0</v>
      </c>
      <c r="I467" s="13" t="s">
        <v>3327</v>
      </c>
      <c r="J467" s="13" t="s">
        <v>3328</v>
      </c>
      <c r="K467" s="13" t="s">
        <v>137</v>
      </c>
      <c r="L467" s="13" t="s">
        <v>2939</v>
      </c>
      <c r="M467" s="13" t="s">
        <v>3329</v>
      </c>
      <c r="N467" s="13">
        <v>132.285</v>
      </c>
      <c r="O467" s="13" t="s">
        <v>3330</v>
      </c>
      <c r="P467" s="13" t="s">
        <v>3331</v>
      </c>
      <c r="Q467" s="13" t="s">
        <v>162</v>
      </c>
      <c r="R467" s="13" t="s">
        <v>3332</v>
      </c>
      <c r="S467" s="13" t="s">
        <v>192</v>
      </c>
      <c r="T467" s="13" t="s">
        <v>146</v>
      </c>
      <c r="U467" s="13" t="s">
        <v>110</v>
      </c>
      <c r="V467" s="47">
        <f>SUMIF(Data!$E:$E,$I467,Data!$AI:$AI)</f>
        <v>0</v>
      </c>
    </row>
    <row r="468" spans="1:22" x14ac:dyDescent="0.25">
      <c r="A468" s="46" t="s">
        <v>3141</v>
      </c>
      <c r="B468" s="46" t="s">
        <v>120</v>
      </c>
      <c r="C468" s="46">
        <v>6528175</v>
      </c>
      <c r="D468" s="46">
        <v>0.29049999999999998</v>
      </c>
      <c r="E468" s="47">
        <f>SUMIF(Data!$E:$E,$C468,Data!$AI:$AI)</f>
        <v>0</v>
      </c>
      <c r="I468" s="13" t="s">
        <v>3333</v>
      </c>
      <c r="J468" s="13" t="s">
        <v>3334</v>
      </c>
      <c r="K468" s="13" t="s">
        <v>137</v>
      </c>
      <c r="L468" s="13" t="s">
        <v>2939</v>
      </c>
      <c r="M468" s="13" t="s">
        <v>3335</v>
      </c>
      <c r="N468" s="13">
        <v>72.042000000000002</v>
      </c>
      <c r="O468" s="13" t="s">
        <v>3336</v>
      </c>
      <c r="P468" s="13" t="s">
        <v>3337</v>
      </c>
      <c r="Q468" s="13" t="s">
        <v>190</v>
      </c>
      <c r="R468" s="13" t="s">
        <v>3338</v>
      </c>
      <c r="S468" s="13" t="s">
        <v>192</v>
      </c>
      <c r="T468" s="13" t="s">
        <v>146</v>
      </c>
      <c r="U468" s="13" t="s">
        <v>110</v>
      </c>
      <c r="V468" s="47">
        <f>SUMIF(Data!$E:$E,$I468,Data!$AI:$AI)</f>
        <v>0</v>
      </c>
    </row>
    <row r="469" spans="1:22" x14ac:dyDescent="0.25">
      <c r="A469" s="46" t="s">
        <v>3141</v>
      </c>
      <c r="B469" s="46" t="s">
        <v>120</v>
      </c>
      <c r="C469" s="46">
        <v>7582556</v>
      </c>
      <c r="D469" s="46">
        <v>0.74680000000000002</v>
      </c>
      <c r="E469" s="47">
        <f>SUMIF(Data!$E:$E,$C469,Data!$AI:$AI)</f>
        <v>0</v>
      </c>
      <c r="I469" s="13" t="s">
        <v>3339</v>
      </c>
      <c r="J469" s="13" t="s">
        <v>3340</v>
      </c>
      <c r="K469" s="13" t="s">
        <v>137</v>
      </c>
      <c r="L469" s="13" t="s">
        <v>2939</v>
      </c>
      <c r="M469" s="13" t="s">
        <v>3341</v>
      </c>
      <c r="N469" s="13">
        <v>619.75400000000002</v>
      </c>
      <c r="O469" s="13" t="s">
        <v>3342</v>
      </c>
      <c r="P469" s="13" t="s">
        <v>3343</v>
      </c>
      <c r="Q469" s="13" t="s">
        <v>416</v>
      </c>
      <c r="R469" s="13" t="s">
        <v>3344</v>
      </c>
      <c r="S469" s="13" t="s">
        <v>2928</v>
      </c>
      <c r="T469" s="13" t="s">
        <v>2929</v>
      </c>
      <c r="U469" s="13" t="s">
        <v>2930</v>
      </c>
      <c r="V469" s="47">
        <f>SUMIF(Data!$E:$E,$I469,Data!$AI:$AI)</f>
        <v>0</v>
      </c>
    </row>
    <row r="470" spans="1:22" x14ac:dyDescent="0.25">
      <c r="A470" s="46" t="s">
        <v>3141</v>
      </c>
      <c r="B470" s="46" t="s">
        <v>120</v>
      </c>
      <c r="C470" s="46">
        <v>7745638</v>
      </c>
      <c r="D470" s="46">
        <v>0.31090000000000001</v>
      </c>
      <c r="E470" s="47">
        <f>SUMIF(Data!$E:$E,$C470,Data!$AI:$AI)</f>
        <v>0</v>
      </c>
      <c r="I470" s="13">
        <v>4523</v>
      </c>
      <c r="J470" s="13" t="s">
        <v>3345</v>
      </c>
      <c r="K470" s="13" t="s">
        <v>137</v>
      </c>
      <c r="L470" s="13" t="s">
        <v>2939</v>
      </c>
      <c r="M470" s="13" t="s">
        <v>3346</v>
      </c>
      <c r="N470" s="13">
        <v>157.94</v>
      </c>
      <c r="O470" s="13" t="s">
        <v>3347</v>
      </c>
      <c r="P470" s="13" t="s">
        <v>3348</v>
      </c>
      <c r="Q470" s="13" t="s">
        <v>208</v>
      </c>
      <c r="R470" s="13" t="s">
        <v>3349</v>
      </c>
      <c r="S470" s="13" t="s">
        <v>441</v>
      </c>
      <c r="T470" s="13" t="s">
        <v>442</v>
      </c>
      <c r="U470" s="13" t="s">
        <v>443</v>
      </c>
      <c r="V470" s="47">
        <f>SUMIF(Data!$E:$E,$I470,Data!$AI:$AI)</f>
        <v>0</v>
      </c>
    </row>
    <row r="471" spans="1:22" x14ac:dyDescent="0.25">
      <c r="A471" s="46" t="s">
        <v>3141</v>
      </c>
      <c r="B471" s="46" t="s">
        <v>120</v>
      </c>
      <c r="C471" s="46" t="s">
        <v>3350</v>
      </c>
      <c r="D471" s="46">
        <v>0.6048</v>
      </c>
      <c r="E471" s="47">
        <f>SUMIF(Data!$E:$E,$C471,Data!$AI:$AI)</f>
        <v>0</v>
      </c>
      <c r="I471" s="13" t="s">
        <v>3351</v>
      </c>
      <c r="J471" s="13" t="s">
        <v>3352</v>
      </c>
      <c r="K471" s="13" t="s">
        <v>137</v>
      </c>
      <c r="L471" s="13" t="s">
        <v>2939</v>
      </c>
      <c r="M471" s="13" t="s">
        <v>3353</v>
      </c>
      <c r="N471" s="13">
        <v>152.643</v>
      </c>
      <c r="O471" s="13" t="s">
        <v>3354</v>
      </c>
      <c r="P471" s="13" t="s">
        <v>3355</v>
      </c>
      <c r="Q471" s="13" t="s">
        <v>416</v>
      </c>
      <c r="R471" s="13" t="s">
        <v>3356</v>
      </c>
      <c r="S471" s="13" t="s">
        <v>192</v>
      </c>
      <c r="T471" s="13" t="s">
        <v>146</v>
      </c>
      <c r="U471" s="13" t="s">
        <v>110</v>
      </c>
      <c r="V471" s="47">
        <f>SUMIF(Data!$E:$E,$I471,Data!$AI:$AI)</f>
        <v>0</v>
      </c>
    </row>
    <row r="472" spans="1:22" x14ac:dyDescent="0.25">
      <c r="A472" s="46" t="s">
        <v>3141</v>
      </c>
      <c r="B472" s="46" t="s">
        <v>120</v>
      </c>
      <c r="C472" s="46" t="s">
        <v>3357</v>
      </c>
      <c r="D472" s="46">
        <v>1.6923999999999999</v>
      </c>
      <c r="E472" s="47">
        <f>SUMIF(Data!$E:$E,$C472,Data!$AI:$AI)</f>
        <v>0</v>
      </c>
      <c r="I472" s="13" t="s">
        <v>3358</v>
      </c>
      <c r="J472" s="13" t="s">
        <v>3359</v>
      </c>
      <c r="K472" s="13" t="s">
        <v>137</v>
      </c>
      <c r="L472" s="13" t="s">
        <v>2939</v>
      </c>
      <c r="M472" s="13" t="s">
        <v>3360</v>
      </c>
      <c r="N472" s="13">
        <v>213.60300000000001</v>
      </c>
      <c r="O472" s="13" t="s">
        <v>3361</v>
      </c>
      <c r="P472" s="13" t="s">
        <v>3362</v>
      </c>
      <c r="Q472" s="13" t="s">
        <v>208</v>
      </c>
      <c r="R472" s="13" t="s">
        <v>3363</v>
      </c>
      <c r="S472" s="13" t="s">
        <v>523</v>
      </c>
      <c r="T472" s="13" t="s">
        <v>524</v>
      </c>
      <c r="U472" s="13" t="s">
        <v>525</v>
      </c>
      <c r="V472" s="47">
        <f>SUMIF(Data!$E:$E,$I472,Data!$AI:$AI)</f>
        <v>0</v>
      </c>
    </row>
    <row r="473" spans="1:22" x14ac:dyDescent="0.25">
      <c r="A473" s="46" t="s">
        <v>3141</v>
      </c>
      <c r="B473" s="46" t="s">
        <v>120</v>
      </c>
      <c r="C473" s="46">
        <v>2417578</v>
      </c>
      <c r="D473" s="46">
        <v>1.1492</v>
      </c>
      <c r="E473" s="47">
        <f>SUMIF(Data!$E:$E,$C473,Data!$AI:$AI)</f>
        <v>0</v>
      </c>
      <c r="I473" s="13" t="s">
        <v>3364</v>
      </c>
      <c r="J473" s="13" t="s">
        <v>3365</v>
      </c>
      <c r="K473" s="13" t="s">
        <v>137</v>
      </c>
      <c r="L473" s="13" t="s">
        <v>2939</v>
      </c>
      <c r="M473" s="13" t="s">
        <v>3366</v>
      </c>
      <c r="N473" s="13">
        <v>95.394999999999996</v>
      </c>
      <c r="O473" s="13" t="s">
        <v>3367</v>
      </c>
      <c r="P473" s="13" t="s">
        <v>3368</v>
      </c>
      <c r="Q473" s="13" t="s">
        <v>734</v>
      </c>
      <c r="R473" s="13" t="s">
        <v>3369</v>
      </c>
      <c r="S473" s="13" t="s">
        <v>642</v>
      </c>
      <c r="T473" s="13" t="s">
        <v>643</v>
      </c>
      <c r="U473" s="13" t="s">
        <v>525</v>
      </c>
      <c r="V473" s="47">
        <f>SUMIF(Data!$E:$E,$I473,Data!$AI:$AI)</f>
        <v>0</v>
      </c>
    </row>
    <row r="474" spans="1:22" x14ac:dyDescent="0.25">
      <c r="A474" s="46" t="s">
        <v>3141</v>
      </c>
      <c r="B474" s="46" t="s">
        <v>120</v>
      </c>
      <c r="C474" s="46">
        <v>2927925</v>
      </c>
      <c r="D474" s="46">
        <v>2.0865999999999998</v>
      </c>
      <c r="E474" s="47">
        <f>SUMIF(Data!$E:$E,$C474,Data!$AI:$AI)</f>
        <v>0</v>
      </c>
      <c r="I474" s="13" t="s">
        <v>3370</v>
      </c>
      <c r="J474" s="13" t="s">
        <v>3371</v>
      </c>
      <c r="K474" s="13" t="s">
        <v>137</v>
      </c>
      <c r="L474" s="13" t="s">
        <v>2939</v>
      </c>
      <c r="M474" s="13" t="s">
        <v>3372</v>
      </c>
      <c r="N474" s="13">
        <v>11.417999999999999</v>
      </c>
      <c r="O474" s="13" t="s">
        <v>3373</v>
      </c>
      <c r="P474" s="13" t="s">
        <v>3374</v>
      </c>
      <c r="Q474" s="13" t="s">
        <v>143</v>
      </c>
      <c r="R474" s="13" t="s">
        <v>3375</v>
      </c>
      <c r="S474" s="13" t="s">
        <v>725</v>
      </c>
      <c r="T474" s="13" t="s">
        <v>726</v>
      </c>
      <c r="U474" s="13" t="s">
        <v>727</v>
      </c>
      <c r="V474" s="47">
        <f>SUMIF(Data!$E:$E,$I474,Data!$AI:$AI)</f>
        <v>0</v>
      </c>
    </row>
    <row r="475" spans="1:22" x14ac:dyDescent="0.25">
      <c r="A475" s="46" t="s">
        <v>3141</v>
      </c>
      <c r="B475" s="46" t="s">
        <v>120</v>
      </c>
      <c r="C475" s="46">
        <v>2933632</v>
      </c>
      <c r="D475" s="46">
        <v>1.2108000000000001</v>
      </c>
      <c r="E475" s="47">
        <f>SUMIF(Data!$E:$E,$C475,Data!$AI:$AI)</f>
        <v>0</v>
      </c>
      <c r="I475" s="13" t="s">
        <v>3376</v>
      </c>
      <c r="J475" s="13" t="s">
        <v>3377</v>
      </c>
      <c r="K475" s="13" t="s">
        <v>137</v>
      </c>
      <c r="L475" s="13" t="s">
        <v>2939</v>
      </c>
      <c r="M475" s="13" t="s">
        <v>3378</v>
      </c>
      <c r="N475" s="13">
        <v>756.851</v>
      </c>
      <c r="O475" s="13" t="s">
        <v>3379</v>
      </c>
      <c r="P475" s="13" t="s">
        <v>3380</v>
      </c>
      <c r="Q475" s="13" t="s">
        <v>143</v>
      </c>
      <c r="R475" s="13" t="s">
        <v>3381</v>
      </c>
      <c r="S475" s="13" t="s">
        <v>192</v>
      </c>
      <c r="T475" s="13" t="s">
        <v>146</v>
      </c>
      <c r="U475" s="13" t="s">
        <v>110</v>
      </c>
      <c r="V475" s="47">
        <f>SUMIF(Data!$E:$E,$I475,Data!$AI:$AI)</f>
        <v>0</v>
      </c>
    </row>
    <row r="476" spans="1:22" x14ac:dyDescent="0.25">
      <c r="A476" s="46" t="s">
        <v>3141</v>
      </c>
      <c r="B476" s="46" t="s">
        <v>120</v>
      </c>
      <c r="C476" s="46">
        <v>2946618</v>
      </c>
      <c r="D476" s="46">
        <v>0.3543</v>
      </c>
      <c r="E476" s="47">
        <f>SUMIF(Data!$E:$E,$C476,Data!$AI:$AI)</f>
        <v>0</v>
      </c>
      <c r="I476" s="13" t="s">
        <v>3382</v>
      </c>
      <c r="J476" s="13" t="s">
        <v>3383</v>
      </c>
      <c r="K476" s="13" t="s">
        <v>137</v>
      </c>
      <c r="L476" s="13" t="s">
        <v>2939</v>
      </c>
      <c r="M476" s="13" t="s">
        <v>3384</v>
      </c>
      <c r="N476" s="13">
        <v>44.808</v>
      </c>
      <c r="O476" s="13" t="s">
        <v>3385</v>
      </c>
      <c r="P476" s="13" t="s">
        <v>3386</v>
      </c>
      <c r="Q476" s="13" t="s">
        <v>143</v>
      </c>
      <c r="R476" s="13" t="s">
        <v>3387</v>
      </c>
      <c r="S476" s="13" t="s">
        <v>145</v>
      </c>
      <c r="T476" s="13" t="s">
        <v>146</v>
      </c>
      <c r="U476" s="13" t="s">
        <v>110</v>
      </c>
      <c r="V476" s="47">
        <f>SUMIF(Data!$E:$E,$I476,Data!$AI:$AI)</f>
        <v>0</v>
      </c>
    </row>
    <row r="477" spans="1:22" x14ac:dyDescent="0.25">
      <c r="A477" s="46" t="s">
        <v>3141</v>
      </c>
      <c r="B477" s="46" t="s">
        <v>120</v>
      </c>
      <c r="C477" s="46">
        <v>4948623</v>
      </c>
      <c r="D477" s="46">
        <v>0.17280000000000001</v>
      </c>
      <c r="E477" s="47">
        <f>SUMIF(Data!$E:$E,$C477,Data!$AI:$AI)</f>
        <v>0</v>
      </c>
      <c r="I477" s="13" t="s">
        <v>3388</v>
      </c>
      <c r="J477" s="13" t="s">
        <v>3389</v>
      </c>
      <c r="K477" s="13" t="s">
        <v>137</v>
      </c>
      <c r="L477" s="13" t="s">
        <v>2939</v>
      </c>
      <c r="M477" s="13" t="s">
        <v>3390</v>
      </c>
      <c r="N477" s="13">
        <v>394.81599999999997</v>
      </c>
      <c r="O477" s="13" t="s">
        <v>3391</v>
      </c>
      <c r="P477" s="13" t="s">
        <v>3392</v>
      </c>
      <c r="Q477" s="13" t="s">
        <v>806</v>
      </c>
      <c r="R477" s="13" t="s">
        <v>3393</v>
      </c>
      <c r="S477" s="13" t="s">
        <v>192</v>
      </c>
      <c r="T477" s="13" t="s">
        <v>146</v>
      </c>
      <c r="U477" s="13" t="s">
        <v>110</v>
      </c>
      <c r="V477" s="47">
        <f>SUMIF(Data!$E:$E,$I477,Data!$AI:$AI)</f>
        <v>0</v>
      </c>
    </row>
    <row r="478" spans="1:22" x14ac:dyDescent="0.25">
      <c r="A478" s="46" t="s">
        <v>3141</v>
      </c>
      <c r="B478" s="46" t="s">
        <v>120</v>
      </c>
      <c r="C478" s="46">
        <v>6161978</v>
      </c>
      <c r="D478" s="46">
        <v>0.63360000000000005</v>
      </c>
      <c r="E478" s="47">
        <f>SUMIF(Data!$E:$E,$C478,Data!$AI:$AI)</f>
        <v>0</v>
      </c>
      <c r="I478" s="13" t="s">
        <v>1387</v>
      </c>
      <c r="J478" s="13" t="s">
        <v>3394</v>
      </c>
      <c r="K478" s="13" t="s">
        <v>137</v>
      </c>
      <c r="L478" s="13" t="s">
        <v>2939</v>
      </c>
      <c r="M478" s="13" t="s">
        <v>3395</v>
      </c>
      <c r="N478" s="13">
        <v>90.349000000000004</v>
      </c>
      <c r="O478" s="13" t="s">
        <v>3396</v>
      </c>
      <c r="P478" s="13" t="s">
        <v>3397</v>
      </c>
      <c r="Q478" s="13" t="s">
        <v>694</v>
      </c>
      <c r="R478" s="13" t="s">
        <v>3398</v>
      </c>
      <c r="S478" s="13" t="s">
        <v>192</v>
      </c>
      <c r="T478" s="13" t="s">
        <v>146</v>
      </c>
      <c r="U478" s="13" t="s">
        <v>110</v>
      </c>
      <c r="V478" s="47">
        <f>SUMIF(Data!$E:$E,$I478,Data!$AI:$AI)</f>
        <v>0</v>
      </c>
    </row>
    <row r="479" spans="1:22" x14ac:dyDescent="0.25">
      <c r="A479" s="46" t="s">
        <v>3141</v>
      </c>
      <c r="B479" s="46" t="s">
        <v>120</v>
      </c>
      <c r="C479" s="46" t="s">
        <v>3399</v>
      </c>
      <c r="D479" s="46">
        <v>0.27939999999999998</v>
      </c>
      <c r="E479" s="47">
        <f>SUMIF(Data!$E:$E,$C479,Data!$AI:$AI)</f>
        <v>0</v>
      </c>
      <c r="I479" s="13">
        <v>9434</v>
      </c>
      <c r="J479" s="13" t="s">
        <v>3400</v>
      </c>
      <c r="K479" s="13" t="s">
        <v>137</v>
      </c>
      <c r="L479" s="13" t="s">
        <v>2939</v>
      </c>
      <c r="M479" s="13" t="s">
        <v>3401</v>
      </c>
      <c r="N479" s="13">
        <v>862</v>
      </c>
      <c r="O479" s="13" t="s">
        <v>3402</v>
      </c>
      <c r="P479" s="13" t="s">
        <v>3403</v>
      </c>
      <c r="Q479" s="13" t="s">
        <v>172</v>
      </c>
      <c r="R479" s="13" t="s">
        <v>3404</v>
      </c>
      <c r="S479" s="13" t="s">
        <v>441</v>
      </c>
      <c r="T479" s="13" t="s">
        <v>442</v>
      </c>
      <c r="U479" s="13" t="s">
        <v>443</v>
      </c>
      <c r="V479" s="47">
        <f>SUMIF(Data!$E:$E,$I479,Data!$AI:$AI)</f>
        <v>0</v>
      </c>
    </row>
    <row r="480" spans="1:22" x14ac:dyDescent="0.25">
      <c r="A480" s="46" t="s">
        <v>3141</v>
      </c>
      <c r="B480" s="46" t="s">
        <v>120</v>
      </c>
      <c r="C480" s="46" t="s">
        <v>3405</v>
      </c>
      <c r="D480" s="46">
        <v>0.18329999999999999</v>
      </c>
      <c r="E480" s="47">
        <f>SUMIF(Data!$E:$E,$C480,Data!$AI:$AI)</f>
        <v>0</v>
      </c>
      <c r="I480" s="13" t="s">
        <v>3406</v>
      </c>
      <c r="J480" s="13" t="s">
        <v>3407</v>
      </c>
      <c r="K480" s="13" t="s">
        <v>137</v>
      </c>
      <c r="L480" s="13" t="s">
        <v>2939</v>
      </c>
      <c r="M480" s="13" t="s">
        <v>3408</v>
      </c>
      <c r="N480" s="13">
        <v>96.317999999999998</v>
      </c>
      <c r="O480" s="13" t="s">
        <v>3409</v>
      </c>
      <c r="P480" s="13" t="s">
        <v>3410</v>
      </c>
      <c r="Q480" s="13" t="s">
        <v>694</v>
      </c>
      <c r="R480" s="13" t="s">
        <v>3411</v>
      </c>
      <c r="S480" s="13" t="s">
        <v>192</v>
      </c>
      <c r="T480" s="13" t="s">
        <v>146</v>
      </c>
      <c r="U480" s="13" t="s">
        <v>110</v>
      </c>
      <c r="V480" s="47">
        <f>SUMIF(Data!$E:$E,$I480,Data!$AI:$AI)</f>
        <v>0</v>
      </c>
    </row>
    <row r="481" spans="1:22" x14ac:dyDescent="0.25">
      <c r="A481" s="46" t="s">
        <v>3141</v>
      </c>
      <c r="B481" s="46" t="s">
        <v>120</v>
      </c>
      <c r="C481" s="46" t="s">
        <v>3412</v>
      </c>
      <c r="D481" s="46">
        <v>0.12740000000000001</v>
      </c>
      <c r="E481" s="47">
        <f>SUMIF(Data!$E:$E,$C481,Data!$AI:$AI)</f>
        <v>0</v>
      </c>
      <c r="I481" s="13" t="s">
        <v>3413</v>
      </c>
      <c r="J481" s="13" t="s">
        <v>3414</v>
      </c>
      <c r="K481" s="13" t="s">
        <v>137</v>
      </c>
      <c r="L481" s="13" t="s">
        <v>2939</v>
      </c>
      <c r="M481" s="13" t="s">
        <v>3415</v>
      </c>
      <c r="N481" s="13">
        <v>78.19</v>
      </c>
      <c r="O481" s="13" t="s">
        <v>3416</v>
      </c>
      <c r="P481" s="13" t="s">
        <v>3417</v>
      </c>
      <c r="Q481" s="13" t="s">
        <v>224</v>
      </c>
      <c r="R481" s="13" t="s">
        <v>3418</v>
      </c>
      <c r="S481" s="13" t="s">
        <v>192</v>
      </c>
      <c r="T481" s="13" t="s">
        <v>146</v>
      </c>
      <c r="U481" s="13" t="s">
        <v>110</v>
      </c>
      <c r="V481" s="47">
        <f>SUMIF(Data!$E:$E,$I481,Data!$AI:$AI)</f>
        <v>0</v>
      </c>
    </row>
    <row r="482" spans="1:22" x14ac:dyDescent="0.25">
      <c r="A482" s="46" t="s">
        <v>3141</v>
      </c>
      <c r="B482" s="46" t="s">
        <v>120</v>
      </c>
      <c r="C482" s="46" t="s">
        <v>3419</v>
      </c>
      <c r="D482" s="46">
        <v>2.0888</v>
      </c>
      <c r="E482" s="47">
        <f>SUMIF(Data!$E:$E,$C482,Data!$AI:$AI)</f>
        <v>0</v>
      </c>
      <c r="I482" s="13" t="s">
        <v>3420</v>
      </c>
      <c r="J482" s="13" t="s">
        <v>3421</v>
      </c>
      <c r="K482" s="13" t="s">
        <v>137</v>
      </c>
      <c r="L482" s="13" t="s">
        <v>2939</v>
      </c>
      <c r="M482" s="13" t="s">
        <v>3422</v>
      </c>
      <c r="N482" s="13">
        <v>157.35300000000001</v>
      </c>
      <c r="O482" s="13" t="s">
        <v>3423</v>
      </c>
      <c r="P482" s="13" t="s">
        <v>3424</v>
      </c>
      <c r="Q482" s="13" t="s">
        <v>208</v>
      </c>
      <c r="R482" s="13" t="s">
        <v>3425</v>
      </c>
      <c r="S482" s="13" t="s">
        <v>145</v>
      </c>
      <c r="T482" s="13" t="s">
        <v>146</v>
      </c>
      <c r="U482" s="13" t="s">
        <v>110</v>
      </c>
      <c r="V482" s="47">
        <f>SUMIF(Data!$E:$E,$I482,Data!$AI:$AI)</f>
        <v>0</v>
      </c>
    </row>
    <row r="483" spans="1:22" x14ac:dyDescent="0.25">
      <c r="A483" s="46" t="s">
        <v>3141</v>
      </c>
      <c r="B483" s="46" t="s">
        <v>120</v>
      </c>
      <c r="C483" s="46">
        <v>406501</v>
      </c>
      <c r="D483" s="46">
        <v>0.4541</v>
      </c>
      <c r="E483" s="47">
        <f>SUMIF(Data!$E:$E,$C483,Data!$AI:$AI)</f>
        <v>0</v>
      </c>
      <c r="I483" s="13" t="s">
        <v>3426</v>
      </c>
      <c r="J483" s="13" t="s">
        <v>3427</v>
      </c>
      <c r="K483" s="13" t="s">
        <v>137</v>
      </c>
      <c r="L483" s="13" t="s">
        <v>2939</v>
      </c>
      <c r="M483" s="13" t="s">
        <v>3428</v>
      </c>
      <c r="N483" s="13">
        <v>406.29899999999998</v>
      </c>
      <c r="O483" s="13" t="s">
        <v>3429</v>
      </c>
      <c r="P483" s="13" t="s">
        <v>3430</v>
      </c>
      <c r="Q483" s="13" t="s">
        <v>734</v>
      </c>
      <c r="R483" s="13" t="s">
        <v>3431</v>
      </c>
      <c r="S483" s="13" t="s">
        <v>192</v>
      </c>
      <c r="T483" s="13" t="s">
        <v>146</v>
      </c>
      <c r="U483" s="13" t="s">
        <v>110</v>
      </c>
      <c r="V483" s="47">
        <f>SUMIF(Data!$E:$E,$I483,Data!$AI:$AI)</f>
        <v>0</v>
      </c>
    </row>
    <row r="484" spans="1:22" x14ac:dyDescent="0.25">
      <c r="A484" s="46" t="s">
        <v>3141</v>
      </c>
      <c r="B484" s="46" t="s">
        <v>120</v>
      </c>
      <c r="C484" s="46">
        <v>6396800</v>
      </c>
      <c r="D484" s="46">
        <v>0.61760000000000004</v>
      </c>
      <c r="E484" s="47">
        <f>SUMIF(Data!$E:$E,$C484,Data!$AI:$AI)</f>
        <v>0</v>
      </c>
      <c r="I484" s="13" t="s">
        <v>3432</v>
      </c>
      <c r="J484" s="13" t="s">
        <v>3433</v>
      </c>
      <c r="K484" s="13" t="s">
        <v>137</v>
      </c>
      <c r="L484" s="13" t="s">
        <v>2939</v>
      </c>
      <c r="M484" s="13" t="s">
        <v>3434</v>
      </c>
      <c r="N484" s="13">
        <v>352.846</v>
      </c>
      <c r="O484" s="13" t="s">
        <v>3435</v>
      </c>
      <c r="P484" s="13" t="s">
        <v>3436</v>
      </c>
      <c r="Q484" s="13" t="s">
        <v>694</v>
      </c>
      <c r="R484" s="13" t="s">
        <v>3437</v>
      </c>
      <c r="S484" s="13" t="s">
        <v>523</v>
      </c>
      <c r="T484" s="13" t="s">
        <v>524</v>
      </c>
      <c r="U484" s="13" t="s">
        <v>525</v>
      </c>
      <c r="V484" s="47">
        <f>SUMIF(Data!$E:$E,$I484,Data!$AI:$AI)</f>
        <v>0</v>
      </c>
    </row>
    <row r="485" spans="1:22" x14ac:dyDescent="0.25">
      <c r="A485" s="46" t="s">
        <v>3141</v>
      </c>
      <c r="B485" s="46" t="s">
        <v>120</v>
      </c>
      <c r="C485" s="46">
        <v>6397580</v>
      </c>
      <c r="D485" s="46">
        <v>0.55479999999999996</v>
      </c>
      <c r="E485" s="47">
        <f>SUMIF(Data!$E:$E,$C485,Data!$AI:$AI)</f>
        <v>0</v>
      </c>
      <c r="I485" s="13">
        <v>4901</v>
      </c>
      <c r="J485" s="13" t="s">
        <v>3438</v>
      </c>
      <c r="K485" s="13" t="s">
        <v>137</v>
      </c>
      <c r="L485" s="13" t="s">
        <v>2939</v>
      </c>
      <c r="M485" s="13" t="s">
        <v>3439</v>
      </c>
      <c r="N485" s="13">
        <v>214.46100000000001</v>
      </c>
      <c r="O485" s="13" t="s">
        <v>3440</v>
      </c>
      <c r="P485" s="13" t="s">
        <v>3441</v>
      </c>
      <c r="Q485" s="13" t="s">
        <v>143</v>
      </c>
      <c r="R485" s="13" t="s">
        <v>3442</v>
      </c>
      <c r="S485" s="13" t="s">
        <v>441</v>
      </c>
      <c r="T485" s="13" t="s">
        <v>442</v>
      </c>
      <c r="U485" s="13" t="s">
        <v>443</v>
      </c>
      <c r="V485" s="47">
        <f>SUMIF(Data!$E:$E,$I485,Data!$AI:$AI)</f>
        <v>0</v>
      </c>
    </row>
    <row r="486" spans="1:22" x14ac:dyDescent="0.25">
      <c r="A486" s="46" t="s">
        <v>3141</v>
      </c>
      <c r="B486" s="46" t="s">
        <v>120</v>
      </c>
      <c r="C486" s="46">
        <v>6513342</v>
      </c>
      <c r="D486" s="46">
        <v>0.45600000000000002</v>
      </c>
      <c r="E486" s="47">
        <f>SUMIF(Data!$E:$E,$C486,Data!$AI:$AI)</f>
        <v>0</v>
      </c>
      <c r="I486" s="13" t="s">
        <v>3443</v>
      </c>
      <c r="J486" s="13" t="s">
        <v>3444</v>
      </c>
      <c r="K486" s="13" t="s">
        <v>137</v>
      </c>
      <c r="L486" s="13" t="s">
        <v>2939</v>
      </c>
      <c r="M486" s="13" t="s">
        <v>3445</v>
      </c>
      <c r="N486" s="13">
        <v>114.54</v>
      </c>
      <c r="O486" s="13" t="s">
        <v>3446</v>
      </c>
      <c r="P486" s="13" t="s">
        <v>3447</v>
      </c>
      <c r="Q486" s="13" t="s">
        <v>734</v>
      </c>
      <c r="R486" s="13" t="s">
        <v>3448</v>
      </c>
      <c r="S486" s="13" t="s">
        <v>642</v>
      </c>
      <c r="T486" s="13" t="s">
        <v>643</v>
      </c>
      <c r="U486" s="13" t="s">
        <v>525</v>
      </c>
      <c r="V486" s="47">
        <f>SUMIF(Data!$E:$E,$I486,Data!$AI:$AI)</f>
        <v>0</v>
      </c>
    </row>
    <row r="487" spans="1:22" x14ac:dyDescent="0.25">
      <c r="A487" s="46" t="s">
        <v>3141</v>
      </c>
      <c r="B487" s="46" t="s">
        <v>120</v>
      </c>
      <c r="C487" s="46">
        <v>6723839</v>
      </c>
      <c r="D487" s="46">
        <v>0.41399999999999998</v>
      </c>
      <c r="E487" s="47">
        <f>SUMIF(Data!$E:$E,$C487,Data!$AI:$AI)</f>
        <v>0</v>
      </c>
      <c r="I487" s="13" t="s">
        <v>3449</v>
      </c>
      <c r="J487" s="13" t="s">
        <v>3450</v>
      </c>
      <c r="K487" s="13" t="s">
        <v>137</v>
      </c>
      <c r="L487" s="13" t="s">
        <v>2939</v>
      </c>
      <c r="M487" s="13" t="s">
        <v>3451</v>
      </c>
      <c r="N487" s="13">
        <v>460.37</v>
      </c>
      <c r="O487" s="13" t="s">
        <v>3452</v>
      </c>
      <c r="P487" s="13" t="s">
        <v>3453</v>
      </c>
      <c r="Q487" s="13" t="s">
        <v>260</v>
      </c>
      <c r="R487" s="13" t="s">
        <v>3454</v>
      </c>
      <c r="S487" s="13" t="s">
        <v>847</v>
      </c>
      <c r="T487" s="13" t="s">
        <v>848</v>
      </c>
      <c r="U487" s="13" t="s">
        <v>849</v>
      </c>
      <c r="V487" s="47">
        <f>SUMIF(Data!$E:$E,$I487,Data!$AI:$AI)</f>
        <v>0</v>
      </c>
    </row>
    <row r="488" spans="1:22" x14ac:dyDescent="0.25">
      <c r="A488" s="46" t="s">
        <v>3141</v>
      </c>
      <c r="B488" s="46" t="s">
        <v>120</v>
      </c>
      <c r="C488" s="46" t="s">
        <v>3455</v>
      </c>
      <c r="D488" s="46">
        <v>0.45889999999999997</v>
      </c>
      <c r="E488" s="47">
        <f>SUMIF(Data!$E:$E,$C488,Data!$AI:$AI)</f>
        <v>0</v>
      </c>
      <c r="I488" s="13" t="s">
        <v>3456</v>
      </c>
      <c r="J488" s="13" t="s">
        <v>3457</v>
      </c>
      <c r="K488" s="13" t="s">
        <v>137</v>
      </c>
      <c r="L488" s="13" t="s">
        <v>2939</v>
      </c>
      <c r="M488" s="13" t="s">
        <v>3458</v>
      </c>
      <c r="N488" s="13">
        <v>92.356999999999999</v>
      </c>
      <c r="O488" s="13" t="s">
        <v>3459</v>
      </c>
      <c r="P488" s="13" t="s">
        <v>3460</v>
      </c>
      <c r="Q488" s="13" t="s">
        <v>162</v>
      </c>
      <c r="R488" s="13" t="s">
        <v>3461</v>
      </c>
      <c r="S488" s="13" t="s">
        <v>560</v>
      </c>
      <c r="T488" s="13" t="s">
        <v>561</v>
      </c>
      <c r="U488" s="13" t="s">
        <v>525</v>
      </c>
      <c r="V488" s="47">
        <f>SUMIF(Data!$E:$E,$I488,Data!$AI:$AI)</f>
        <v>0</v>
      </c>
    </row>
    <row r="489" spans="1:22" x14ac:dyDescent="0.25">
      <c r="A489" s="46" t="s">
        <v>3141</v>
      </c>
      <c r="B489" s="46" t="s">
        <v>120</v>
      </c>
      <c r="C489" s="46" t="s">
        <v>3462</v>
      </c>
      <c r="D489" s="46">
        <v>0.3513</v>
      </c>
      <c r="E489" s="47">
        <f>SUMIF(Data!$E:$E,$C489,Data!$AI:$AI)</f>
        <v>0</v>
      </c>
      <c r="I489" s="13">
        <v>8802</v>
      </c>
      <c r="J489" s="13" t="s">
        <v>3463</v>
      </c>
      <c r="K489" s="13" t="s">
        <v>137</v>
      </c>
      <c r="L489" s="13" t="s">
        <v>2939</v>
      </c>
      <c r="M489" s="13" t="s">
        <v>3464</v>
      </c>
      <c r="N489" s="13">
        <v>598.83100000000002</v>
      </c>
      <c r="O489" s="13" t="s">
        <v>3465</v>
      </c>
      <c r="P489" s="13" t="s">
        <v>3466</v>
      </c>
      <c r="Q489" s="13" t="s">
        <v>806</v>
      </c>
      <c r="R489" s="13" t="s">
        <v>3467</v>
      </c>
      <c r="S489" s="13" t="s">
        <v>441</v>
      </c>
      <c r="T489" s="13" t="s">
        <v>442</v>
      </c>
      <c r="U489" s="13" t="s">
        <v>443</v>
      </c>
      <c r="V489" s="47">
        <f>SUMIF(Data!$E:$E,$I489,Data!$AI:$AI)</f>
        <v>0</v>
      </c>
    </row>
    <row r="490" spans="1:22" x14ac:dyDescent="0.25">
      <c r="A490" s="46" t="s">
        <v>3141</v>
      </c>
      <c r="B490" s="46" t="s">
        <v>120</v>
      </c>
      <c r="C490" s="46">
        <v>2316619</v>
      </c>
      <c r="D490" s="46">
        <v>1.5827</v>
      </c>
      <c r="E490" s="47">
        <f>SUMIF(Data!$E:$E,$C490,Data!$AI:$AI)</f>
        <v>0</v>
      </c>
      <c r="I490" s="13" t="s">
        <v>3468</v>
      </c>
      <c r="J490" s="13" t="s">
        <v>3469</v>
      </c>
      <c r="K490" s="13" t="s">
        <v>137</v>
      </c>
      <c r="L490" s="13" t="s">
        <v>2939</v>
      </c>
      <c r="M490" s="13" t="s">
        <v>3470</v>
      </c>
      <c r="N490" s="13">
        <v>76.620999999999995</v>
      </c>
      <c r="O490" s="13" t="s">
        <v>3471</v>
      </c>
      <c r="P490" s="13" t="s">
        <v>3472</v>
      </c>
      <c r="Q490" s="13" t="s">
        <v>143</v>
      </c>
      <c r="R490" s="13" t="s">
        <v>3473</v>
      </c>
      <c r="S490" s="13" t="s">
        <v>145</v>
      </c>
      <c r="T490" s="13" t="s">
        <v>146</v>
      </c>
      <c r="U490" s="13" t="s">
        <v>110</v>
      </c>
      <c r="V490" s="47">
        <f>SUMIF(Data!$E:$E,$I490,Data!$AI:$AI)</f>
        <v>0</v>
      </c>
    </row>
    <row r="491" spans="1:22" x14ac:dyDescent="0.25">
      <c r="A491" s="46" t="s">
        <v>3141</v>
      </c>
      <c r="B491" s="46" t="s">
        <v>120</v>
      </c>
      <c r="C491" s="46" t="s">
        <v>3474</v>
      </c>
      <c r="D491" s="46">
        <v>1.5763</v>
      </c>
      <c r="E491" s="47">
        <f>SUMIF(Data!$E:$E,$C491,Data!$AI:$AI)</f>
        <v>0</v>
      </c>
      <c r="I491" s="13" t="s">
        <v>3475</v>
      </c>
      <c r="J491" s="13" t="s">
        <v>3476</v>
      </c>
      <c r="K491" s="13" t="s">
        <v>137</v>
      </c>
      <c r="L491" s="13" t="s">
        <v>2939</v>
      </c>
      <c r="M491" s="13" t="s">
        <v>3477</v>
      </c>
      <c r="N491" s="13">
        <v>122.964</v>
      </c>
      <c r="O491" s="13" t="s">
        <v>3478</v>
      </c>
      <c r="P491" s="13" t="s">
        <v>3479</v>
      </c>
      <c r="Q491" s="13" t="s">
        <v>416</v>
      </c>
      <c r="R491" s="13" t="s">
        <v>3480</v>
      </c>
      <c r="S491" s="13" t="s">
        <v>476</v>
      </c>
      <c r="T491" s="13" t="s">
        <v>477</v>
      </c>
      <c r="U491" s="13" t="s">
        <v>478</v>
      </c>
      <c r="V491" s="47">
        <f>SUMIF(Data!$E:$E,$I491,Data!$AI:$AI)</f>
        <v>0</v>
      </c>
    </row>
    <row r="492" spans="1:22" x14ac:dyDescent="0.25">
      <c r="A492" s="46" t="s">
        <v>3141</v>
      </c>
      <c r="B492" s="46" t="s">
        <v>120</v>
      </c>
      <c r="C492" s="46" t="s">
        <v>3481</v>
      </c>
      <c r="D492" s="46">
        <v>1.0846</v>
      </c>
      <c r="E492" s="47">
        <f>SUMIF(Data!$E:$E,$C492,Data!$AI:$AI)</f>
        <v>0</v>
      </c>
      <c r="I492" s="13" t="s">
        <v>3482</v>
      </c>
      <c r="J492" s="13" t="s">
        <v>3483</v>
      </c>
      <c r="K492" s="13" t="s">
        <v>137</v>
      </c>
      <c r="L492" s="13" t="s">
        <v>2939</v>
      </c>
      <c r="M492" s="13" t="s">
        <v>3484</v>
      </c>
      <c r="N492" s="13">
        <v>132.39400000000001</v>
      </c>
      <c r="O492" s="13" t="s">
        <v>3485</v>
      </c>
      <c r="P492" s="13" t="s">
        <v>3486</v>
      </c>
      <c r="Q492" s="13" t="s">
        <v>143</v>
      </c>
      <c r="R492" s="13" t="s">
        <v>3487</v>
      </c>
      <c r="S492" s="13" t="s">
        <v>725</v>
      </c>
      <c r="T492" s="13" t="s">
        <v>726</v>
      </c>
      <c r="U492" s="13" t="s">
        <v>727</v>
      </c>
      <c r="V492" s="47">
        <f>SUMIF(Data!$E:$E,$I492,Data!$AI:$AI)</f>
        <v>0</v>
      </c>
    </row>
    <row r="493" spans="1:22" x14ac:dyDescent="0.25">
      <c r="A493" s="46" t="s">
        <v>3141</v>
      </c>
      <c r="B493" s="46" t="s">
        <v>120</v>
      </c>
      <c r="C493" s="46" t="s">
        <v>3488</v>
      </c>
      <c r="D493" s="46">
        <v>0.43120000000000003</v>
      </c>
      <c r="E493" s="47">
        <f>SUMIF(Data!$E:$E,$C493,Data!$AI:$AI)</f>
        <v>0</v>
      </c>
      <c r="I493" s="13" t="s">
        <v>3489</v>
      </c>
      <c r="J493" s="13" t="s">
        <v>3490</v>
      </c>
      <c r="K493" s="13" t="s">
        <v>137</v>
      </c>
      <c r="L493" s="13" t="s">
        <v>2939</v>
      </c>
      <c r="M493" s="13" t="s">
        <v>3491</v>
      </c>
      <c r="N493" s="13">
        <v>155.136</v>
      </c>
      <c r="O493" s="13" t="s">
        <v>3492</v>
      </c>
      <c r="P493" s="13" t="s">
        <v>3493</v>
      </c>
      <c r="Q493" s="13" t="s">
        <v>143</v>
      </c>
      <c r="R493" s="13" t="s">
        <v>3494</v>
      </c>
      <c r="S493" s="13" t="s">
        <v>145</v>
      </c>
      <c r="T493" s="13" t="s">
        <v>146</v>
      </c>
      <c r="U493" s="13" t="s">
        <v>110</v>
      </c>
      <c r="V493" s="47">
        <f>SUMIF(Data!$E:$E,$I493,Data!$AI:$AI)</f>
        <v>0</v>
      </c>
    </row>
    <row r="494" spans="1:22" x14ac:dyDescent="0.25">
      <c r="A494" s="46" t="s">
        <v>3141</v>
      </c>
      <c r="B494" s="46" t="s">
        <v>120</v>
      </c>
      <c r="C494" s="46" t="s">
        <v>3495</v>
      </c>
      <c r="D494" s="46">
        <v>0.31219999999999998</v>
      </c>
      <c r="E494" s="47">
        <f>SUMIF(Data!$E:$E,$C494,Data!$AI:$AI)</f>
        <v>0</v>
      </c>
      <c r="I494" s="13" t="s">
        <v>3496</v>
      </c>
      <c r="J494" s="13" t="s">
        <v>3497</v>
      </c>
      <c r="K494" s="13" t="s">
        <v>137</v>
      </c>
      <c r="L494" s="13" t="s">
        <v>2939</v>
      </c>
      <c r="M494" s="13" t="s">
        <v>3498</v>
      </c>
      <c r="N494" s="13">
        <v>68.805999999999997</v>
      </c>
      <c r="O494" s="13" t="s">
        <v>3499</v>
      </c>
      <c r="P494" s="13" t="s">
        <v>3500</v>
      </c>
      <c r="Q494" s="13" t="s">
        <v>224</v>
      </c>
      <c r="R494" s="13" t="s">
        <v>3501</v>
      </c>
      <c r="S494" s="13" t="s">
        <v>192</v>
      </c>
      <c r="T494" s="13" t="s">
        <v>146</v>
      </c>
      <c r="U494" s="13" t="s">
        <v>110</v>
      </c>
      <c r="V494" s="47">
        <f>SUMIF(Data!$E:$E,$I494,Data!$AI:$AI)</f>
        <v>0</v>
      </c>
    </row>
    <row r="495" spans="1:22" x14ac:dyDescent="0.25">
      <c r="A495" s="46" t="s">
        <v>3141</v>
      </c>
      <c r="B495" s="46" t="s">
        <v>120</v>
      </c>
      <c r="C495" s="46">
        <v>683434</v>
      </c>
      <c r="D495" s="46">
        <v>0.16789999999999999</v>
      </c>
      <c r="E495" s="47">
        <f>SUMIF(Data!$E:$E,$C495,Data!$AI:$AI)</f>
        <v>0</v>
      </c>
      <c r="I495" s="13">
        <v>5108</v>
      </c>
      <c r="J495" s="13" t="s">
        <v>3502</v>
      </c>
      <c r="K495" s="13" t="s">
        <v>137</v>
      </c>
      <c r="L495" s="13" t="s">
        <v>2939</v>
      </c>
      <c r="M495" s="13" t="s">
        <v>3503</v>
      </c>
      <c r="N495" s="13">
        <v>308.851</v>
      </c>
      <c r="O495" s="13" t="s">
        <v>3504</v>
      </c>
      <c r="P495" s="13" t="s">
        <v>3505</v>
      </c>
      <c r="Q495" s="13" t="s">
        <v>162</v>
      </c>
      <c r="R495" s="13" t="s">
        <v>3506</v>
      </c>
      <c r="S495" s="13" t="s">
        <v>441</v>
      </c>
      <c r="T495" s="13" t="s">
        <v>442</v>
      </c>
      <c r="U495" s="13" t="s">
        <v>443</v>
      </c>
      <c r="V495" s="47">
        <f>SUMIF(Data!$E:$E,$I495,Data!$AI:$AI)</f>
        <v>0</v>
      </c>
    </row>
    <row r="496" spans="1:22" x14ac:dyDescent="0.25">
      <c r="A496" s="46" t="s">
        <v>3141</v>
      </c>
      <c r="B496" s="46" t="s">
        <v>120</v>
      </c>
      <c r="C496" s="46">
        <v>2009210</v>
      </c>
      <c r="D496" s="46">
        <v>1.0575000000000001</v>
      </c>
      <c r="E496" s="47">
        <f>SUMIF(Data!$E:$E,$C496,Data!$AI:$AI)</f>
        <v>0</v>
      </c>
      <c r="I496" s="13">
        <v>823</v>
      </c>
      <c r="J496" s="13" t="s">
        <v>3507</v>
      </c>
      <c r="K496" s="13" t="s">
        <v>137</v>
      </c>
      <c r="L496" s="13" t="s">
        <v>2939</v>
      </c>
      <c r="M496" s="13" t="s">
        <v>3508</v>
      </c>
      <c r="N496" s="13" t="s">
        <v>3509</v>
      </c>
      <c r="O496" s="13" t="s">
        <v>3510</v>
      </c>
      <c r="P496" s="13" t="s">
        <v>3511</v>
      </c>
      <c r="Q496" s="13" t="s">
        <v>806</v>
      </c>
      <c r="R496" s="13" t="s">
        <v>3512</v>
      </c>
      <c r="S496" s="13" t="s">
        <v>549</v>
      </c>
      <c r="T496" s="13" t="s">
        <v>550</v>
      </c>
      <c r="U496" s="13" t="s">
        <v>551</v>
      </c>
      <c r="V496" s="47">
        <f>SUMIF(Data!$E:$E,$I496,Data!$AI:$AI)</f>
        <v>0</v>
      </c>
    </row>
    <row r="497" spans="1:22" x14ac:dyDescent="0.25">
      <c r="A497" s="46" t="s">
        <v>3141</v>
      </c>
      <c r="B497" s="46" t="s">
        <v>120</v>
      </c>
      <c r="C497" s="46">
        <v>2043274</v>
      </c>
      <c r="D497" s="46">
        <v>0.58079999999999998</v>
      </c>
      <c r="E497" s="47">
        <f>SUMIF(Data!$E:$E,$C497,Data!$AI:$AI)</f>
        <v>0</v>
      </c>
      <c r="I497" s="13" t="s">
        <v>3513</v>
      </c>
      <c r="J497" s="13" t="s">
        <v>3514</v>
      </c>
      <c r="K497" s="13" t="s">
        <v>137</v>
      </c>
      <c r="L497" s="13" t="s">
        <v>2939</v>
      </c>
      <c r="M497" s="13" t="s">
        <v>3515</v>
      </c>
      <c r="N497" s="13" t="s">
        <v>3516</v>
      </c>
      <c r="O497" s="13" t="s">
        <v>3517</v>
      </c>
      <c r="P497" s="13" t="s">
        <v>3518</v>
      </c>
      <c r="Q497" s="13" t="s">
        <v>172</v>
      </c>
      <c r="R497" s="13" t="s">
        <v>3519</v>
      </c>
      <c r="S497" s="13" t="s">
        <v>2365</v>
      </c>
      <c r="T497" s="13" t="s">
        <v>2366</v>
      </c>
      <c r="U497" s="13" t="s">
        <v>2367</v>
      </c>
      <c r="V497" s="47">
        <f>SUMIF(Data!$E:$E,$I497,Data!$AI:$AI)</f>
        <v>0</v>
      </c>
    </row>
    <row r="498" spans="1:22" x14ac:dyDescent="0.25">
      <c r="A498" s="46" t="s">
        <v>3141</v>
      </c>
      <c r="B498" s="46" t="s">
        <v>120</v>
      </c>
      <c r="C498" s="46">
        <v>2057059</v>
      </c>
      <c r="D498" s="46">
        <v>0.63800000000000001</v>
      </c>
      <c r="E498" s="47">
        <f>SUMIF(Data!$E:$E,$C498,Data!$AI:$AI)</f>
        <v>0</v>
      </c>
      <c r="I498" s="13">
        <v>6502</v>
      </c>
      <c r="J498" s="13" t="s">
        <v>3520</v>
      </c>
      <c r="K498" s="13" t="s">
        <v>137</v>
      </c>
      <c r="L498" s="13" t="s">
        <v>2939</v>
      </c>
      <c r="M498" s="13" t="s">
        <v>3521</v>
      </c>
      <c r="N498" s="13">
        <v>322.92700000000002</v>
      </c>
      <c r="O498" s="13" t="s">
        <v>3522</v>
      </c>
      <c r="P498" s="13" t="s">
        <v>3523</v>
      </c>
      <c r="Q498" s="13" t="s">
        <v>416</v>
      </c>
      <c r="R498" s="13" t="s">
        <v>3524</v>
      </c>
      <c r="S498" s="13" t="s">
        <v>441</v>
      </c>
      <c r="T498" s="13" t="s">
        <v>442</v>
      </c>
      <c r="U498" s="13" t="s">
        <v>443</v>
      </c>
      <c r="V498" s="47">
        <f>SUMIF(Data!$E:$E,$I498,Data!$AI:$AI)</f>
        <v>0</v>
      </c>
    </row>
    <row r="499" spans="1:22" x14ac:dyDescent="0.25">
      <c r="A499" s="46" t="s">
        <v>3141</v>
      </c>
      <c r="B499" s="46" t="s">
        <v>120</v>
      </c>
      <c r="C499" s="46">
        <v>2062161</v>
      </c>
      <c r="D499" s="46">
        <v>0.13009999999999999</v>
      </c>
      <c r="E499" s="47">
        <f>SUMIF(Data!$E:$E,$C499,Data!$AI:$AI)</f>
        <v>0</v>
      </c>
      <c r="I499" s="13" t="s">
        <v>3525</v>
      </c>
      <c r="J499" s="13" t="s">
        <v>3526</v>
      </c>
      <c r="K499" s="13" t="s">
        <v>137</v>
      </c>
      <c r="L499" s="13" t="s">
        <v>2939</v>
      </c>
      <c r="M499" s="13" t="s">
        <v>3527</v>
      </c>
      <c r="N499" s="13">
        <v>76.786000000000001</v>
      </c>
      <c r="O499" s="13" t="s">
        <v>3528</v>
      </c>
      <c r="P499" s="13" t="s">
        <v>3529</v>
      </c>
      <c r="Q499" s="13" t="s">
        <v>806</v>
      </c>
      <c r="R499" s="13" t="s">
        <v>3530</v>
      </c>
      <c r="S499" s="13" t="s">
        <v>642</v>
      </c>
      <c r="T499" s="13" t="s">
        <v>561</v>
      </c>
      <c r="U499" s="13" t="s">
        <v>525</v>
      </c>
      <c r="V499" s="47">
        <f>SUMIF(Data!$E:$E,$I499,Data!$AI:$AI)</f>
        <v>0</v>
      </c>
    </row>
    <row r="500" spans="1:22" x14ac:dyDescent="0.25">
      <c r="A500" s="46" t="s">
        <v>3141</v>
      </c>
      <c r="B500" s="46" t="s">
        <v>120</v>
      </c>
      <c r="C500" s="46">
        <v>2139151</v>
      </c>
      <c r="D500" s="46">
        <v>0.21260000000000001</v>
      </c>
      <c r="E500" s="47">
        <f>SUMIF(Data!$E:$E,$C500,Data!$AI:$AI)</f>
        <v>0</v>
      </c>
      <c r="I500" s="13">
        <v>6301</v>
      </c>
      <c r="J500" s="13" t="s">
        <v>3531</v>
      </c>
      <c r="K500" s="13" t="s">
        <v>137</v>
      </c>
      <c r="L500" s="13" t="s">
        <v>2939</v>
      </c>
      <c r="M500" s="13" t="s">
        <v>3532</v>
      </c>
      <c r="N500" s="13">
        <v>470.03800000000001</v>
      </c>
      <c r="O500" s="13" t="s">
        <v>3533</v>
      </c>
      <c r="P500" s="13" t="s">
        <v>3534</v>
      </c>
      <c r="Q500" s="13" t="s">
        <v>416</v>
      </c>
      <c r="R500" s="13" t="s">
        <v>3535</v>
      </c>
      <c r="S500" s="13" t="s">
        <v>441</v>
      </c>
      <c r="T500" s="13" t="s">
        <v>442</v>
      </c>
      <c r="U500" s="13" t="s">
        <v>443</v>
      </c>
      <c r="V500" s="47">
        <f>SUMIF(Data!$E:$E,$I500,Data!$AI:$AI)</f>
        <v>0</v>
      </c>
    </row>
    <row r="501" spans="1:22" x14ac:dyDescent="0.25">
      <c r="A501" s="46" t="s">
        <v>3141</v>
      </c>
      <c r="B501" s="46" t="s">
        <v>120</v>
      </c>
      <c r="C501" s="46">
        <v>2167475</v>
      </c>
      <c r="D501" s="46">
        <v>0.12139999999999999</v>
      </c>
      <c r="E501" s="47">
        <f>SUMIF(Data!$E:$E,$C501,Data!$AI:$AI)</f>
        <v>0</v>
      </c>
      <c r="I501" s="13" t="s">
        <v>3536</v>
      </c>
      <c r="J501" s="13" t="s">
        <v>3537</v>
      </c>
      <c r="K501" s="13" t="s">
        <v>137</v>
      </c>
      <c r="L501" s="13" t="s">
        <v>2939</v>
      </c>
      <c r="M501" s="13" t="s">
        <v>3538</v>
      </c>
      <c r="N501" s="13">
        <v>71.784999999999997</v>
      </c>
      <c r="O501" s="13" t="s">
        <v>3539</v>
      </c>
      <c r="P501" s="13" t="s">
        <v>3540</v>
      </c>
      <c r="Q501" s="13" t="s">
        <v>143</v>
      </c>
      <c r="R501" s="13" t="s">
        <v>3541</v>
      </c>
      <c r="S501" s="13" t="s">
        <v>145</v>
      </c>
      <c r="T501" s="13" t="s">
        <v>146</v>
      </c>
      <c r="U501" s="13" t="s">
        <v>110</v>
      </c>
      <c r="V501" s="47">
        <f>SUMIF(Data!$E:$E,$I501,Data!$AI:$AI)</f>
        <v>0</v>
      </c>
    </row>
    <row r="502" spans="1:22" x14ac:dyDescent="0.25">
      <c r="A502" s="46" t="s">
        <v>3141</v>
      </c>
      <c r="B502" s="46" t="s">
        <v>120</v>
      </c>
      <c r="C502" s="46">
        <v>2192314</v>
      </c>
      <c r="D502" s="46">
        <v>0.1895</v>
      </c>
      <c r="E502" s="47">
        <f>SUMIF(Data!$E:$E,$C502,Data!$AI:$AI)</f>
        <v>0</v>
      </c>
      <c r="I502" s="13" t="s">
        <v>525</v>
      </c>
      <c r="J502" s="13" t="s">
        <v>3542</v>
      </c>
      <c r="K502" s="13" t="s">
        <v>755</v>
      </c>
      <c r="L502" s="13" t="s">
        <v>2939</v>
      </c>
      <c r="M502" s="13" t="s">
        <v>3543</v>
      </c>
      <c r="N502" s="13" t="s">
        <v>3544</v>
      </c>
      <c r="O502" s="13" t="s">
        <v>3545</v>
      </c>
      <c r="P502" s="13" t="s">
        <v>3546</v>
      </c>
      <c r="Q502" s="13" t="s">
        <v>759</v>
      </c>
      <c r="R502" s="13" t="s">
        <v>760</v>
      </c>
      <c r="S502" s="13" t="s">
        <v>760</v>
      </c>
      <c r="T502" s="13" t="s">
        <v>3547</v>
      </c>
      <c r="U502" s="13" t="s">
        <v>525</v>
      </c>
      <c r="V502" s="47">
        <f>SUMIF(Data!$E:$E,$I502,Data!$AI:$AI)</f>
        <v>0</v>
      </c>
    </row>
    <row r="503" spans="1:22" x14ac:dyDescent="0.25">
      <c r="A503" s="46" t="s">
        <v>3141</v>
      </c>
      <c r="B503" s="46" t="s">
        <v>120</v>
      </c>
      <c r="C503" s="46">
        <v>2211811</v>
      </c>
      <c r="D503" s="46">
        <v>0.57950000000000002</v>
      </c>
      <c r="E503" s="47">
        <f>SUMIF(Data!$E:$E,$C503,Data!$AI:$AI)</f>
        <v>0</v>
      </c>
      <c r="I503" s="13" t="s">
        <v>3548</v>
      </c>
      <c r="J503" s="13" t="s">
        <v>3549</v>
      </c>
      <c r="K503" s="13" t="s">
        <v>137</v>
      </c>
      <c r="L503" s="13" t="s">
        <v>2939</v>
      </c>
      <c r="M503" s="13" t="s">
        <v>3550</v>
      </c>
      <c r="N503" s="13">
        <v>573.74699999999996</v>
      </c>
      <c r="O503" s="13" t="s">
        <v>3551</v>
      </c>
      <c r="P503" s="13" t="s">
        <v>3552</v>
      </c>
      <c r="Q503" s="13" t="s">
        <v>190</v>
      </c>
      <c r="R503" s="13" t="s">
        <v>3553</v>
      </c>
      <c r="S503" s="13" t="s">
        <v>192</v>
      </c>
      <c r="T503" s="13" t="s">
        <v>146</v>
      </c>
      <c r="U503" s="13" t="s">
        <v>110</v>
      </c>
      <c r="V503" s="47">
        <f>SUMIF(Data!$E:$E,$I503,Data!$AI:$AI)</f>
        <v>0</v>
      </c>
    </row>
    <row r="504" spans="1:22" x14ac:dyDescent="0.25">
      <c r="A504" s="46" t="s">
        <v>3141</v>
      </c>
      <c r="B504" s="46" t="s">
        <v>120</v>
      </c>
      <c r="C504" s="46">
        <v>2229922</v>
      </c>
      <c r="D504" s="46">
        <v>0.3553</v>
      </c>
      <c r="E504" s="47">
        <f>SUMIF(Data!$E:$E,$C504,Data!$AI:$AI)</f>
        <v>0</v>
      </c>
      <c r="I504" s="13" t="s">
        <v>3554</v>
      </c>
      <c r="J504" s="13" t="s">
        <v>3555</v>
      </c>
      <c r="K504" s="13" t="s">
        <v>137</v>
      </c>
      <c r="L504" s="13" t="s">
        <v>2939</v>
      </c>
      <c r="M504" s="13" t="s">
        <v>3556</v>
      </c>
      <c r="N504" s="13">
        <v>460.22800000000001</v>
      </c>
      <c r="O504" s="13" t="s">
        <v>3557</v>
      </c>
      <c r="P504" s="13" t="s">
        <v>3558</v>
      </c>
      <c r="Q504" s="13" t="s">
        <v>260</v>
      </c>
      <c r="R504" s="13" t="s">
        <v>3559</v>
      </c>
      <c r="S504" s="13" t="s">
        <v>192</v>
      </c>
      <c r="T504" s="13" t="s">
        <v>146</v>
      </c>
      <c r="U504" s="13" t="s">
        <v>110</v>
      </c>
      <c r="V504" s="47">
        <f>SUMIF(Data!$E:$E,$I504,Data!$AI:$AI)</f>
        <v>0</v>
      </c>
    </row>
    <row r="505" spans="1:22" x14ac:dyDescent="0.25">
      <c r="A505" s="46" t="s">
        <v>3141</v>
      </c>
      <c r="B505" s="46" t="s">
        <v>120</v>
      </c>
      <c r="C505" s="46">
        <v>2310116</v>
      </c>
      <c r="D505" s="46">
        <v>5.2200000000000003E-2</v>
      </c>
      <c r="E505" s="47">
        <f>SUMIF(Data!$E:$E,$C505,Data!$AI:$AI)</f>
        <v>0</v>
      </c>
      <c r="I505" s="13" t="s">
        <v>3560</v>
      </c>
      <c r="J505" s="13" t="s">
        <v>3561</v>
      </c>
      <c r="K505" s="13" t="s">
        <v>137</v>
      </c>
      <c r="L505" s="13" t="s">
        <v>2939</v>
      </c>
      <c r="M505" s="13" t="s">
        <v>3562</v>
      </c>
      <c r="N505" s="13">
        <v>333.39800000000002</v>
      </c>
      <c r="O505" s="13" t="s">
        <v>3563</v>
      </c>
      <c r="P505" s="13" t="s">
        <v>3564</v>
      </c>
      <c r="Q505" s="13" t="s">
        <v>734</v>
      </c>
      <c r="R505" s="13" t="s">
        <v>3565</v>
      </c>
      <c r="S505" s="13" t="s">
        <v>3139</v>
      </c>
      <c r="T505" s="13" t="s">
        <v>3140</v>
      </c>
      <c r="U505" s="13" t="s">
        <v>525</v>
      </c>
      <c r="V505" s="47">
        <f>SUMIF(Data!$E:$E,$I505,Data!$AI:$AI)</f>
        <v>0</v>
      </c>
    </row>
    <row r="506" spans="1:22" x14ac:dyDescent="0.25">
      <c r="A506" s="46" t="s">
        <v>3141</v>
      </c>
      <c r="B506" s="46" t="s">
        <v>120</v>
      </c>
      <c r="C506" s="46">
        <v>2360757</v>
      </c>
      <c r="D506" s="46">
        <v>0.33939999999999998</v>
      </c>
      <c r="E506" s="47">
        <f>SUMIF(Data!$E:$E,$C506,Data!$AI:$AI)</f>
        <v>0</v>
      </c>
      <c r="I506" s="13" t="s">
        <v>3566</v>
      </c>
      <c r="J506" s="13" t="s">
        <v>3567</v>
      </c>
      <c r="K506" s="13" t="s">
        <v>137</v>
      </c>
      <c r="L506" s="13" t="s">
        <v>2939</v>
      </c>
      <c r="M506" s="13" t="s">
        <v>3568</v>
      </c>
      <c r="N506" s="13">
        <v>121.58499999999999</v>
      </c>
      <c r="O506" s="13" t="s">
        <v>3569</v>
      </c>
      <c r="P506" s="13" t="s">
        <v>3570</v>
      </c>
      <c r="Q506" s="13" t="s">
        <v>416</v>
      </c>
      <c r="R506" s="13" t="s">
        <v>3571</v>
      </c>
      <c r="S506" s="13" t="s">
        <v>192</v>
      </c>
      <c r="T506" s="13" t="s">
        <v>146</v>
      </c>
      <c r="U506" s="13" t="s">
        <v>110</v>
      </c>
      <c r="V506" s="47">
        <f>SUMIF(Data!$E:$E,$I506,Data!$AI:$AI)</f>
        <v>0</v>
      </c>
    </row>
    <row r="507" spans="1:22" x14ac:dyDescent="0.25">
      <c r="A507" s="46" t="s">
        <v>3141</v>
      </c>
      <c r="B507" s="46" t="s">
        <v>120</v>
      </c>
      <c r="C507" s="46">
        <v>2417921</v>
      </c>
      <c r="D507" s="46">
        <v>0.36630000000000001</v>
      </c>
      <c r="E507" s="47">
        <f>SUMIF(Data!$E:$E,$C507,Data!$AI:$AI)</f>
        <v>0</v>
      </c>
      <c r="I507" s="13" t="s">
        <v>3572</v>
      </c>
      <c r="J507" s="13" t="s">
        <v>3573</v>
      </c>
      <c r="K507" s="13" t="s">
        <v>137</v>
      </c>
      <c r="L507" s="13" t="s">
        <v>2939</v>
      </c>
      <c r="M507" s="13" t="s">
        <v>3574</v>
      </c>
      <c r="N507" s="13">
        <v>303.37299999999999</v>
      </c>
      <c r="O507" s="13" t="s">
        <v>3575</v>
      </c>
      <c r="P507" s="13" t="s">
        <v>3576</v>
      </c>
      <c r="Q507" s="13" t="s">
        <v>416</v>
      </c>
      <c r="R507" s="13" t="s">
        <v>3577</v>
      </c>
      <c r="S507" s="13" t="s">
        <v>145</v>
      </c>
      <c r="T507" s="13" t="s">
        <v>146</v>
      </c>
      <c r="U507" s="13" t="s">
        <v>110</v>
      </c>
      <c r="V507" s="47">
        <f>SUMIF(Data!$E:$E,$I507,Data!$AI:$AI)</f>
        <v>0</v>
      </c>
    </row>
    <row r="508" spans="1:22" x14ac:dyDescent="0.25">
      <c r="A508" s="46" t="s">
        <v>3141</v>
      </c>
      <c r="B508" s="46" t="s">
        <v>120</v>
      </c>
      <c r="C508" s="46">
        <v>2420640</v>
      </c>
      <c r="D508" s="46">
        <v>0.48849999999999999</v>
      </c>
      <c r="E508" s="47">
        <f>SUMIF(Data!$E:$E,$C508,Data!$AI:$AI)</f>
        <v>0</v>
      </c>
      <c r="I508" s="13" t="s">
        <v>3578</v>
      </c>
      <c r="J508" s="13" t="s">
        <v>3579</v>
      </c>
      <c r="K508" s="13" t="s">
        <v>137</v>
      </c>
      <c r="L508" s="13" t="s">
        <v>2939</v>
      </c>
      <c r="M508" s="13" t="s">
        <v>3580</v>
      </c>
      <c r="N508" s="13">
        <v>82.680999999999997</v>
      </c>
      <c r="O508" s="13" t="s">
        <v>3581</v>
      </c>
      <c r="P508" s="13" t="s">
        <v>3582</v>
      </c>
      <c r="Q508" s="13" t="s">
        <v>162</v>
      </c>
      <c r="R508" s="13" t="s">
        <v>3583</v>
      </c>
      <c r="S508" s="13" t="s">
        <v>192</v>
      </c>
      <c r="T508" s="13" t="s">
        <v>146</v>
      </c>
      <c r="U508" s="13" t="s">
        <v>110</v>
      </c>
      <c r="V508" s="47">
        <f>SUMIF(Data!$E:$E,$I508,Data!$AI:$AI)</f>
        <v>0</v>
      </c>
    </row>
    <row r="509" spans="1:22" x14ac:dyDescent="0.25">
      <c r="A509" s="46" t="s">
        <v>3141</v>
      </c>
      <c r="B509" s="46" t="s">
        <v>120</v>
      </c>
      <c r="C509" s="46">
        <v>2455761</v>
      </c>
      <c r="D509" s="46">
        <v>0.2843</v>
      </c>
      <c r="E509" s="47">
        <f>SUMIF(Data!$E:$E,$C509,Data!$AI:$AI)</f>
        <v>0</v>
      </c>
      <c r="I509" s="13">
        <v>4519</v>
      </c>
      <c r="J509" s="13" t="s">
        <v>3584</v>
      </c>
      <c r="K509" s="13" t="s">
        <v>137</v>
      </c>
      <c r="L509" s="13" t="s">
        <v>2939</v>
      </c>
      <c r="M509" s="13" t="s">
        <v>3585</v>
      </c>
      <c r="N509" s="13">
        <v>115.4</v>
      </c>
      <c r="O509" s="13" t="s">
        <v>3586</v>
      </c>
      <c r="P509" s="13" t="s">
        <v>3587</v>
      </c>
      <c r="Q509" s="13" t="s">
        <v>208</v>
      </c>
      <c r="R509" s="13" t="s">
        <v>3588</v>
      </c>
      <c r="S509" s="13" t="s">
        <v>441</v>
      </c>
      <c r="T509" s="13" t="s">
        <v>442</v>
      </c>
      <c r="U509" s="13" t="s">
        <v>443</v>
      </c>
      <c r="V509" s="47">
        <f>SUMIF(Data!$E:$E,$I509,Data!$AI:$AI)</f>
        <v>0</v>
      </c>
    </row>
    <row r="510" spans="1:22" x14ac:dyDescent="0.25">
      <c r="A510" s="46" t="s">
        <v>3141</v>
      </c>
      <c r="B510" s="46" t="s">
        <v>120</v>
      </c>
      <c r="C510" s="46">
        <v>2495529</v>
      </c>
      <c r="D510" s="46">
        <v>0.66110000000000002</v>
      </c>
      <c r="E510" s="47">
        <f>SUMIF(Data!$E:$E,$C510,Data!$AI:$AI)</f>
        <v>0</v>
      </c>
      <c r="I510" s="13" t="s">
        <v>3589</v>
      </c>
      <c r="J510" s="13" t="s">
        <v>3590</v>
      </c>
      <c r="K510" s="13" t="s">
        <v>137</v>
      </c>
      <c r="L510" s="13" t="s">
        <v>2939</v>
      </c>
      <c r="M510" s="13" t="s">
        <v>3591</v>
      </c>
      <c r="N510" s="13">
        <v>105.518</v>
      </c>
      <c r="O510" s="13" t="s">
        <v>3592</v>
      </c>
      <c r="P510" s="13" t="s">
        <v>3593</v>
      </c>
      <c r="Q510" s="13" t="s">
        <v>224</v>
      </c>
      <c r="R510" s="13" t="s">
        <v>3594</v>
      </c>
      <c r="S510" s="13" t="s">
        <v>523</v>
      </c>
      <c r="T510" s="13" t="s">
        <v>524</v>
      </c>
      <c r="U510" s="13" t="s">
        <v>525</v>
      </c>
      <c r="V510" s="47">
        <f>SUMIF(Data!$E:$E,$I510,Data!$AI:$AI)</f>
        <v>0</v>
      </c>
    </row>
    <row r="511" spans="1:22" x14ac:dyDescent="0.25">
      <c r="A511" s="46" t="s">
        <v>3141</v>
      </c>
      <c r="B511" s="46" t="s">
        <v>120</v>
      </c>
      <c r="C511" s="46">
        <v>2498788</v>
      </c>
      <c r="D511" s="46">
        <v>0.17150000000000001</v>
      </c>
      <c r="E511" s="47">
        <f>SUMIF(Data!$E:$E,$C511,Data!$AI:$AI)</f>
        <v>0</v>
      </c>
      <c r="I511" s="13" t="s">
        <v>3595</v>
      </c>
      <c r="J511" s="13" t="s">
        <v>3596</v>
      </c>
      <c r="K511" s="13" t="s">
        <v>137</v>
      </c>
      <c r="L511" s="13" t="s">
        <v>2939</v>
      </c>
      <c r="M511" s="13" t="s">
        <v>3597</v>
      </c>
      <c r="N511" s="13">
        <v>449.48500000000001</v>
      </c>
      <c r="O511" s="13" t="s">
        <v>3598</v>
      </c>
      <c r="P511" s="13" t="s">
        <v>3599</v>
      </c>
      <c r="Q511" s="13" t="s">
        <v>208</v>
      </c>
      <c r="R511" s="13" t="s">
        <v>3600</v>
      </c>
      <c r="S511" s="13" t="s">
        <v>476</v>
      </c>
      <c r="T511" s="13" t="s">
        <v>477</v>
      </c>
      <c r="U511" s="13" t="s">
        <v>478</v>
      </c>
      <c r="V511" s="47">
        <f>SUMIF(Data!$E:$E,$I511,Data!$AI:$AI)</f>
        <v>0</v>
      </c>
    </row>
    <row r="512" spans="1:22" x14ac:dyDescent="0.25">
      <c r="A512" s="46" t="s">
        <v>3141</v>
      </c>
      <c r="B512" s="46" t="s">
        <v>120</v>
      </c>
      <c r="C512" s="46">
        <v>2501631</v>
      </c>
      <c r="D512" s="46">
        <v>0.4264</v>
      </c>
      <c r="E512" s="47">
        <f>SUMIF(Data!$E:$E,$C512,Data!$AI:$AI)</f>
        <v>0</v>
      </c>
      <c r="I512" s="13" t="s">
        <v>3601</v>
      </c>
      <c r="J512" s="13" t="s">
        <v>3602</v>
      </c>
      <c r="K512" s="13" t="s">
        <v>137</v>
      </c>
      <c r="L512" s="13" t="s">
        <v>3603</v>
      </c>
      <c r="M512" s="13" t="s">
        <v>3604</v>
      </c>
      <c r="N512" s="13">
        <v>46.131999999999998</v>
      </c>
      <c r="O512" s="13" t="s">
        <v>3605</v>
      </c>
      <c r="P512" s="13" t="s">
        <v>3606</v>
      </c>
      <c r="Q512" s="13" t="s">
        <v>208</v>
      </c>
      <c r="R512" s="13" t="s">
        <v>3607</v>
      </c>
      <c r="S512" s="13" t="s">
        <v>145</v>
      </c>
      <c r="T512" s="13" t="s">
        <v>146</v>
      </c>
      <c r="U512" s="13" t="s">
        <v>110</v>
      </c>
      <c r="V512" s="47">
        <f>SUMIF(Data!$E:$E,$I512,Data!$AI:$AI)</f>
        <v>0</v>
      </c>
    </row>
    <row r="513" spans="1:22" x14ac:dyDescent="0.25">
      <c r="A513" s="46" t="s">
        <v>3141</v>
      </c>
      <c r="B513" s="46" t="s">
        <v>120</v>
      </c>
      <c r="C513" s="46">
        <v>2504072</v>
      </c>
      <c r="D513" s="46">
        <v>0.1103</v>
      </c>
      <c r="E513" s="47">
        <f>SUMIF(Data!$E:$E,$C513,Data!$AI:$AI)</f>
        <v>0</v>
      </c>
      <c r="I513" s="13" t="s">
        <v>3608</v>
      </c>
      <c r="J513" s="13" t="s">
        <v>3609</v>
      </c>
      <c r="K513" s="13" t="s">
        <v>137</v>
      </c>
      <c r="L513" s="13" t="s">
        <v>3603</v>
      </c>
      <c r="M513" s="13" t="s">
        <v>3610</v>
      </c>
      <c r="N513" s="13">
        <v>13.316000000000001</v>
      </c>
      <c r="O513" s="13" t="s">
        <v>3611</v>
      </c>
      <c r="P513" s="13" t="s">
        <v>3612</v>
      </c>
      <c r="Q513" s="13" t="s">
        <v>208</v>
      </c>
      <c r="R513" s="13" t="s">
        <v>3613</v>
      </c>
      <c r="S513" s="13" t="s">
        <v>192</v>
      </c>
      <c r="T513" s="13" t="s">
        <v>146</v>
      </c>
      <c r="U513" s="13" t="s">
        <v>110</v>
      </c>
      <c r="V513" s="47">
        <f>SUMIF(Data!$E:$E,$I513,Data!$AI:$AI)</f>
        <v>0</v>
      </c>
    </row>
    <row r="514" spans="1:22" x14ac:dyDescent="0.25">
      <c r="A514" s="46" t="s">
        <v>3141</v>
      </c>
      <c r="B514" s="46" t="s">
        <v>120</v>
      </c>
      <c r="C514" s="46">
        <v>2518954</v>
      </c>
      <c r="D514" s="46">
        <v>0.28310000000000002</v>
      </c>
      <c r="E514" s="47">
        <f>SUMIF(Data!$E:$E,$C514,Data!$AI:$AI)</f>
        <v>0</v>
      </c>
      <c r="I514" s="13" t="s">
        <v>3614</v>
      </c>
      <c r="J514" s="13" t="s">
        <v>3615</v>
      </c>
      <c r="K514" s="13" t="s">
        <v>137</v>
      </c>
      <c r="L514" s="13" t="s">
        <v>3603</v>
      </c>
      <c r="M514" s="13" t="s">
        <v>3616</v>
      </c>
      <c r="N514" s="13">
        <v>147.536</v>
      </c>
      <c r="O514" s="13" t="s">
        <v>3617</v>
      </c>
      <c r="P514" s="13" t="s">
        <v>3618</v>
      </c>
      <c r="Q514" s="13" t="s">
        <v>416</v>
      </c>
      <c r="R514" s="13" t="s">
        <v>3619</v>
      </c>
      <c r="S514" s="13" t="s">
        <v>642</v>
      </c>
      <c r="T514" s="13" t="s">
        <v>643</v>
      </c>
      <c r="U514" s="13" t="s">
        <v>525</v>
      </c>
      <c r="V514" s="47">
        <f>SUMIF(Data!$E:$E,$I514,Data!$AI:$AI)</f>
        <v>0</v>
      </c>
    </row>
    <row r="515" spans="1:22" x14ac:dyDescent="0.25">
      <c r="A515" s="46" t="s">
        <v>3141</v>
      </c>
      <c r="B515" s="46" t="s">
        <v>120</v>
      </c>
      <c r="C515" s="46">
        <v>2563125</v>
      </c>
      <c r="D515" s="46">
        <v>0.67379999999999995</v>
      </c>
      <c r="E515" s="47">
        <f>SUMIF(Data!$E:$E,$C515,Data!$AI:$AI)</f>
        <v>0</v>
      </c>
      <c r="I515" s="13" t="s">
        <v>3620</v>
      </c>
      <c r="J515" s="13" t="s">
        <v>3621</v>
      </c>
      <c r="K515" s="13" t="s">
        <v>137</v>
      </c>
      <c r="L515" s="13" t="s">
        <v>3603</v>
      </c>
      <c r="M515" s="13" t="s">
        <v>3622</v>
      </c>
      <c r="N515" s="13" t="s">
        <v>3623</v>
      </c>
      <c r="O515" s="13" t="s">
        <v>3624</v>
      </c>
      <c r="P515" s="13" t="s">
        <v>3625</v>
      </c>
      <c r="Q515" s="13" t="s">
        <v>172</v>
      </c>
      <c r="R515" s="13" t="s">
        <v>3626</v>
      </c>
      <c r="S515" s="13" t="s">
        <v>476</v>
      </c>
      <c r="T515" s="13" t="s">
        <v>477</v>
      </c>
      <c r="U515" s="13" t="s">
        <v>478</v>
      </c>
      <c r="V515" s="47">
        <f>SUMIF(Data!$E:$E,$I515,Data!$AI:$AI)</f>
        <v>0</v>
      </c>
    </row>
    <row r="516" spans="1:22" x14ac:dyDescent="0.25">
      <c r="A516" s="46" t="s">
        <v>3141</v>
      </c>
      <c r="B516" s="46" t="s">
        <v>120</v>
      </c>
      <c r="C516" s="46">
        <v>2566522</v>
      </c>
      <c r="D516" s="46">
        <v>0.23230000000000001</v>
      </c>
      <c r="E516" s="47">
        <f>SUMIF(Data!$E:$E,$C516,Data!$AI:$AI)</f>
        <v>0</v>
      </c>
      <c r="I516" s="13" t="s">
        <v>3627</v>
      </c>
      <c r="J516" s="13" t="s">
        <v>3628</v>
      </c>
      <c r="K516" s="13" t="s">
        <v>137</v>
      </c>
      <c r="L516" s="13" t="s">
        <v>3603</v>
      </c>
      <c r="M516" s="13" t="s">
        <v>3629</v>
      </c>
      <c r="N516" s="13">
        <v>89.224999999999994</v>
      </c>
      <c r="O516" s="13" t="s">
        <v>3630</v>
      </c>
      <c r="P516" s="13" t="s">
        <v>3631</v>
      </c>
      <c r="Q516" s="13" t="s">
        <v>143</v>
      </c>
      <c r="R516" s="13" t="s">
        <v>3632</v>
      </c>
      <c r="S516" s="13" t="s">
        <v>145</v>
      </c>
      <c r="T516" s="13" t="s">
        <v>146</v>
      </c>
      <c r="U516" s="13" t="s">
        <v>110</v>
      </c>
      <c r="V516" s="47">
        <f>SUMIF(Data!$E:$E,$I516,Data!$AI:$AI)</f>
        <v>0</v>
      </c>
    </row>
    <row r="517" spans="1:22" x14ac:dyDescent="0.25">
      <c r="A517" s="46" t="s">
        <v>3141</v>
      </c>
      <c r="B517" s="46" t="s">
        <v>120</v>
      </c>
      <c r="C517" s="46">
        <v>2589132</v>
      </c>
      <c r="D517" s="46">
        <v>1.1099000000000001</v>
      </c>
      <c r="E517" s="47">
        <f>SUMIF(Data!$E:$E,$C517,Data!$AI:$AI)</f>
        <v>0</v>
      </c>
      <c r="I517" s="13" t="s">
        <v>3633</v>
      </c>
      <c r="J517" s="13" t="s">
        <v>3634</v>
      </c>
      <c r="K517" s="13" t="s">
        <v>137</v>
      </c>
      <c r="L517" s="13" t="s">
        <v>3603</v>
      </c>
      <c r="M517" s="13" t="s">
        <v>3635</v>
      </c>
      <c r="N517" s="13">
        <v>404.30500000000001</v>
      </c>
      <c r="O517" s="13" t="s">
        <v>3636</v>
      </c>
      <c r="P517" s="13" t="s">
        <v>3637</v>
      </c>
      <c r="Q517" s="13" t="s">
        <v>143</v>
      </c>
      <c r="R517" s="13" t="s">
        <v>3638</v>
      </c>
      <c r="S517" s="13" t="s">
        <v>145</v>
      </c>
      <c r="T517" s="13" t="s">
        <v>146</v>
      </c>
      <c r="U517" s="13" t="s">
        <v>110</v>
      </c>
      <c r="V517" s="47">
        <f>SUMIF(Data!$E:$E,$I517,Data!$AI:$AI)</f>
        <v>0</v>
      </c>
    </row>
    <row r="518" spans="1:22" x14ac:dyDescent="0.25">
      <c r="A518" s="46" t="s">
        <v>3141</v>
      </c>
      <c r="B518" s="46" t="s">
        <v>120</v>
      </c>
      <c r="C518" s="46">
        <v>2626125</v>
      </c>
      <c r="D518" s="46">
        <v>0.28389999999999999</v>
      </c>
      <c r="E518" s="47">
        <f>SUMIF(Data!$E:$E,$C518,Data!$AI:$AI)</f>
        <v>0</v>
      </c>
      <c r="I518" s="13" t="s">
        <v>3639</v>
      </c>
      <c r="J518" s="13" t="s">
        <v>3640</v>
      </c>
      <c r="K518" s="13" t="s">
        <v>137</v>
      </c>
      <c r="L518" s="13" t="s">
        <v>3603</v>
      </c>
      <c r="M518" s="13" t="s">
        <v>3641</v>
      </c>
      <c r="N518" s="13" t="s">
        <v>3642</v>
      </c>
      <c r="O518" s="13" t="s">
        <v>3643</v>
      </c>
      <c r="P518" s="13" t="s">
        <v>3644</v>
      </c>
      <c r="Q518" s="13" t="s">
        <v>190</v>
      </c>
      <c r="R518" s="13" t="s">
        <v>3645</v>
      </c>
      <c r="S518" s="13" t="s">
        <v>476</v>
      </c>
      <c r="T518" s="13" t="s">
        <v>477</v>
      </c>
      <c r="U518" s="13" t="s">
        <v>478</v>
      </c>
      <c r="V518" s="47">
        <f>SUMIF(Data!$E:$E,$I518,Data!$AI:$AI)</f>
        <v>0</v>
      </c>
    </row>
    <row r="519" spans="1:22" x14ac:dyDescent="0.25">
      <c r="A519" s="46" t="s">
        <v>3141</v>
      </c>
      <c r="B519" s="46" t="s">
        <v>120</v>
      </c>
      <c r="C519" s="46">
        <v>2652603</v>
      </c>
      <c r="D519" s="46">
        <v>5.7700000000000001E-2</v>
      </c>
      <c r="E519" s="47">
        <f>SUMIF(Data!$E:$E,$C519,Data!$AI:$AI)</f>
        <v>0</v>
      </c>
      <c r="I519" s="13">
        <v>6752</v>
      </c>
      <c r="J519" s="13" t="s">
        <v>3646</v>
      </c>
      <c r="K519" s="13" t="s">
        <v>137</v>
      </c>
      <c r="L519" s="13" t="s">
        <v>3603</v>
      </c>
      <c r="M519" s="13" t="s">
        <v>3647</v>
      </c>
      <c r="N519" s="13" t="s">
        <v>3648</v>
      </c>
      <c r="O519" s="13" t="s">
        <v>3649</v>
      </c>
      <c r="P519" s="13" t="s">
        <v>3650</v>
      </c>
      <c r="Q519" s="13" t="s">
        <v>162</v>
      </c>
      <c r="R519" s="13" t="s">
        <v>3651</v>
      </c>
      <c r="S519" s="13" t="s">
        <v>441</v>
      </c>
      <c r="T519" s="13" t="s">
        <v>442</v>
      </c>
      <c r="U519" s="13" t="s">
        <v>443</v>
      </c>
      <c r="V519" s="47">
        <f>SUMIF(Data!$E:$E,$I519,Data!$AI:$AI)</f>
        <v>0</v>
      </c>
    </row>
    <row r="520" spans="1:22" x14ac:dyDescent="0.25">
      <c r="A520" s="46" t="s">
        <v>3141</v>
      </c>
      <c r="B520" s="46" t="s">
        <v>120</v>
      </c>
      <c r="C520" s="46">
        <v>2680767</v>
      </c>
      <c r="D520" s="46">
        <v>6.6100000000000006E-2</v>
      </c>
      <c r="E520" s="47">
        <f>SUMIF(Data!$E:$E,$C520,Data!$AI:$AI)</f>
        <v>0</v>
      </c>
      <c r="I520" s="13">
        <v>6902</v>
      </c>
      <c r="J520" s="13" t="s">
        <v>3652</v>
      </c>
      <c r="K520" s="13" t="s">
        <v>137</v>
      </c>
      <c r="L520" s="13" t="s">
        <v>3603</v>
      </c>
      <c r="M520" s="13" t="s">
        <v>3653</v>
      </c>
      <c r="N520" s="13">
        <v>240.143</v>
      </c>
      <c r="O520" s="13" t="s">
        <v>3654</v>
      </c>
      <c r="P520" s="13" t="s">
        <v>3655</v>
      </c>
      <c r="Q520" s="13" t="s">
        <v>162</v>
      </c>
      <c r="R520" s="13" t="s">
        <v>3656</v>
      </c>
      <c r="S520" s="13" t="s">
        <v>441</v>
      </c>
      <c r="T520" s="13" t="s">
        <v>442</v>
      </c>
      <c r="U520" s="13" t="s">
        <v>443</v>
      </c>
      <c r="V520" s="47">
        <f>SUMIF(Data!$E:$E,$I520,Data!$AI:$AI)</f>
        <v>0</v>
      </c>
    </row>
    <row r="521" spans="1:22" x14ac:dyDescent="0.25">
      <c r="A521" s="46" t="s">
        <v>3141</v>
      </c>
      <c r="B521" s="46" t="s">
        <v>120</v>
      </c>
      <c r="C521" s="46">
        <v>2698146</v>
      </c>
      <c r="D521" s="46">
        <v>8.4599999999999995E-2</v>
      </c>
      <c r="E521" s="47">
        <f>SUMIF(Data!$E:$E,$C521,Data!$AI:$AI)</f>
        <v>0</v>
      </c>
      <c r="I521" s="13">
        <v>3</v>
      </c>
      <c r="J521" s="13" t="s">
        <v>3657</v>
      </c>
      <c r="K521" s="13" t="s">
        <v>137</v>
      </c>
      <c r="L521" s="13" t="s">
        <v>3603</v>
      </c>
      <c r="M521" s="13" t="s">
        <v>3658</v>
      </c>
      <c r="N521" s="13" t="s">
        <v>3659</v>
      </c>
      <c r="O521" s="13" t="s">
        <v>3660</v>
      </c>
      <c r="P521" s="13" t="s">
        <v>3661</v>
      </c>
      <c r="Q521" s="13" t="s">
        <v>694</v>
      </c>
      <c r="R521" s="13" t="s">
        <v>3662</v>
      </c>
      <c r="S521" s="13" t="s">
        <v>549</v>
      </c>
      <c r="T521" s="13" t="s">
        <v>550</v>
      </c>
      <c r="U521" s="13" t="s">
        <v>551</v>
      </c>
      <c r="V521" s="47">
        <f>SUMIF(Data!$E:$E,$I521,Data!$AI:$AI)</f>
        <v>0</v>
      </c>
    </row>
    <row r="522" spans="1:22" x14ac:dyDescent="0.25">
      <c r="A522" s="46" t="s">
        <v>3141</v>
      </c>
      <c r="B522" s="46" t="s">
        <v>120</v>
      </c>
      <c r="C522" s="46">
        <v>2707956</v>
      </c>
      <c r="D522" s="46">
        <v>0.2465</v>
      </c>
      <c r="E522" s="47">
        <f>SUMIF(Data!$E:$E,$C522,Data!$AI:$AI)</f>
        <v>0</v>
      </c>
      <c r="I522" s="13" t="s">
        <v>3663</v>
      </c>
      <c r="J522" s="13" t="s">
        <v>3664</v>
      </c>
      <c r="K522" s="13" t="s">
        <v>137</v>
      </c>
      <c r="L522" s="13" t="s">
        <v>3603</v>
      </c>
      <c r="M522" s="13" t="s">
        <v>3665</v>
      </c>
      <c r="N522" s="13">
        <v>111.199</v>
      </c>
      <c r="O522" s="13" t="s">
        <v>3666</v>
      </c>
      <c r="P522" s="13" t="s">
        <v>3667</v>
      </c>
      <c r="Q522" s="13" t="s">
        <v>416</v>
      </c>
      <c r="R522" s="13" t="s">
        <v>3668</v>
      </c>
      <c r="S522" s="13" t="s">
        <v>145</v>
      </c>
      <c r="T522" s="13" t="s">
        <v>146</v>
      </c>
      <c r="U522" s="13" t="s">
        <v>110</v>
      </c>
      <c r="V522" s="47">
        <f>SUMIF(Data!$E:$E,$I522,Data!$AI:$AI)</f>
        <v>0</v>
      </c>
    </row>
    <row r="523" spans="1:22" x14ac:dyDescent="0.25">
      <c r="A523" s="46" t="s">
        <v>3141</v>
      </c>
      <c r="B523" s="46" t="s">
        <v>120</v>
      </c>
      <c r="C523" s="46">
        <v>2722777</v>
      </c>
      <c r="D523" s="46">
        <v>9.7199999999999995E-2</v>
      </c>
      <c r="E523" s="47">
        <f>SUMIF(Data!$E:$E,$C523,Data!$AI:$AI)</f>
        <v>0</v>
      </c>
      <c r="I523" s="13" t="s">
        <v>3669</v>
      </c>
      <c r="J523" s="13" t="s">
        <v>3670</v>
      </c>
      <c r="K523" s="13" t="s">
        <v>137</v>
      </c>
      <c r="L523" s="13" t="s">
        <v>3603</v>
      </c>
      <c r="M523" s="13" t="s">
        <v>3671</v>
      </c>
      <c r="N523" s="13">
        <v>115.998</v>
      </c>
      <c r="O523" s="13" t="s">
        <v>3672</v>
      </c>
      <c r="P523" s="13" t="s">
        <v>3673</v>
      </c>
      <c r="Q523" s="13" t="s">
        <v>162</v>
      </c>
      <c r="R523" s="13" t="s">
        <v>3674</v>
      </c>
      <c r="S523" s="13" t="s">
        <v>145</v>
      </c>
      <c r="T523" s="13" t="s">
        <v>146</v>
      </c>
      <c r="U523" s="13" t="s">
        <v>110</v>
      </c>
      <c r="V523" s="47">
        <f>SUMIF(Data!$E:$E,$I523,Data!$AI:$AI)</f>
        <v>0</v>
      </c>
    </row>
    <row r="524" spans="1:22" x14ac:dyDescent="0.25">
      <c r="A524" s="46" t="s">
        <v>3141</v>
      </c>
      <c r="B524" s="46" t="s">
        <v>120</v>
      </c>
      <c r="C524" s="46">
        <v>2756152</v>
      </c>
      <c r="D524" s="46">
        <v>0.29580000000000001</v>
      </c>
      <c r="E524" s="47">
        <f>SUMIF(Data!$E:$E,$C524,Data!$AI:$AI)</f>
        <v>0</v>
      </c>
      <c r="I524" s="13" t="s">
        <v>3675</v>
      </c>
      <c r="J524" s="13" t="s">
        <v>3676</v>
      </c>
      <c r="K524" s="13" t="s">
        <v>137</v>
      </c>
      <c r="L524" s="13" t="s">
        <v>3603</v>
      </c>
      <c r="M524" s="13" t="s">
        <v>3677</v>
      </c>
      <c r="N524" s="13">
        <v>78.331999999999994</v>
      </c>
      <c r="O524" s="13" t="s">
        <v>3678</v>
      </c>
      <c r="P524" s="13" t="s">
        <v>3679</v>
      </c>
      <c r="Q524" s="13" t="s">
        <v>806</v>
      </c>
      <c r="R524" s="13" t="s">
        <v>3680</v>
      </c>
      <c r="S524" s="13" t="s">
        <v>192</v>
      </c>
      <c r="T524" s="13" t="s">
        <v>146</v>
      </c>
      <c r="U524" s="13" t="s">
        <v>110</v>
      </c>
      <c r="V524" s="47">
        <f>SUMIF(Data!$E:$E,$I524,Data!$AI:$AI)</f>
        <v>0</v>
      </c>
    </row>
    <row r="525" spans="1:22" x14ac:dyDescent="0.25">
      <c r="A525" s="46" t="s">
        <v>3141</v>
      </c>
      <c r="B525" s="46" t="s">
        <v>120</v>
      </c>
      <c r="C525" s="46">
        <v>2860257</v>
      </c>
      <c r="D525" s="46">
        <v>0.63529999999999998</v>
      </c>
      <c r="E525" s="47">
        <f>SUMIF(Data!$E:$E,$C525,Data!$AI:$AI)</f>
        <v>0</v>
      </c>
      <c r="I525" s="13" t="s">
        <v>3681</v>
      </c>
      <c r="J525" s="13" t="s">
        <v>3682</v>
      </c>
      <c r="K525" s="13" t="s">
        <v>137</v>
      </c>
      <c r="L525" s="13" t="s">
        <v>3603</v>
      </c>
      <c r="M525" s="13" t="s">
        <v>3683</v>
      </c>
      <c r="N525" s="13">
        <v>240.465</v>
      </c>
      <c r="O525" s="13" t="s">
        <v>3684</v>
      </c>
      <c r="P525" s="13" t="s">
        <v>3685</v>
      </c>
      <c r="Q525" s="13" t="s">
        <v>734</v>
      </c>
      <c r="R525" s="13" t="s">
        <v>3686</v>
      </c>
      <c r="S525" s="13" t="s">
        <v>192</v>
      </c>
      <c r="T525" s="13" t="s">
        <v>146</v>
      </c>
      <c r="U525" s="13" t="s">
        <v>110</v>
      </c>
      <c r="V525" s="47">
        <f>SUMIF(Data!$E:$E,$I525,Data!$AI:$AI)</f>
        <v>0</v>
      </c>
    </row>
    <row r="526" spans="1:22" x14ac:dyDescent="0.25">
      <c r="A526" s="46" t="s">
        <v>3141</v>
      </c>
      <c r="B526" s="46" t="s">
        <v>120</v>
      </c>
      <c r="C526" s="46">
        <v>2872252</v>
      </c>
      <c r="D526" s="46">
        <v>0.24679999999999999</v>
      </c>
      <c r="E526" s="47">
        <f>SUMIF(Data!$E:$E,$C526,Data!$AI:$AI)</f>
        <v>0</v>
      </c>
      <c r="I526" s="13">
        <v>4507</v>
      </c>
      <c r="J526" s="13" t="s">
        <v>3687</v>
      </c>
      <c r="K526" s="13" t="s">
        <v>137</v>
      </c>
      <c r="L526" s="13" t="s">
        <v>3603</v>
      </c>
      <c r="M526" s="13" t="s">
        <v>3688</v>
      </c>
      <c r="N526" s="13">
        <v>166.96</v>
      </c>
      <c r="O526" s="13" t="s">
        <v>3689</v>
      </c>
      <c r="P526" s="13" t="s">
        <v>3690</v>
      </c>
      <c r="Q526" s="13" t="s">
        <v>208</v>
      </c>
      <c r="R526" s="13" t="s">
        <v>3691</v>
      </c>
      <c r="S526" s="13" t="s">
        <v>441</v>
      </c>
      <c r="T526" s="13" t="s">
        <v>442</v>
      </c>
      <c r="U526" s="13" t="s">
        <v>443</v>
      </c>
      <c r="V526" s="47">
        <f>SUMIF(Data!$E:$E,$I526,Data!$AI:$AI)</f>
        <v>0</v>
      </c>
    </row>
    <row r="527" spans="1:22" x14ac:dyDescent="0.25">
      <c r="A527" s="46" t="s">
        <v>3141</v>
      </c>
      <c r="B527" s="46" t="s">
        <v>120</v>
      </c>
      <c r="C527" s="46">
        <v>2874582</v>
      </c>
      <c r="D527" s="46">
        <v>0.22009999999999999</v>
      </c>
      <c r="E527" s="47">
        <f>SUMIF(Data!$E:$E,$C527,Data!$AI:$AI)</f>
        <v>0</v>
      </c>
      <c r="I527" s="13" t="s">
        <v>3692</v>
      </c>
      <c r="J527" s="13" t="s">
        <v>3693</v>
      </c>
      <c r="K527" s="13" t="s">
        <v>137</v>
      </c>
      <c r="L527" s="13" t="s">
        <v>3603</v>
      </c>
      <c r="M527" s="13" t="s">
        <v>3694</v>
      </c>
      <c r="N527" s="13">
        <v>18.809999999999999</v>
      </c>
      <c r="O527" s="13" t="s">
        <v>3695</v>
      </c>
      <c r="P527" s="13" t="s">
        <v>3696</v>
      </c>
      <c r="Q527" s="13" t="s">
        <v>416</v>
      </c>
      <c r="R527" s="13" t="s">
        <v>3697</v>
      </c>
      <c r="S527" s="13" t="s">
        <v>226</v>
      </c>
      <c r="T527" s="13" t="s">
        <v>227</v>
      </c>
      <c r="U527" s="13" t="s">
        <v>228</v>
      </c>
      <c r="V527" s="47">
        <f>SUMIF(Data!$E:$E,$I527,Data!$AI:$AI)</f>
        <v>0</v>
      </c>
    </row>
    <row r="528" spans="1:22" x14ac:dyDescent="0.25">
      <c r="A528" s="46" t="s">
        <v>3141</v>
      </c>
      <c r="B528" s="46" t="s">
        <v>120</v>
      </c>
      <c r="C528" s="46">
        <v>2942304</v>
      </c>
      <c r="D528" s="46">
        <v>0.23519999999999999</v>
      </c>
      <c r="E528" s="47">
        <f>SUMIF(Data!$E:$E,$C528,Data!$AI:$AI)</f>
        <v>0</v>
      </c>
      <c r="I528" s="13" t="s">
        <v>3698</v>
      </c>
      <c r="J528" s="13" t="s">
        <v>3699</v>
      </c>
      <c r="K528" s="13" t="s">
        <v>137</v>
      </c>
      <c r="L528" s="13" t="s">
        <v>3603</v>
      </c>
      <c r="M528" s="13" t="s">
        <v>3700</v>
      </c>
      <c r="N528" s="13">
        <v>68.423000000000002</v>
      </c>
      <c r="O528" s="13" t="s">
        <v>3701</v>
      </c>
      <c r="P528" s="13" t="s">
        <v>3702</v>
      </c>
      <c r="Q528" s="13" t="s">
        <v>224</v>
      </c>
      <c r="R528" s="13" t="s">
        <v>3703</v>
      </c>
      <c r="S528" s="13" t="s">
        <v>192</v>
      </c>
      <c r="T528" s="13" t="s">
        <v>146</v>
      </c>
      <c r="U528" s="13" t="s">
        <v>110</v>
      </c>
      <c r="V528" s="47">
        <f>SUMIF(Data!$E:$E,$I528,Data!$AI:$AI)</f>
        <v>0</v>
      </c>
    </row>
    <row r="529" spans="1:22" x14ac:dyDescent="0.25">
      <c r="A529" s="46" t="s">
        <v>3141</v>
      </c>
      <c r="B529" s="46" t="s">
        <v>120</v>
      </c>
      <c r="C529" s="46" t="s">
        <v>3704</v>
      </c>
      <c r="D529" s="46">
        <v>0.55510000000000004</v>
      </c>
      <c r="E529" s="47">
        <f>SUMIF(Data!$E:$E,$C529,Data!$AI:$AI)</f>
        <v>0</v>
      </c>
      <c r="I529" s="13" t="s">
        <v>3705</v>
      </c>
      <c r="J529" s="13" t="s">
        <v>3706</v>
      </c>
      <c r="K529" s="13" t="s">
        <v>137</v>
      </c>
      <c r="L529" s="13" t="s">
        <v>3603</v>
      </c>
      <c r="M529" s="13" t="s">
        <v>3707</v>
      </c>
      <c r="N529" s="13">
        <v>512.66</v>
      </c>
      <c r="O529" s="13" t="s">
        <v>3708</v>
      </c>
      <c r="P529" s="13" t="s">
        <v>3709</v>
      </c>
      <c r="Q529" s="13" t="s">
        <v>260</v>
      </c>
      <c r="R529" s="13" t="s">
        <v>3710</v>
      </c>
      <c r="S529" s="13" t="s">
        <v>3711</v>
      </c>
      <c r="T529" s="13" t="s">
        <v>3712</v>
      </c>
      <c r="U529" s="13" t="s">
        <v>3713</v>
      </c>
      <c r="V529" s="47">
        <f>SUMIF(Data!$E:$E,$I529,Data!$AI:$AI)</f>
        <v>0</v>
      </c>
    </row>
    <row r="530" spans="1:22" x14ac:dyDescent="0.25">
      <c r="A530" s="46" t="s">
        <v>3141</v>
      </c>
      <c r="B530" s="46" t="s">
        <v>120</v>
      </c>
      <c r="C530" s="46" t="s">
        <v>3714</v>
      </c>
      <c r="D530" s="46">
        <v>0.91759999999999997</v>
      </c>
      <c r="E530" s="47">
        <f>SUMIF(Data!$E:$E,$C530,Data!$AI:$AI)</f>
        <v>0</v>
      </c>
      <c r="I530" s="13" t="s">
        <v>3715</v>
      </c>
      <c r="J530" s="13" t="s">
        <v>3716</v>
      </c>
      <c r="K530" s="13" t="s">
        <v>137</v>
      </c>
      <c r="L530" s="13" t="s">
        <v>3603</v>
      </c>
      <c r="M530" s="13" t="s">
        <v>3717</v>
      </c>
      <c r="N530" s="13">
        <v>31.126999999999999</v>
      </c>
      <c r="O530" s="13" t="s">
        <v>3718</v>
      </c>
      <c r="P530" s="13" t="s">
        <v>3719</v>
      </c>
      <c r="Q530" s="13" t="s">
        <v>208</v>
      </c>
      <c r="R530" s="13" t="s">
        <v>3720</v>
      </c>
      <c r="S530" s="13" t="s">
        <v>192</v>
      </c>
      <c r="T530" s="13" t="s">
        <v>146</v>
      </c>
      <c r="U530" s="13" t="s">
        <v>110</v>
      </c>
      <c r="V530" s="47">
        <f>SUMIF(Data!$E:$E,$I530,Data!$AI:$AI)</f>
        <v>0</v>
      </c>
    </row>
    <row r="531" spans="1:22" x14ac:dyDescent="0.25">
      <c r="A531" s="46" t="s">
        <v>3141</v>
      </c>
      <c r="B531" s="46" t="s">
        <v>120</v>
      </c>
      <c r="C531" s="46" t="s">
        <v>3721</v>
      </c>
      <c r="D531" s="46">
        <v>9.7000000000000003E-2</v>
      </c>
      <c r="E531" s="47">
        <f>SUMIF(Data!$E:$E,$C531,Data!$AI:$AI)</f>
        <v>0</v>
      </c>
      <c r="I531" s="13" t="s">
        <v>3722</v>
      </c>
      <c r="J531" s="13" t="s">
        <v>3723</v>
      </c>
      <c r="K531" s="13" t="s">
        <v>137</v>
      </c>
      <c r="L531" s="13" t="s">
        <v>3603</v>
      </c>
      <c r="M531" s="13" t="s">
        <v>3724</v>
      </c>
      <c r="N531" s="13">
        <v>71.876999999999995</v>
      </c>
      <c r="O531" s="13" t="s">
        <v>3725</v>
      </c>
      <c r="P531" s="13" t="s">
        <v>3726</v>
      </c>
      <c r="Q531" s="13" t="s">
        <v>208</v>
      </c>
      <c r="R531" s="13" t="s">
        <v>3727</v>
      </c>
      <c r="S531" s="13" t="s">
        <v>192</v>
      </c>
      <c r="T531" s="13" t="s">
        <v>146</v>
      </c>
      <c r="U531" s="13" t="s">
        <v>110</v>
      </c>
      <c r="V531" s="47">
        <f>SUMIF(Data!$E:$E,$I531,Data!$AI:$AI)</f>
        <v>0</v>
      </c>
    </row>
    <row r="532" spans="1:22" x14ac:dyDescent="0.25">
      <c r="A532" s="46" t="s">
        <v>3141</v>
      </c>
      <c r="B532" s="46" t="s">
        <v>120</v>
      </c>
      <c r="C532" s="46" t="s">
        <v>3728</v>
      </c>
      <c r="D532" s="46">
        <v>0.44280000000000003</v>
      </c>
      <c r="E532" s="47">
        <f>SUMIF(Data!$E:$E,$C532,Data!$AI:$AI)</f>
        <v>0</v>
      </c>
      <c r="I532" s="13" t="s">
        <v>3729</v>
      </c>
      <c r="J532" s="13" t="s">
        <v>3730</v>
      </c>
      <c r="K532" s="13" t="s">
        <v>137</v>
      </c>
      <c r="L532" s="13" t="s">
        <v>3603</v>
      </c>
      <c r="M532" s="13" t="s">
        <v>3731</v>
      </c>
      <c r="N532" s="13">
        <v>636.78399999999999</v>
      </c>
      <c r="O532" s="13" t="s">
        <v>3732</v>
      </c>
      <c r="P532" s="13" t="s">
        <v>3733</v>
      </c>
      <c r="Q532" s="13" t="s">
        <v>190</v>
      </c>
      <c r="R532" s="13" t="s">
        <v>3734</v>
      </c>
      <c r="S532" s="13" t="s">
        <v>192</v>
      </c>
      <c r="T532" s="13" t="s">
        <v>146</v>
      </c>
      <c r="U532" s="13" t="s">
        <v>110</v>
      </c>
      <c r="V532" s="47">
        <f>SUMIF(Data!$E:$E,$I532,Data!$AI:$AI)</f>
        <v>0</v>
      </c>
    </row>
    <row r="533" spans="1:22" x14ac:dyDescent="0.25">
      <c r="A533" s="46" t="s">
        <v>3141</v>
      </c>
      <c r="B533" s="46" t="s">
        <v>120</v>
      </c>
      <c r="C533" s="46" t="s">
        <v>3735</v>
      </c>
      <c r="D533" s="46">
        <v>0.57769999999999999</v>
      </c>
      <c r="E533" s="47">
        <f>SUMIF(Data!$E:$E,$C533,Data!$AI:$AI)</f>
        <v>0</v>
      </c>
      <c r="I533" s="13" t="s">
        <v>478</v>
      </c>
      <c r="J533" s="13" t="s">
        <v>3736</v>
      </c>
      <c r="K533" s="13" t="s">
        <v>755</v>
      </c>
      <c r="L533" s="13" t="s">
        <v>3603</v>
      </c>
      <c r="M533" s="13" t="s">
        <v>3737</v>
      </c>
      <c r="N533" s="13" t="s">
        <v>3738</v>
      </c>
      <c r="O533" s="13" t="s">
        <v>3739</v>
      </c>
      <c r="P533" s="13" t="s">
        <v>3740</v>
      </c>
      <c r="Q533" s="13" t="s">
        <v>759</v>
      </c>
      <c r="R533" s="13" t="s">
        <v>760</v>
      </c>
      <c r="S533" s="13" t="s">
        <v>760</v>
      </c>
      <c r="T533" s="13" t="s">
        <v>477</v>
      </c>
      <c r="U533" s="13" t="s">
        <v>478</v>
      </c>
      <c r="V533" s="47">
        <f>SUMIF(Data!$E:$E,$I533,Data!$AI:$AI)</f>
        <v>0</v>
      </c>
    </row>
    <row r="534" spans="1:22" x14ac:dyDescent="0.25">
      <c r="A534" s="46" t="s">
        <v>3141</v>
      </c>
      <c r="B534" s="46" t="s">
        <v>120</v>
      </c>
      <c r="C534" s="46" t="s">
        <v>3741</v>
      </c>
      <c r="D534" s="46">
        <v>0.1915</v>
      </c>
      <c r="E534" s="47">
        <f>SUMIF(Data!$E:$E,$C534,Data!$AI:$AI)</f>
        <v>0</v>
      </c>
      <c r="I534" s="13" t="s">
        <v>3742</v>
      </c>
      <c r="J534" s="13" t="s">
        <v>3743</v>
      </c>
      <c r="K534" s="13" t="s">
        <v>137</v>
      </c>
      <c r="L534" s="13" t="s">
        <v>3603</v>
      </c>
      <c r="M534" s="13" t="s">
        <v>3744</v>
      </c>
      <c r="N534" s="13">
        <v>247.09100000000001</v>
      </c>
      <c r="O534" s="13" t="s">
        <v>3745</v>
      </c>
      <c r="P534" s="13" t="s">
        <v>3746</v>
      </c>
      <c r="Q534" s="13" t="s">
        <v>694</v>
      </c>
      <c r="R534" s="13" t="s">
        <v>3747</v>
      </c>
      <c r="S534" s="13" t="s">
        <v>725</v>
      </c>
      <c r="T534" s="13" t="s">
        <v>726</v>
      </c>
      <c r="U534" s="13" t="s">
        <v>727</v>
      </c>
      <c r="V534" s="47">
        <f>SUMIF(Data!$E:$E,$I534,Data!$AI:$AI)</f>
        <v>0</v>
      </c>
    </row>
    <row r="535" spans="1:22" x14ac:dyDescent="0.25">
      <c r="A535" s="46" t="s">
        <v>3141</v>
      </c>
      <c r="B535" s="46" t="s">
        <v>120</v>
      </c>
      <c r="C535" s="46" t="s">
        <v>3748</v>
      </c>
      <c r="D535" s="46">
        <v>0.1578</v>
      </c>
      <c r="E535" s="47">
        <f>SUMIF(Data!$E:$E,$C535,Data!$AI:$AI)</f>
        <v>0</v>
      </c>
      <c r="I535" s="13" t="s">
        <v>3749</v>
      </c>
      <c r="J535" s="13" t="s">
        <v>3750</v>
      </c>
      <c r="K535" s="13" t="s">
        <v>137</v>
      </c>
      <c r="L535" s="13" t="s">
        <v>3603</v>
      </c>
      <c r="M535" s="13" t="s">
        <v>3751</v>
      </c>
      <c r="N535" s="13">
        <v>69.884</v>
      </c>
      <c r="O535" s="13" t="s">
        <v>3752</v>
      </c>
      <c r="P535" s="13" t="s">
        <v>3753</v>
      </c>
      <c r="Q535" s="13" t="s">
        <v>224</v>
      </c>
      <c r="R535" s="13" t="s">
        <v>3754</v>
      </c>
      <c r="S535" s="13" t="s">
        <v>768</v>
      </c>
      <c r="T535" s="13" t="s">
        <v>769</v>
      </c>
      <c r="U535" s="13" t="s">
        <v>770</v>
      </c>
      <c r="V535" s="47">
        <f>SUMIF(Data!$E:$E,$I535,Data!$AI:$AI)</f>
        <v>0</v>
      </c>
    </row>
    <row r="536" spans="1:22" x14ac:dyDescent="0.25">
      <c r="A536" s="46" t="s">
        <v>3141</v>
      </c>
      <c r="B536" s="46" t="s">
        <v>120</v>
      </c>
      <c r="C536" s="46" t="s">
        <v>3755</v>
      </c>
      <c r="D536" s="46">
        <v>0.17330000000000001</v>
      </c>
      <c r="E536" s="47">
        <f>SUMIF(Data!$E:$E,$C536,Data!$AI:$AI)</f>
        <v>0</v>
      </c>
      <c r="I536" s="13" t="s">
        <v>3756</v>
      </c>
      <c r="J536" s="13" t="s">
        <v>3757</v>
      </c>
      <c r="K536" s="13" t="s">
        <v>137</v>
      </c>
      <c r="L536" s="13" t="s">
        <v>3603</v>
      </c>
      <c r="M536" s="13" t="s">
        <v>3758</v>
      </c>
      <c r="N536" s="13">
        <v>72.647999999999996</v>
      </c>
      <c r="O536" s="13" t="s">
        <v>3759</v>
      </c>
      <c r="P536" s="13" t="s">
        <v>3760</v>
      </c>
      <c r="Q536" s="13" t="s">
        <v>143</v>
      </c>
      <c r="R536" s="13" t="s">
        <v>3761</v>
      </c>
      <c r="S536" s="13" t="s">
        <v>145</v>
      </c>
      <c r="T536" s="13" t="s">
        <v>146</v>
      </c>
      <c r="U536" s="13" t="s">
        <v>110</v>
      </c>
      <c r="V536" s="47">
        <f>SUMIF(Data!$E:$E,$I536,Data!$AI:$AI)</f>
        <v>0</v>
      </c>
    </row>
    <row r="537" spans="1:22" x14ac:dyDescent="0.25">
      <c r="A537" s="46" t="s">
        <v>3141</v>
      </c>
      <c r="B537" s="46" t="s">
        <v>120</v>
      </c>
      <c r="C537" s="46" t="s">
        <v>3762</v>
      </c>
      <c r="D537" s="46">
        <v>0.1376</v>
      </c>
      <c r="E537" s="47">
        <f>SUMIF(Data!$E:$E,$C537,Data!$AI:$AI)</f>
        <v>0</v>
      </c>
      <c r="I537" s="13" t="s">
        <v>3763</v>
      </c>
      <c r="J537" s="13" t="s">
        <v>3764</v>
      </c>
      <c r="K537" s="13" t="s">
        <v>137</v>
      </c>
      <c r="L537" s="13" t="s">
        <v>3603</v>
      </c>
      <c r="M537" s="13" t="s">
        <v>3765</v>
      </c>
      <c r="N537" s="13">
        <v>58.243000000000002</v>
      </c>
      <c r="O537" s="13" t="s">
        <v>3766</v>
      </c>
      <c r="P537" s="13" t="s">
        <v>3767</v>
      </c>
      <c r="Q537" s="13" t="s">
        <v>208</v>
      </c>
      <c r="R537" s="13" t="s">
        <v>3768</v>
      </c>
      <c r="S537" s="13" t="s">
        <v>192</v>
      </c>
      <c r="T537" s="13" t="s">
        <v>146</v>
      </c>
      <c r="U537" s="13" t="s">
        <v>110</v>
      </c>
      <c r="V537" s="47">
        <f>SUMIF(Data!$E:$E,$I537,Data!$AI:$AI)</f>
        <v>0</v>
      </c>
    </row>
    <row r="538" spans="1:22" x14ac:dyDescent="0.25">
      <c r="A538" s="46" t="s">
        <v>3141</v>
      </c>
      <c r="B538" s="46" t="s">
        <v>120</v>
      </c>
      <c r="C538" s="46" t="s">
        <v>3769</v>
      </c>
      <c r="D538" s="46">
        <v>0.35920000000000002</v>
      </c>
      <c r="E538" s="47">
        <f>SUMIF(Data!$E:$E,$C538,Data!$AI:$AI)</f>
        <v>0</v>
      </c>
      <c r="I538" s="13" t="s">
        <v>3770</v>
      </c>
      <c r="J538" s="13" t="s">
        <v>3771</v>
      </c>
      <c r="K538" s="13" t="s">
        <v>137</v>
      </c>
      <c r="L538" s="13" t="s">
        <v>3603</v>
      </c>
      <c r="M538" s="13" t="s">
        <v>3772</v>
      </c>
      <c r="N538" s="13">
        <v>171.51400000000001</v>
      </c>
      <c r="O538" s="13" t="s">
        <v>3773</v>
      </c>
      <c r="P538" s="13" t="s">
        <v>3774</v>
      </c>
      <c r="Q538" s="13" t="s">
        <v>806</v>
      </c>
      <c r="R538" s="13" t="s">
        <v>3775</v>
      </c>
      <c r="S538" s="13" t="s">
        <v>192</v>
      </c>
      <c r="T538" s="13" t="s">
        <v>146</v>
      </c>
      <c r="U538" s="13" t="s">
        <v>110</v>
      </c>
      <c r="V538" s="47">
        <f>SUMIF(Data!$E:$E,$I538,Data!$AI:$AI)</f>
        <v>0</v>
      </c>
    </row>
    <row r="539" spans="1:22" x14ac:dyDescent="0.25">
      <c r="A539" s="46" t="s">
        <v>3141</v>
      </c>
      <c r="B539" s="46" t="s">
        <v>120</v>
      </c>
      <c r="C539" s="46" t="s">
        <v>3776</v>
      </c>
      <c r="D539" s="46">
        <v>0.15620000000000001</v>
      </c>
      <c r="E539" s="47">
        <f>SUMIF(Data!$E:$E,$C539,Data!$AI:$AI)</f>
        <v>0</v>
      </c>
      <c r="I539" s="13" t="s">
        <v>3777</v>
      </c>
      <c r="J539" s="13" t="s">
        <v>3778</v>
      </c>
      <c r="K539" s="13" t="s">
        <v>137</v>
      </c>
      <c r="L539" s="13" t="s">
        <v>3603</v>
      </c>
      <c r="M539" s="13" t="s">
        <v>3779</v>
      </c>
      <c r="N539" s="13">
        <v>261.10700000000003</v>
      </c>
      <c r="O539" s="13" t="s">
        <v>3780</v>
      </c>
      <c r="P539" s="13" t="s">
        <v>3781</v>
      </c>
      <c r="Q539" s="13" t="s">
        <v>190</v>
      </c>
      <c r="R539" s="13" t="s">
        <v>3782</v>
      </c>
      <c r="S539" s="13" t="s">
        <v>192</v>
      </c>
      <c r="T539" s="13" t="s">
        <v>146</v>
      </c>
      <c r="U539" s="13" t="s">
        <v>110</v>
      </c>
      <c r="V539" s="47">
        <f>SUMIF(Data!$E:$E,$I539,Data!$AI:$AI)</f>
        <v>0</v>
      </c>
    </row>
    <row r="540" spans="1:22" x14ac:dyDescent="0.25">
      <c r="A540" s="46" t="s">
        <v>3141</v>
      </c>
      <c r="B540" s="46" t="s">
        <v>120</v>
      </c>
      <c r="C540" s="46" t="s">
        <v>3783</v>
      </c>
      <c r="D540" s="46">
        <v>0.16739999999999999</v>
      </c>
      <c r="E540" s="47">
        <f>SUMIF(Data!$E:$E,$C540,Data!$AI:$AI)</f>
        <v>0</v>
      </c>
      <c r="I540" s="13" t="s">
        <v>3784</v>
      </c>
      <c r="J540" s="13" t="s">
        <v>3785</v>
      </c>
      <c r="K540" s="13" t="s">
        <v>137</v>
      </c>
      <c r="L540" s="13" t="s">
        <v>3603</v>
      </c>
      <c r="M540" s="13" t="s">
        <v>3786</v>
      </c>
      <c r="N540" s="13">
        <v>191.74199999999999</v>
      </c>
      <c r="O540" s="13" t="s">
        <v>3787</v>
      </c>
      <c r="P540" s="13" t="s">
        <v>3788</v>
      </c>
      <c r="Q540" s="13" t="s">
        <v>162</v>
      </c>
      <c r="R540" s="13" t="s">
        <v>3789</v>
      </c>
      <c r="S540" s="13" t="s">
        <v>192</v>
      </c>
      <c r="T540" s="13" t="s">
        <v>146</v>
      </c>
      <c r="U540" s="13" t="s">
        <v>110</v>
      </c>
      <c r="V540" s="47">
        <f>SUMIF(Data!$E:$E,$I540,Data!$AI:$AI)</f>
        <v>0</v>
      </c>
    </row>
    <row r="541" spans="1:22" x14ac:dyDescent="0.25">
      <c r="A541" s="46" t="s">
        <v>3141</v>
      </c>
      <c r="B541" s="46" t="s">
        <v>120</v>
      </c>
      <c r="C541" s="46" t="s">
        <v>3790</v>
      </c>
      <c r="D541" s="46">
        <v>7.7799999999999994E-2</v>
      </c>
      <c r="E541" s="47">
        <f>SUMIF(Data!$E:$E,$C541,Data!$AI:$AI)</f>
        <v>0</v>
      </c>
      <c r="I541" s="13" t="s">
        <v>3791</v>
      </c>
      <c r="J541" s="13" t="s">
        <v>3791</v>
      </c>
      <c r="K541" s="13" t="s">
        <v>137</v>
      </c>
      <c r="L541" s="13" t="s">
        <v>3603</v>
      </c>
      <c r="M541" s="13" t="s">
        <v>3792</v>
      </c>
      <c r="N541" s="13">
        <v>234.37100000000001</v>
      </c>
      <c r="O541" s="13" t="s">
        <v>3793</v>
      </c>
      <c r="P541" s="13" t="s">
        <v>3794</v>
      </c>
      <c r="Q541" s="13" t="s">
        <v>190</v>
      </c>
      <c r="R541" s="13" t="s">
        <v>3795</v>
      </c>
      <c r="S541" s="13" t="s">
        <v>3139</v>
      </c>
      <c r="T541" s="13" t="s">
        <v>3140</v>
      </c>
      <c r="U541" s="13" t="s">
        <v>525</v>
      </c>
      <c r="V541" s="47">
        <f>SUMIF(Data!$E:$E,$I541,Data!$AI:$AI)</f>
        <v>0</v>
      </c>
    </row>
    <row r="542" spans="1:22" x14ac:dyDescent="0.25">
      <c r="A542" s="46" t="s">
        <v>3141</v>
      </c>
      <c r="B542" s="46" t="s">
        <v>120</v>
      </c>
      <c r="C542" s="46" t="s">
        <v>3796</v>
      </c>
      <c r="D542" s="46">
        <v>0.33829999999999999</v>
      </c>
      <c r="E542" s="47">
        <f>SUMIF(Data!$E:$E,$C542,Data!$AI:$AI)</f>
        <v>0</v>
      </c>
      <c r="I542" s="13" t="s">
        <v>3797</v>
      </c>
      <c r="J542" s="13" t="s">
        <v>3798</v>
      </c>
      <c r="K542" s="13" t="s">
        <v>137</v>
      </c>
      <c r="L542" s="13" t="s">
        <v>3603</v>
      </c>
      <c r="M542" s="13" t="s">
        <v>3799</v>
      </c>
      <c r="N542" s="13">
        <v>83.900999999999996</v>
      </c>
      <c r="O542" s="13" t="s">
        <v>3800</v>
      </c>
      <c r="P542" s="13" t="s">
        <v>3801</v>
      </c>
      <c r="Q542" s="13" t="s">
        <v>143</v>
      </c>
      <c r="R542" s="13" t="s">
        <v>3802</v>
      </c>
      <c r="S542" s="13" t="s">
        <v>560</v>
      </c>
      <c r="T542" s="13" t="s">
        <v>561</v>
      </c>
      <c r="U542" s="13" t="s">
        <v>525</v>
      </c>
      <c r="V542" s="47">
        <f>SUMIF(Data!$E:$E,$I542,Data!$AI:$AI)</f>
        <v>0</v>
      </c>
    </row>
    <row r="543" spans="1:22" x14ac:dyDescent="0.25">
      <c r="A543" s="46" t="s">
        <v>3141</v>
      </c>
      <c r="B543" s="46" t="s">
        <v>120</v>
      </c>
      <c r="C543" s="46" t="s">
        <v>3803</v>
      </c>
      <c r="D543" s="46">
        <v>0.46439999999999998</v>
      </c>
      <c r="E543" s="47">
        <f>SUMIF(Data!$E:$E,$C543,Data!$AI:$AI)</f>
        <v>0</v>
      </c>
      <c r="I543" s="13" t="s">
        <v>3804</v>
      </c>
      <c r="J543" s="13" t="s">
        <v>3805</v>
      </c>
      <c r="K543" s="13" t="s">
        <v>137</v>
      </c>
      <c r="L543" s="13" t="s">
        <v>3603</v>
      </c>
      <c r="M543" s="13" t="s">
        <v>3806</v>
      </c>
      <c r="N543" s="13">
        <v>127.488</v>
      </c>
      <c r="O543" s="13" t="s">
        <v>3807</v>
      </c>
      <c r="P543" s="13" t="s">
        <v>3808</v>
      </c>
      <c r="Q543" s="13" t="s">
        <v>416</v>
      </c>
      <c r="R543" s="13" t="s">
        <v>3809</v>
      </c>
      <c r="S543" s="13" t="s">
        <v>560</v>
      </c>
      <c r="T543" s="13" t="s">
        <v>561</v>
      </c>
      <c r="U543" s="13" t="s">
        <v>525</v>
      </c>
      <c r="V543" s="47">
        <f>SUMIF(Data!$E:$E,$I543,Data!$AI:$AI)</f>
        <v>0</v>
      </c>
    </row>
    <row r="544" spans="1:22" x14ac:dyDescent="0.25">
      <c r="A544" s="46" t="s">
        <v>3141</v>
      </c>
      <c r="B544" s="46" t="s">
        <v>120</v>
      </c>
      <c r="C544" s="46" t="s">
        <v>3810</v>
      </c>
      <c r="D544" s="46">
        <v>0.23849999999999999</v>
      </c>
      <c r="E544" s="47">
        <f>SUMIF(Data!$E:$E,$C544,Data!$AI:$AI)</f>
        <v>0</v>
      </c>
      <c r="I544" s="13" t="s">
        <v>3811</v>
      </c>
      <c r="J544" s="13" t="s">
        <v>3812</v>
      </c>
      <c r="K544" s="13" t="s">
        <v>137</v>
      </c>
      <c r="L544" s="13" t="s">
        <v>3603</v>
      </c>
      <c r="M544" s="13" t="s">
        <v>3813</v>
      </c>
      <c r="N544" s="13">
        <v>71.102999999999994</v>
      </c>
      <c r="O544" s="13" t="s">
        <v>3814</v>
      </c>
      <c r="P544" s="13" t="s">
        <v>3815</v>
      </c>
      <c r="Q544" s="13" t="s">
        <v>734</v>
      </c>
      <c r="R544" s="13" t="s">
        <v>3816</v>
      </c>
      <c r="S544" s="13" t="s">
        <v>192</v>
      </c>
      <c r="T544" s="13" t="s">
        <v>146</v>
      </c>
      <c r="U544" s="13" t="s">
        <v>110</v>
      </c>
      <c r="V544" s="47">
        <f>SUMIF(Data!$E:$E,$I544,Data!$AI:$AI)</f>
        <v>0</v>
      </c>
    </row>
    <row r="545" spans="1:22" x14ac:dyDescent="0.25">
      <c r="A545" s="46" t="s">
        <v>3141</v>
      </c>
      <c r="B545" s="46" t="s">
        <v>120</v>
      </c>
      <c r="C545" s="46" t="s">
        <v>3817</v>
      </c>
      <c r="D545" s="46">
        <v>0.246</v>
      </c>
      <c r="E545" s="47">
        <f>SUMIF(Data!$E:$E,$C545,Data!$AI:$AI)</f>
        <v>0</v>
      </c>
      <c r="I545" s="13" t="s">
        <v>3818</v>
      </c>
      <c r="J545" s="13" t="s">
        <v>3819</v>
      </c>
      <c r="K545" s="13" t="s">
        <v>137</v>
      </c>
      <c r="L545" s="13" t="s">
        <v>3603</v>
      </c>
      <c r="M545" s="13" t="s">
        <v>843</v>
      </c>
      <c r="N545" s="13">
        <v>178.49799999999999</v>
      </c>
      <c r="O545" s="13" t="s">
        <v>3820</v>
      </c>
      <c r="P545" s="13" t="s">
        <v>3821</v>
      </c>
      <c r="Q545" s="13" t="s">
        <v>806</v>
      </c>
      <c r="R545" s="13" t="s">
        <v>3822</v>
      </c>
      <c r="S545" s="13" t="s">
        <v>192</v>
      </c>
      <c r="T545" s="13" t="s">
        <v>146</v>
      </c>
      <c r="U545" s="13" t="s">
        <v>110</v>
      </c>
      <c r="V545" s="47">
        <f>SUMIF(Data!$E:$E,$I545,Data!$AI:$AI)</f>
        <v>0</v>
      </c>
    </row>
    <row r="546" spans="1:22" x14ac:dyDescent="0.25">
      <c r="A546" s="46" t="s">
        <v>3141</v>
      </c>
      <c r="B546" s="46" t="s">
        <v>120</v>
      </c>
      <c r="C546" s="46" t="s">
        <v>3823</v>
      </c>
      <c r="D546" s="46">
        <v>0.44009999999999999</v>
      </c>
      <c r="E546" s="47">
        <f>SUMIF(Data!$E:$E,$C546,Data!$AI:$AI)</f>
        <v>0</v>
      </c>
      <c r="I546" s="13">
        <v>6702</v>
      </c>
      <c r="J546" s="13" t="s">
        <v>3824</v>
      </c>
      <c r="K546" s="13" t="s">
        <v>137</v>
      </c>
      <c r="L546" s="13" t="s">
        <v>3603</v>
      </c>
      <c r="M546" s="13" t="s">
        <v>3825</v>
      </c>
      <c r="N546" s="13">
        <v>99.959000000000003</v>
      </c>
      <c r="O546" s="13" t="s">
        <v>3826</v>
      </c>
      <c r="P546" s="13" t="s">
        <v>3827</v>
      </c>
      <c r="Q546" s="13" t="s">
        <v>143</v>
      </c>
      <c r="R546" s="13" t="s">
        <v>3828</v>
      </c>
      <c r="S546" s="13" t="s">
        <v>441</v>
      </c>
      <c r="T546" s="13" t="s">
        <v>442</v>
      </c>
      <c r="U546" s="13" t="s">
        <v>443</v>
      </c>
      <c r="V546" s="47">
        <f>SUMIF(Data!$E:$E,$I546,Data!$AI:$AI)</f>
        <v>0</v>
      </c>
    </row>
    <row r="547" spans="1:22" x14ac:dyDescent="0.25">
      <c r="A547" s="46" t="s">
        <v>3141</v>
      </c>
      <c r="B547" s="46" t="s">
        <v>120</v>
      </c>
      <c r="C547" s="46" t="s">
        <v>3829</v>
      </c>
      <c r="D547" s="46">
        <v>0.14280000000000001</v>
      </c>
      <c r="E547" s="47">
        <f>SUMIF(Data!$E:$E,$C547,Data!$AI:$AI)</f>
        <v>0</v>
      </c>
      <c r="I547" s="13" t="s">
        <v>3830</v>
      </c>
      <c r="J547" s="13" t="s">
        <v>3831</v>
      </c>
      <c r="K547" s="13" t="s">
        <v>137</v>
      </c>
      <c r="L547" s="13" t="s">
        <v>3603</v>
      </c>
      <c r="M547" s="13" t="s">
        <v>3832</v>
      </c>
      <c r="N547" s="13">
        <v>258.726</v>
      </c>
      <c r="O547" s="13" t="s">
        <v>3833</v>
      </c>
      <c r="P547" s="13" t="s">
        <v>3834</v>
      </c>
      <c r="Q547" s="13" t="s">
        <v>416</v>
      </c>
      <c r="R547" s="13" t="s">
        <v>3835</v>
      </c>
      <c r="S547" s="13" t="s">
        <v>560</v>
      </c>
      <c r="T547" s="13" t="s">
        <v>561</v>
      </c>
      <c r="U547" s="13" t="s">
        <v>525</v>
      </c>
      <c r="V547" s="47">
        <f>SUMIF(Data!$E:$E,$I547,Data!$AI:$AI)</f>
        <v>0</v>
      </c>
    </row>
    <row r="548" spans="1:22" x14ac:dyDescent="0.25">
      <c r="A548" s="46" t="s">
        <v>3141</v>
      </c>
      <c r="B548" s="46" t="s">
        <v>120</v>
      </c>
      <c r="C548" s="46" t="s">
        <v>3836</v>
      </c>
      <c r="D548" s="46">
        <v>0.27860000000000001</v>
      </c>
      <c r="E548" s="47">
        <f>SUMIF(Data!$E:$E,$C548,Data!$AI:$AI)</f>
        <v>0</v>
      </c>
      <c r="I548" s="13" t="s">
        <v>3837</v>
      </c>
      <c r="J548" s="13" t="s">
        <v>3838</v>
      </c>
      <c r="K548" s="13" t="s">
        <v>137</v>
      </c>
      <c r="L548" s="13" t="s">
        <v>3603</v>
      </c>
      <c r="M548" s="13" t="s">
        <v>404</v>
      </c>
      <c r="N548" s="13">
        <v>127.273</v>
      </c>
      <c r="O548" s="13" t="s">
        <v>3839</v>
      </c>
      <c r="P548" s="13" t="s">
        <v>3840</v>
      </c>
      <c r="Q548" s="13" t="s">
        <v>172</v>
      </c>
      <c r="R548" s="13" t="s">
        <v>3841</v>
      </c>
      <c r="S548" s="13" t="s">
        <v>192</v>
      </c>
      <c r="T548" s="13" t="s">
        <v>146</v>
      </c>
      <c r="U548" s="13" t="s">
        <v>110</v>
      </c>
      <c r="V548" s="47">
        <f>SUMIF(Data!$E:$E,$I548,Data!$AI:$AI)</f>
        <v>0</v>
      </c>
    </row>
    <row r="549" spans="1:22" x14ac:dyDescent="0.25">
      <c r="A549" s="46" t="s">
        <v>3141</v>
      </c>
      <c r="B549" s="46" t="s">
        <v>120</v>
      </c>
      <c r="C549" s="46" t="s">
        <v>3842</v>
      </c>
      <c r="D549" s="46">
        <v>0.51459999999999995</v>
      </c>
      <c r="E549" s="47">
        <f>SUMIF(Data!$E:$E,$C549,Data!$AI:$AI)</f>
        <v>0</v>
      </c>
      <c r="I549" s="13" t="s">
        <v>2851</v>
      </c>
      <c r="J549" s="13" t="s">
        <v>3843</v>
      </c>
      <c r="K549" s="13" t="s">
        <v>137</v>
      </c>
      <c r="L549" s="13" t="s">
        <v>3603</v>
      </c>
      <c r="M549" s="13" t="s">
        <v>3844</v>
      </c>
      <c r="N549" s="13">
        <v>261.86099999999999</v>
      </c>
      <c r="O549" s="13" t="s">
        <v>3845</v>
      </c>
      <c r="P549" s="13" t="s">
        <v>3846</v>
      </c>
      <c r="Q549" s="13" t="s">
        <v>260</v>
      </c>
      <c r="R549" s="13" t="s">
        <v>3847</v>
      </c>
      <c r="S549" s="13" t="s">
        <v>725</v>
      </c>
      <c r="T549" s="13" t="s">
        <v>726</v>
      </c>
      <c r="U549" s="13" t="s">
        <v>727</v>
      </c>
      <c r="V549" s="47">
        <f>SUMIF(Data!$E:$E,$I549,Data!$AI:$AI)</f>
        <v>0</v>
      </c>
    </row>
    <row r="550" spans="1:22" x14ac:dyDescent="0.25">
      <c r="A550" s="46" t="s">
        <v>3141</v>
      </c>
      <c r="B550" s="46" t="s">
        <v>120</v>
      </c>
      <c r="C550" s="46" t="s">
        <v>3848</v>
      </c>
      <c r="D550" s="46">
        <v>0.67879999999999996</v>
      </c>
      <c r="E550" s="47">
        <f>SUMIF(Data!$E:$E,$C550,Data!$AI:$AI)</f>
        <v>0</v>
      </c>
      <c r="I550" s="13" t="s">
        <v>3849</v>
      </c>
      <c r="J550" s="13" t="s">
        <v>3850</v>
      </c>
      <c r="K550" s="13" t="s">
        <v>137</v>
      </c>
      <c r="L550" s="13" t="s">
        <v>3603</v>
      </c>
      <c r="M550" s="13" t="s">
        <v>3851</v>
      </c>
      <c r="N550" s="13">
        <v>29.446000000000002</v>
      </c>
      <c r="O550" s="13" t="s">
        <v>3852</v>
      </c>
      <c r="P550" s="13" t="s">
        <v>3853</v>
      </c>
      <c r="Q550" s="13" t="s">
        <v>416</v>
      </c>
      <c r="R550" s="13" t="s">
        <v>3854</v>
      </c>
      <c r="S550" s="13" t="s">
        <v>192</v>
      </c>
      <c r="T550" s="13" t="s">
        <v>146</v>
      </c>
      <c r="U550" s="13" t="s">
        <v>110</v>
      </c>
      <c r="V550" s="47">
        <f>SUMIF(Data!$E:$E,$I550,Data!$AI:$AI)</f>
        <v>0</v>
      </c>
    </row>
    <row r="551" spans="1:22" x14ac:dyDescent="0.25">
      <c r="A551" s="46" t="s">
        <v>3141</v>
      </c>
      <c r="B551" s="46" t="s">
        <v>120</v>
      </c>
      <c r="C551" s="46" t="s">
        <v>3855</v>
      </c>
      <c r="D551" s="46">
        <v>0.48089999999999999</v>
      </c>
      <c r="E551" s="47">
        <f>SUMIF(Data!$E:$E,$C551,Data!$AI:$AI)</f>
        <v>0</v>
      </c>
      <c r="I551" s="13" t="s">
        <v>3856</v>
      </c>
      <c r="J551" s="13" t="s">
        <v>3857</v>
      </c>
      <c r="K551" s="13" t="s">
        <v>137</v>
      </c>
      <c r="L551" s="13" t="s">
        <v>3603</v>
      </c>
      <c r="M551" s="13" t="s">
        <v>3858</v>
      </c>
      <c r="N551" s="13">
        <v>147.81200000000001</v>
      </c>
      <c r="O551" s="13" t="s">
        <v>3859</v>
      </c>
      <c r="P551" s="13" t="s">
        <v>3860</v>
      </c>
      <c r="Q551" s="13" t="s">
        <v>143</v>
      </c>
      <c r="R551" s="13" t="s">
        <v>3861</v>
      </c>
      <c r="S551" s="13" t="s">
        <v>145</v>
      </c>
      <c r="T551" s="13" t="s">
        <v>146</v>
      </c>
      <c r="U551" s="13" t="s">
        <v>110</v>
      </c>
      <c r="V551" s="47">
        <f>SUMIF(Data!$E:$E,$I551,Data!$AI:$AI)</f>
        <v>0</v>
      </c>
    </row>
    <row r="552" spans="1:22" x14ac:dyDescent="0.25">
      <c r="A552" s="46" t="s">
        <v>3141</v>
      </c>
      <c r="B552" s="46" t="s">
        <v>120</v>
      </c>
      <c r="C552" s="46" t="s">
        <v>3862</v>
      </c>
      <c r="D552" s="46">
        <v>5.8299999999999998E-2</v>
      </c>
      <c r="E552" s="47">
        <f>SUMIF(Data!$E:$E,$C552,Data!$AI:$AI)</f>
        <v>0</v>
      </c>
      <c r="I552" s="13" t="s">
        <v>3863</v>
      </c>
      <c r="J552" s="13" t="s">
        <v>3864</v>
      </c>
      <c r="K552" s="13" t="s">
        <v>137</v>
      </c>
      <c r="L552" s="13" t="s">
        <v>3603</v>
      </c>
      <c r="M552" s="13" t="s">
        <v>3865</v>
      </c>
      <c r="N552" s="13">
        <v>310.96899999999999</v>
      </c>
      <c r="O552" s="13" t="s">
        <v>3866</v>
      </c>
      <c r="P552" s="13" t="s">
        <v>3867</v>
      </c>
      <c r="Q552" s="13" t="s">
        <v>224</v>
      </c>
      <c r="R552" s="13" t="s">
        <v>3868</v>
      </c>
      <c r="S552" s="13" t="s">
        <v>2928</v>
      </c>
      <c r="T552" s="13" t="s">
        <v>2929</v>
      </c>
      <c r="U552" s="13" t="s">
        <v>2930</v>
      </c>
      <c r="V552" s="47">
        <f>SUMIF(Data!$E:$E,$I552,Data!$AI:$AI)</f>
        <v>0</v>
      </c>
    </row>
    <row r="553" spans="1:22" x14ac:dyDescent="0.25">
      <c r="A553" s="46" t="s">
        <v>3141</v>
      </c>
      <c r="B553" s="46" t="s">
        <v>120</v>
      </c>
      <c r="C553" s="46" t="s">
        <v>3869</v>
      </c>
      <c r="D553" s="46">
        <v>0.34799999999999998</v>
      </c>
      <c r="E553" s="47">
        <f>SUMIF(Data!$E:$E,$C553,Data!$AI:$AI)</f>
        <v>0</v>
      </c>
      <c r="I553" s="13" t="s">
        <v>3870</v>
      </c>
      <c r="J553" s="13" t="s">
        <v>3871</v>
      </c>
      <c r="K553" s="13" t="s">
        <v>137</v>
      </c>
      <c r="L553" s="13" t="s">
        <v>3603</v>
      </c>
      <c r="M553" s="13" t="s">
        <v>3872</v>
      </c>
      <c r="N553" s="13">
        <v>99.747</v>
      </c>
      <c r="O553" s="13" t="s">
        <v>3873</v>
      </c>
      <c r="P553" s="13" t="s">
        <v>3874</v>
      </c>
      <c r="Q553" s="13" t="s">
        <v>143</v>
      </c>
      <c r="R553" s="13" t="s">
        <v>3875</v>
      </c>
      <c r="S553" s="13" t="s">
        <v>192</v>
      </c>
      <c r="T553" s="13" t="s">
        <v>146</v>
      </c>
      <c r="U553" s="13" t="s">
        <v>110</v>
      </c>
      <c r="V553" s="47">
        <f>SUMIF(Data!$E:$E,$I553,Data!$AI:$AI)</f>
        <v>0</v>
      </c>
    </row>
    <row r="554" spans="1:22" x14ac:dyDescent="0.25">
      <c r="A554" s="46" t="s">
        <v>3141</v>
      </c>
      <c r="B554" s="46" t="s">
        <v>120</v>
      </c>
      <c r="C554" s="46" t="s">
        <v>3876</v>
      </c>
      <c r="D554" s="46">
        <v>0.29680000000000001</v>
      </c>
      <c r="E554" s="47">
        <f>SUMIF(Data!$E:$E,$C554,Data!$AI:$AI)</f>
        <v>0</v>
      </c>
      <c r="I554" s="13" t="s">
        <v>3877</v>
      </c>
      <c r="J554" s="13" t="s">
        <v>3878</v>
      </c>
      <c r="K554" s="13" t="s">
        <v>137</v>
      </c>
      <c r="L554" s="13" t="s">
        <v>3603</v>
      </c>
      <c r="M554" s="13" t="s">
        <v>3879</v>
      </c>
      <c r="N554" s="13">
        <v>78.534999999999997</v>
      </c>
      <c r="O554" s="13" t="s">
        <v>3880</v>
      </c>
      <c r="P554" s="13" t="s">
        <v>3881</v>
      </c>
      <c r="Q554" s="13" t="s">
        <v>224</v>
      </c>
      <c r="R554" s="13" t="s">
        <v>3882</v>
      </c>
      <c r="S554" s="13" t="s">
        <v>2410</v>
      </c>
      <c r="T554" s="13" t="s">
        <v>1282</v>
      </c>
      <c r="U554" s="13" t="s">
        <v>525</v>
      </c>
      <c r="V554" s="47">
        <f>SUMIF(Data!$E:$E,$I554,Data!$AI:$AI)</f>
        <v>0</v>
      </c>
    </row>
    <row r="555" spans="1:22" x14ac:dyDescent="0.25">
      <c r="A555" s="46" t="s">
        <v>3141</v>
      </c>
      <c r="B555" s="46" t="s">
        <v>120</v>
      </c>
      <c r="C555" s="46" t="s">
        <v>3883</v>
      </c>
      <c r="D555" s="46">
        <v>0.19450000000000001</v>
      </c>
      <c r="E555" s="47">
        <f>SUMIF(Data!$E:$E,$C555,Data!$AI:$AI)</f>
        <v>0</v>
      </c>
      <c r="I555" s="13" t="s">
        <v>3884</v>
      </c>
      <c r="J555" s="13" t="s">
        <v>3885</v>
      </c>
      <c r="K555" s="13" t="s">
        <v>137</v>
      </c>
      <c r="L555" s="13" t="s">
        <v>3603</v>
      </c>
      <c r="M555" s="13" t="s">
        <v>3886</v>
      </c>
      <c r="N555" s="13">
        <v>33.106999999999999</v>
      </c>
      <c r="O555" s="13" t="s">
        <v>3887</v>
      </c>
      <c r="P555" s="13" t="s">
        <v>3888</v>
      </c>
      <c r="Q555" s="13" t="s">
        <v>806</v>
      </c>
      <c r="R555" s="13" t="s">
        <v>3889</v>
      </c>
      <c r="S555" s="13" t="s">
        <v>192</v>
      </c>
      <c r="T555" s="13" t="s">
        <v>146</v>
      </c>
      <c r="U555" s="13" t="s">
        <v>110</v>
      </c>
      <c r="V555" s="47">
        <f>SUMIF(Data!$E:$E,$I555,Data!$AI:$AI)</f>
        <v>0</v>
      </c>
    </row>
    <row r="556" spans="1:22" x14ac:dyDescent="0.25">
      <c r="A556" s="46" t="s">
        <v>3141</v>
      </c>
      <c r="B556" s="46" t="s">
        <v>120</v>
      </c>
      <c r="C556" s="46" t="s">
        <v>3890</v>
      </c>
      <c r="D556" s="46">
        <v>0.50329999999999997</v>
      </c>
      <c r="E556" s="47">
        <f>SUMIF(Data!$E:$E,$C556,Data!$AI:$AI)</f>
        <v>0</v>
      </c>
      <c r="I556" s="13" t="s">
        <v>3891</v>
      </c>
      <c r="J556" s="13" t="s">
        <v>3892</v>
      </c>
      <c r="K556" s="13" t="s">
        <v>137</v>
      </c>
      <c r="L556" s="13" t="s">
        <v>3603</v>
      </c>
      <c r="M556" s="13" t="s">
        <v>3893</v>
      </c>
      <c r="N556" s="13">
        <v>105.438</v>
      </c>
      <c r="O556" s="13" t="s">
        <v>3894</v>
      </c>
      <c r="P556" s="13" t="s">
        <v>3895</v>
      </c>
      <c r="Q556" s="13" t="s">
        <v>416</v>
      </c>
      <c r="R556" s="13" t="s">
        <v>3896</v>
      </c>
      <c r="S556" s="13" t="s">
        <v>768</v>
      </c>
      <c r="T556" s="13" t="s">
        <v>769</v>
      </c>
      <c r="U556" s="13" t="s">
        <v>770</v>
      </c>
      <c r="V556" s="47">
        <f>SUMIF(Data!$E:$E,$I556,Data!$AI:$AI)</f>
        <v>0</v>
      </c>
    </row>
    <row r="557" spans="1:22" x14ac:dyDescent="0.25">
      <c r="A557" s="46" t="s">
        <v>3141</v>
      </c>
      <c r="B557" s="46" t="s">
        <v>120</v>
      </c>
      <c r="C557" s="46" t="s">
        <v>3897</v>
      </c>
      <c r="D557" s="46">
        <v>8.1199999999999994E-2</v>
      </c>
      <c r="E557" s="47">
        <f>SUMIF(Data!$E:$E,$C557,Data!$AI:$AI)</f>
        <v>0</v>
      </c>
      <c r="I557" s="13" t="s">
        <v>3898</v>
      </c>
      <c r="J557" s="13" t="s">
        <v>3899</v>
      </c>
      <c r="K557" s="13" t="s">
        <v>137</v>
      </c>
      <c r="L557" s="13" t="s">
        <v>3603</v>
      </c>
      <c r="M557" s="13" t="s">
        <v>3900</v>
      </c>
      <c r="N557" s="13">
        <v>109.658</v>
      </c>
      <c r="O557" s="13" t="s">
        <v>3901</v>
      </c>
      <c r="P557" s="13" t="s">
        <v>3902</v>
      </c>
      <c r="Q557" s="13" t="s">
        <v>416</v>
      </c>
      <c r="R557" s="13" t="s">
        <v>3903</v>
      </c>
      <c r="S557" s="13" t="s">
        <v>192</v>
      </c>
      <c r="T557" s="13" t="s">
        <v>146</v>
      </c>
      <c r="U557" s="13" t="s">
        <v>110</v>
      </c>
      <c r="V557" s="47">
        <f>SUMIF(Data!$E:$E,$I557,Data!$AI:$AI)</f>
        <v>0</v>
      </c>
    </row>
    <row r="558" spans="1:22" x14ac:dyDescent="0.25">
      <c r="A558" s="46" t="s">
        <v>3141</v>
      </c>
      <c r="B558" s="46" t="s">
        <v>120</v>
      </c>
      <c r="C558" s="46" t="s">
        <v>3904</v>
      </c>
      <c r="D558" s="46">
        <v>0.25359999999999999</v>
      </c>
      <c r="E558" s="47">
        <f>SUMIF(Data!$E:$E,$C558,Data!$AI:$AI)</f>
        <v>0</v>
      </c>
      <c r="I558" s="13" t="s">
        <v>3905</v>
      </c>
      <c r="J558" s="13" t="s">
        <v>3906</v>
      </c>
      <c r="K558" s="13" t="s">
        <v>137</v>
      </c>
      <c r="L558" s="13" t="s">
        <v>3603</v>
      </c>
      <c r="M558" s="13" t="s">
        <v>3907</v>
      </c>
      <c r="N558" s="13">
        <v>324.65899999999999</v>
      </c>
      <c r="O558" s="13" t="s">
        <v>3908</v>
      </c>
      <c r="P558" s="13" t="s">
        <v>3909</v>
      </c>
      <c r="Q558" s="13" t="s">
        <v>224</v>
      </c>
      <c r="R558" s="13" t="s">
        <v>3910</v>
      </c>
      <c r="S558" s="13" t="s">
        <v>145</v>
      </c>
      <c r="T558" s="13" t="s">
        <v>146</v>
      </c>
      <c r="U558" s="13" t="s">
        <v>110</v>
      </c>
      <c r="V558" s="47">
        <f>SUMIF(Data!$E:$E,$I558,Data!$AI:$AI)</f>
        <v>0</v>
      </c>
    </row>
    <row r="559" spans="1:22" x14ac:dyDescent="0.25">
      <c r="A559" s="46" t="s">
        <v>3141</v>
      </c>
      <c r="B559" s="46" t="s">
        <v>120</v>
      </c>
      <c r="C559" s="46" t="s">
        <v>3911</v>
      </c>
      <c r="D559" s="46">
        <v>0.24310000000000001</v>
      </c>
      <c r="E559" s="47">
        <f>SUMIF(Data!$E:$E,$C559,Data!$AI:$AI)</f>
        <v>0</v>
      </c>
      <c r="I559" s="13" t="s">
        <v>3912</v>
      </c>
      <c r="J559" s="13" t="s">
        <v>3913</v>
      </c>
      <c r="K559" s="13" t="s">
        <v>137</v>
      </c>
      <c r="L559" s="13" t="s">
        <v>3603</v>
      </c>
      <c r="M559" s="13" t="s">
        <v>3914</v>
      </c>
      <c r="N559" s="13">
        <v>186.91399999999999</v>
      </c>
      <c r="O559" s="13" t="s">
        <v>3915</v>
      </c>
      <c r="P559" s="13" t="s">
        <v>3916</v>
      </c>
      <c r="Q559" s="13" t="s">
        <v>162</v>
      </c>
      <c r="R559" s="13" t="s">
        <v>3917</v>
      </c>
      <c r="S559" s="13" t="s">
        <v>725</v>
      </c>
      <c r="T559" s="13" t="s">
        <v>726</v>
      </c>
      <c r="U559" s="13" t="s">
        <v>727</v>
      </c>
      <c r="V559" s="47">
        <f>SUMIF(Data!$E:$E,$I559,Data!$AI:$AI)</f>
        <v>0</v>
      </c>
    </row>
    <row r="560" spans="1:22" x14ac:dyDescent="0.25">
      <c r="A560" s="46" t="s">
        <v>3141</v>
      </c>
      <c r="B560" s="46" t="s">
        <v>120</v>
      </c>
      <c r="C560" s="46" t="s">
        <v>3918</v>
      </c>
      <c r="D560" s="46">
        <v>0.2409</v>
      </c>
      <c r="E560" s="47">
        <f>SUMIF(Data!$E:$E,$C560,Data!$AI:$AI)</f>
        <v>0</v>
      </c>
      <c r="I560" s="13" t="s">
        <v>3919</v>
      </c>
      <c r="J560" s="13" t="s">
        <v>3920</v>
      </c>
      <c r="K560" s="13" t="s">
        <v>137</v>
      </c>
      <c r="L560" s="13" t="s">
        <v>3603</v>
      </c>
      <c r="M560" s="13" t="s">
        <v>3921</v>
      </c>
      <c r="N560" s="13">
        <v>145.21899999999999</v>
      </c>
      <c r="O560" s="13" t="s">
        <v>3922</v>
      </c>
      <c r="P560" s="13" t="s">
        <v>3923</v>
      </c>
      <c r="Q560" s="13" t="s">
        <v>260</v>
      </c>
      <c r="R560" s="13" t="s">
        <v>3924</v>
      </c>
      <c r="S560" s="13" t="s">
        <v>192</v>
      </c>
      <c r="T560" s="13" t="s">
        <v>146</v>
      </c>
      <c r="U560" s="13" t="s">
        <v>110</v>
      </c>
      <c r="V560" s="47">
        <f>SUMIF(Data!$E:$E,$I560,Data!$AI:$AI)</f>
        <v>0</v>
      </c>
    </row>
    <row r="561" spans="1:22" x14ac:dyDescent="0.25">
      <c r="A561" s="46" t="s">
        <v>3141</v>
      </c>
      <c r="B561" s="46" t="s">
        <v>120</v>
      </c>
      <c r="C561" s="46" t="s">
        <v>3925</v>
      </c>
      <c r="D561" s="46">
        <v>0.50090000000000001</v>
      </c>
      <c r="E561" s="47">
        <f>SUMIF(Data!$E:$E,$C561,Data!$AI:$AI)</f>
        <v>0</v>
      </c>
      <c r="I561" s="13">
        <v>2</v>
      </c>
      <c r="J561" s="13" t="s">
        <v>3926</v>
      </c>
      <c r="K561" s="13" t="s">
        <v>137</v>
      </c>
      <c r="L561" s="13" t="s">
        <v>3603</v>
      </c>
      <c r="M561" s="13" t="s">
        <v>3927</v>
      </c>
      <c r="N561" s="13">
        <v>940.68899999999996</v>
      </c>
      <c r="O561" s="13" t="s">
        <v>3928</v>
      </c>
      <c r="P561" s="13" t="s">
        <v>3929</v>
      </c>
      <c r="Q561" s="13" t="s">
        <v>694</v>
      </c>
      <c r="R561" s="13" t="s">
        <v>3930</v>
      </c>
      <c r="S561" s="13" t="s">
        <v>549</v>
      </c>
      <c r="T561" s="13" t="s">
        <v>550</v>
      </c>
      <c r="U561" s="13" t="s">
        <v>551</v>
      </c>
      <c r="V561" s="47">
        <f>SUMIF(Data!$E:$E,$I561,Data!$AI:$AI)</f>
        <v>0</v>
      </c>
    </row>
    <row r="562" spans="1:22" x14ac:dyDescent="0.25">
      <c r="A562" s="46" t="s">
        <v>3141</v>
      </c>
      <c r="B562" s="46" t="s">
        <v>120</v>
      </c>
      <c r="C562" s="46" t="s">
        <v>3931</v>
      </c>
      <c r="D562" s="46">
        <v>0.36799999999999999</v>
      </c>
      <c r="E562" s="47">
        <f>SUMIF(Data!$E:$E,$C562,Data!$AI:$AI)</f>
        <v>0</v>
      </c>
      <c r="I562" s="13">
        <v>2503</v>
      </c>
      <c r="J562" s="13" t="s">
        <v>3932</v>
      </c>
      <c r="K562" s="13" t="s">
        <v>137</v>
      </c>
      <c r="L562" s="13" t="s">
        <v>3603</v>
      </c>
      <c r="M562" s="13" t="s">
        <v>3933</v>
      </c>
      <c r="N562" s="13">
        <v>453.16</v>
      </c>
      <c r="O562" s="13" t="s">
        <v>3934</v>
      </c>
      <c r="P562" s="13" t="s">
        <v>3935</v>
      </c>
      <c r="Q562" s="13" t="s">
        <v>224</v>
      </c>
      <c r="R562" s="13" t="s">
        <v>3936</v>
      </c>
      <c r="S562" s="13" t="s">
        <v>441</v>
      </c>
      <c r="T562" s="13" t="s">
        <v>442</v>
      </c>
      <c r="U562" s="13" t="s">
        <v>443</v>
      </c>
      <c r="V562" s="47">
        <f>SUMIF(Data!$E:$E,$I562,Data!$AI:$AI)</f>
        <v>0</v>
      </c>
    </row>
    <row r="563" spans="1:22" x14ac:dyDescent="0.25">
      <c r="A563" s="46" t="s">
        <v>3141</v>
      </c>
      <c r="B563" s="46" t="s">
        <v>120</v>
      </c>
      <c r="C563" s="46" t="s">
        <v>3937</v>
      </c>
      <c r="D563" s="46">
        <v>0.1203</v>
      </c>
      <c r="E563" s="47">
        <f>SUMIF(Data!$E:$E,$C563,Data!$AI:$AI)</f>
        <v>0</v>
      </c>
      <c r="I563" s="13" t="s">
        <v>3938</v>
      </c>
      <c r="J563" s="13" t="s">
        <v>3939</v>
      </c>
      <c r="K563" s="13" t="s">
        <v>137</v>
      </c>
      <c r="L563" s="13" t="s">
        <v>3603</v>
      </c>
      <c r="M563" s="13" t="s">
        <v>3940</v>
      </c>
      <c r="N563" s="13">
        <v>150.821</v>
      </c>
      <c r="O563" s="13" t="s">
        <v>3941</v>
      </c>
      <c r="P563" s="13" t="s">
        <v>3942</v>
      </c>
      <c r="Q563" s="13" t="s">
        <v>416</v>
      </c>
      <c r="R563" s="13" t="s">
        <v>3943</v>
      </c>
      <c r="S563" s="13" t="s">
        <v>3139</v>
      </c>
      <c r="T563" s="13" t="s">
        <v>3140</v>
      </c>
      <c r="U563" s="13" t="s">
        <v>525</v>
      </c>
      <c r="V563" s="47">
        <f>SUMIF(Data!$E:$E,$I563,Data!$AI:$AI)</f>
        <v>0</v>
      </c>
    </row>
    <row r="564" spans="1:22" x14ac:dyDescent="0.25">
      <c r="A564" s="46" t="s">
        <v>3141</v>
      </c>
      <c r="B564" s="46" t="s">
        <v>120</v>
      </c>
      <c r="C564" s="46" t="s">
        <v>3944</v>
      </c>
      <c r="D564" s="46">
        <v>0.13400000000000001</v>
      </c>
      <c r="E564" s="47">
        <f>SUMIF(Data!$E:$E,$C564,Data!$AI:$AI)</f>
        <v>0</v>
      </c>
      <c r="I564" s="13" t="s">
        <v>3945</v>
      </c>
      <c r="J564" s="13" t="s">
        <v>3946</v>
      </c>
      <c r="K564" s="13" t="s">
        <v>137</v>
      </c>
      <c r="L564" s="13" t="s">
        <v>3603</v>
      </c>
      <c r="M564" s="13" t="s">
        <v>3947</v>
      </c>
      <c r="N564" s="13">
        <v>29.446999999999999</v>
      </c>
      <c r="O564" s="13" t="s">
        <v>3948</v>
      </c>
      <c r="P564" s="13" t="s">
        <v>3949</v>
      </c>
      <c r="Q564" s="13" t="s">
        <v>208</v>
      </c>
      <c r="R564" s="13" t="s">
        <v>3950</v>
      </c>
      <c r="S564" s="13" t="s">
        <v>192</v>
      </c>
      <c r="T564" s="13" t="s">
        <v>146</v>
      </c>
      <c r="U564" s="13" t="s">
        <v>110</v>
      </c>
      <c r="V564" s="47">
        <f>SUMIF(Data!$E:$E,$I564,Data!$AI:$AI)</f>
        <v>0</v>
      </c>
    </row>
    <row r="565" spans="1:22" x14ac:dyDescent="0.25">
      <c r="A565" s="46" t="s">
        <v>3141</v>
      </c>
      <c r="B565" s="46" t="s">
        <v>120</v>
      </c>
      <c r="C565" s="46" t="s">
        <v>3951</v>
      </c>
      <c r="D565" s="46">
        <v>0.1542</v>
      </c>
      <c r="E565" s="47">
        <f>SUMIF(Data!$E:$E,$C565,Data!$AI:$AI)</f>
        <v>0</v>
      </c>
      <c r="I565" s="13" t="s">
        <v>3952</v>
      </c>
      <c r="J565" s="13" t="s">
        <v>3953</v>
      </c>
      <c r="K565" s="13" t="s">
        <v>137</v>
      </c>
      <c r="L565" s="13" t="s">
        <v>3603</v>
      </c>
      <c r="M565" s="13" t="s">
        <v>3954</v>
      </c>
      <c r="N565" s="13">
        <v>139.202</v>
      </c>
      <c r="O565" s="13" t="s">
        <v>3955</v>
      </c>
      <c r="P565" s="13" t="s">
        <v>3956</v>
      </c>
      <c r="Q565" s="13" t="s">
        <v>224</v>
      </c>
      <c r="R565" s="13" t="s">
        <v>3957</v>
      </c>
      <c r="S565" s="13" t="s">
        <v>192</v>
      </c>
      <c r="T565" s="13" t="s">
        <v>146</v>
      </c>
      <c r="U565" s="13" t="s">
        <v>110</v>
      </c>
      <c r="V565" s="47">
        <f>SUMIF(Data!$E:$E,$I565,Data!$AI:$AI)</f>
        <v>0</v>
      </c>
    </row>
    <row r="566" spans="1:22" x14ac:dyDescent="0.25">
      <c r="A566" s="46" t="s">
        <v>3141</v>
      </c>
      <c r="B566" s="46" t="s">
        <v>120</v>
      </c>
      <c r="C566" s="46" t="s">
        <v>3958</v>
      </c>
      <c r="D566" s="46">
        <v>0.34620000000000001</v>
      </c>
      <c r="E566" s="47">
        <f>SUMIF(Data!$E:$E,$C566,Data!$AI:$AI)</f>
        <v>0</v>
      </c>
      <c r="I566" s="13" t="s">
        <v>3959</v>
      </c>
      <c r="J566" s="13" t="s">
        <v>3960</v>
      </c>
      <c r="K566" s="13" t="s">
        <v>137</v>
      </c>
      <c r="L566" s="13" t="s">
        <v>3603</v>
      </c>
      <c r="M566" s="13" t="s">
        <v>3961</v>
      </c>
      <c r="N566" s="13">
        <v>19.484000000000002</v>
      </c>
      <c r="O566" s="13" t="s">
        <v>3962</v>
      </c>
      <c r="P566" s="13" t="s">
        <v>3963</v>
      </c>
      <c r="Q566" s="13" t="s">
        <v>190</v>
      </c>
      <c r="R566" s="13" t="s">
        <v>3964</v>
      </c>
      <c r="S566" s="13" t="s">
        <v>226</v>
      </c>
      <c r="T566" s="13" t="s">
        <v>227</v>
      </c>
      <c r="U566" s="13" t="s">
        <v>228</v>
      </c>
      <c r="V566" s="47">
        <f>SUMIF(Data!$E:$E,$I566,Data!$AI:$AI)</f>
        <v>0</v>
      </c>
    </row>
    <row r="567" spans="1:22" x14ac:dyDescent="0.25">
      <c r="A567" s="46" t="s">
        <v>3141</v>
      </c>
      <c r="B567" s="46" t="s">
        <v>120</v>
      </c>
      <c r="C567" s="46" t="s">
        <v>3965</v>
      </c>
      <c r="D567" s="46">
        <v>0.50800000000000001</v>
      </c>
      <c r="E567" s="47">
        <f>SUMIF(Data!$E:$E,$C567,Data!$AI:$AI)</f>
        <v>0</v>
      </c>
      <c r="I567" s="13" t="s">
        <v>3966</v>
      </c>
      <c r="J567" s="13" t="s">
        <v>3967</v>
      </c>
      <c r="K567" s="13" t="s">
        <v>137</v>
      </c>
      <c r="L567" s="13" t="s">
        <v>3603</v>
      </c>
      <c r="M567" s="13" t="s">
        <v>3968</v>
      </c>
      <c r="N567" s="13">
        <v>92.866</v>
      </c>
      <c r="O567" s="13" t="s">
        <v>3969</v>
      </c>
      <c r="P567" s="13" t="s">
        <v>3970</v>
      </c>
      <c r="Q567" s="13" t="s">
        <v>190</v>
      </c>
      <c r="R567" s="13" t="s">
        <v>3971</v>
      </c>
      <c r="S567" s="13" t="s">
        <v>145</v>
      </c>
      <c r="T567" s="13" t="s">
        <v>146</v>
      </c>
      <c r="U567" s="13" t="s">
        <v>110</v>
      </c>
      <c r="V567" s="47">
        <f>SUMIF(Data!$E:$E,$I567,Data!$AI:$AI)</f>
        <v>0</v>
      </c>
    </row>
    <row r="568" spans="1:22" x14ac:dyDescent="0.25">
      <c r="A568" s="46" t="s">
        <v>3141</v>
      </c>
      <c r="B568" s="46" t="s">
        <v>120</v>
      </c>
      <c r="C568" s="46" t="s">
        <v>3972</v>
      </c>
      <c r="D568" s="46">
        <v>0.40849999999999997</v>
      </c>
      <c r="E568" s="47">
        <f>SUMIF(Data!$E:$E,$C568,Data!$AI:$AI)</f>
        <v>0</v>
      </c>
      <c r="I568" s="13" t="s">
        <v>3973</v>
      </c>
      <c r="J568" s="13" t="s">
        <v>3974</v>
      </c>
      <c r="K568" s="13" t="s">
        <v>137</v>
      </c>
      <c r="L568" s="13" t="s">
        <v>3603</v>
      </c>
      <c r="M568" s="13" t="s">
        <v>3975</v>
      </c>
      <c r="N568" s="13">
        <v>73.385000000000005</v>
      </c>
      <c r="O568" s="13" t="s">
        <v>3976</v>
      </c>
      <c r="P568" s="13" t="s">
        <v>3977</v>
      </c>
      <c r="Q568" s="13" t="s">
        <v>806</v>
      </c>
      <c r="R568" s="13" t="s">
        <v>3978</v>
      </c>
      <c r="S568" s="13" t="s">
        <v>192</v>
      </c>
      <c r="T568" s="13" t="s">
        <v>146</v>
      </c>
      <c r="U568" s="13" t="s">
        <v>110</v>
      </c>
      <c r="V568" s="47">
        <f>SUMIF(Data!$E:$E,$I568,Data!$AI:$AI)</f>
        <v>0</v>
      </c>
    </row>
    <row r="569" spans="1:22" x14ac:dyDescent="0.25">
      <c r="A569" s="46" t="s">
        <v>3141</v>
      </c>
      <c r="B569" s="46" t="s">
        <v>120</v>
      </c>
      <c r="C569" s="46" t="s">
        <v>3979</v>
      </c>
      <c r="D569" s="46">
        <v>0.30740000000000001</v>
      </c>
      <c r="E569" s="47">
        <f>SUMIF(Data!$E:$E,$C569,Data!$AI:$AI)</f>
        <v>0</v>
      </c>
      <c r="I569" s="13" t="s">
        <v>3980</v>
      </c>
      <c r="J569" s="13" t="s">
        <v>3981</v>
      </c>
      <c r="K569" s="13" t="s">
        <v>137</v>
      </c>
      <c r="L569" s="13" t="s">
        <v>3603</v>
      </c>
      <c r="M569" s="13" t="s">
        <v>1069</v>
      </c>
      <c r="N569" s="13">
        <v>61.107999999999997</v>
      </c>
      <c r="O569" s="13" t="s">
        <v>3982</v>
      </c>
      <c r="P569" s="13" t="s">
        <v>3983</v>
      </c>
      <c r="Q569" s="13" t="s">
        <v>806</v>
      </c>
      <c r="R569" s="13" t="s">
        <v>3984</v>
      </c>
      <c r="S569" s="13" t="s">
        <v>192</v>
      </c>
      <c r="T569" s="13" t="s">
        <v>146</v>
      </c>
      <c r="U569" s="13" t="s">
        <v>110</v>
      </c>
      <c r="V569" s="47">
        <f>SUMIF(Data!$E:$E,$I569,Data!$AI:$AI)</f>
        <v>0</v>
      </c>
    </row>
    <row r="570" spans="1:22" x14ac:dyDescent="0.25">
      <c r="A570" s="46" t="s">
        <v>3141</v>
      </c>
      <c r="B570" s="46" t="s">
        <v>120</v>
      </c>
      <c r="C570" s="46" t="s">
        <v>3985</v>
      </c>
      <c r="D570" s="46">
        <v>0.2487</v>
      </c>
      <c r="E570" s="47">
        <f>SUMIF(Data!$E:$E,$C570,Data!$AI:$AI)</f>
        <v>0</v>
      </c>
      <c r="I570" s="13" t="s">
        <v>443</v>
      </c>
      <c r="J570" s="13" t="s">
        <v>3986</v>
      </c>
      <c r="K570" s="13" t="s">
        <v>755</v>
      </c>
      <c r="L570" s="13" t="s">
        <v>3603</v>
      </c>
      <c r="M570" s="13" t="s">
        <v>3987</v>
      </c>
      <c r="N570" s="13" t="s">
        <v>3988</v>
      </c>
      <c r="O570" s="13" t="s">
        <v>3989</v>
      </c>
      <c r="P570" s="13" t="s">
        <v>3990</v>
      </c>
      <c r="Q570" s="13" t="s">
        <v>759</v>
      </c>
      <c r="R570" s="13" t="s">
        <v>760</v>
      </c>
      <c r="S570" s="13" t="s">
        <v>760</v>
      </c>
      <c r="T570" s="13" t="s">
        <v>442</v>
      </c>
      <c r="U570" s="13" t="s">
        <v>443</v>
      </c>
      <c r="V570" s="47">
        <f>SUMIF(Data!$E:$E,$I570,Data!$AI:$AI)</f>
        <v>0</v>
      </c>
    </row>
    <row r="571" spans="1:22" x14ac:dyDescent="0.25">
      <c r="A571" s="46" t="s">
        <v>3141</v>
      </c>
      <c r="B571" s="46" t="s">
        <v>120</v>
      </c>
      <c r="C571" s="46" t="s">
        <v>3991</v>
      </c>
      <c r="D571" s="46">
        <v>0.54520000000000002</v>
      </c>
      <c r="E571" s="47">
        <f>SUMIF(Data!$E:$E,$C571,Data!$AI:$AI)</f>
        <v>0</v>
      </c>
      <c r="I571" s="13" t="s">
        <v>3992</v>
      </c>
      <c r="J571" s="13" t="s">
        <v>3993</v>
      </c>
      <c r="K571" s="13" t="s">
        <v>137</v>
      </c>
      <c r="L571" s="13" t="s">
        <v>3603</v>
      </c>
      <c r="M571" s="13" t="s">
        <v>3994</v>
      </c>
      <c r="N571" s="13">
        <v>83.878</v>
      </c>
      <c r="O571" s="13" t="s">
        <v>3995</v>
      </c>
      <c r="P571" s="13" t="s">
        <v>3996</v>
      </c>
      <c r="Q571" s="13" t="s">
        <v>190</v>
      </c>
      <c r="R571" s="13" t="s">
        <v>3997</v>
      </c>
      <c r="S571" s="13" t="s">
        <v>192</v>
      </c>
      <c r="T571" s="13" t="s">
        <v>146</v>
      </c>
      <c r="U571" s="13" t="s">
        <v>110</v>
      </c>
      <c r="V571" s="47">
        <f>SUMIF(Data!$E:$E,$I571,Data!$AI:$AI)</f>
        <v>0</v>
      </c>
    </row>
    <row r="572" spans="1:22" x14ac:dyDescent="0.25">
      <c r="A572" s="46" t="s">
        <v>3141</v>
      </c>
      <c r="B572" s="46" t="s">
        <v>120</v>
      </c>
      <c r="C572" s="46" t="s">
        <v>3998</v>
      </c>
      <c r="D572" s="46">
        <v>0.221</v>
      </c>
      <c r="E572" s="47">
        <f>SUMIF(Data!$E:$E,$C572,Data!$AI:$AI)</f>
        <v>0</v>
      </c>
      <c r="I572" s="13" t="s">
        <v>3999</v>
      </c>
      <c r="J572" s="13" t="s">
        <v>4000</v>
      </c>
      <c r="K572" s="13" t="s">
        <v>137</v>
      </c>
      <c r="L572" s="13" t="s">
        <v>3603</v>
      </c>
      <c r="M572" s="13" t="s">
        <v>4001</v>
      </c>
      <c r="N572" s="13">
        <v>82.796000000000006</v>
      </c>
      <c r="O572" s="13" t="s">
        <v>4002</v>
      </c>
      <c r="P572" s="13" t="s">
        <v>4003</v>
      </c>
      <c r="Q572" s="13" t="s">
        <v>416</v>
      </c>
      <c r="R572" s="13" t="s">
        <v>4004</v>
      </c>
      <c r="S572" s="13" t="s">
        <v>192</v>
      </c>
      <c r="T572" s="13" t="s">
        <v>146</v>
      </c>
      <c r="U572" s="13" t="s">
        <v>110</v>
      </c>
      <c r="V572" s="47">
        <f>SUMIF(Data!$E:$E,$I572,Data!$AI:$AI)</f>
        <v>0</v>
      </c>
    </row>
    <row r="573" spans="1:22" x14ac:dyDescent="0.25">
      <c r="A573" s="46" t="s">
        <v>3141</v>
      </c>
      <c r="B573" s="46" t="s">
        <v>120</v>
      </c>
      <c r="C573" s="46" t="s">
        <v>4005</v>
      </c>
      <c r="D573" s="46">
        <v>7.46E-2</v>
      </c>
      <c r="E573" s="47">
        <f>SUMIF(Data!$E:$E,$C573,Data!$AI:$AI)</f>
        <v>0</v>
      </c>
      <c r="I573" s="13" t="s">
        <v>4006</v>
      </c>
      <c r="J573" s="13" t="s">
        <v>4007</v>
      </c>
      <c r="K573" s="13" t="s">
        <v>137</v>
      </c>
      <c r="L573" s="13" t="s">
        <v>3603</v>
      </c>
      <c r="M573" s="13" t="s">
        <v>4008</v>
      </c>
      <c r="N573" s="13">
        <v>171.51900000000001</v>
      </c>
      <c r="O573" s="13" t="s">
        <v>4009</v>
      </c>
      <c r="P573" s="13" t="s">
        <v>4010</v>
      </c>
      <c r="Q573" s="13" t="s">
        <v>190</v>
      </c>
      <c r="R573" s="13" t="s">
        <v>4011</v>
      </c>
      <c r="S573" s="13" t="s">
        <v>145</v>
      </c>
      <c r="T573" s="13" t="s">
        <v>146</v>
      </c>
      <c r="U573" s="13" t="s">
        <v>110</v>
      </c>
      <c r="V573" s="47">
        <f>SUMIF(Data!$E:$E,$I573,Data!$AI:$AI)</f>
        <v>0</v>
      </c>
    </row>
    <row r="574" spans="1:22" x14ac:dyDescent="0.25">
      <c r="A574" s="46" t="s">
        <v>3141</v>
      </c>
      <c r="B574" s="46" t="s">
        <v>120</v>
      </c>
      <c r="C574" s="46" t="s">
        <v>4012</v>
      </c>
      <c r="D574" s="46">
        <v>0.1241</v>
      </c>
      <c r="E574" s="47">
        <f>SUMIF(Data!$E:$E,$C574,Data!$AI:$AI)</f>
        <v>0</v>
      </c>
      <c r="I574" s="13" t="s">
        <v>4013</v>
      </c>
      <c r="J574" s="13" t="s">
        <v>4014</v>
      </c>
      <c r="K574" s="13" t="s">
        <v>137</v>
      </c>
      <c r="L574" s="13" t="s">
        <v>3603</v>
      </c>
      <c r="M574" s="13" t="s">
        <v>4015</v>
      </c>
      <c r="N574" s="13">
        <v>100.023</v>
      </c>
      <c r="O574" s="13" t="s">
        <v>4016</v>
      </c>
      <c r="P574" s="13" t="s">
        <v>4017</v>
      </c>
      <c r="Q574" s="13" t="s">
        <v>190</v>
      </c>
      <c r="R574" s="13" t="s">
        <v>4018</v>
      </c>
      <c r="S574" s="13" t="s">
        <v>192</v>
      </c>
      <c r="T574" s="13" t="s">
        <v>146</v>
      </c>
      <c r="U574" s="13" t="s">
        <v>110</v>
      </c>
      <c r="V574" s="47">
        <f>SUMIF(Data!$E:$E,$I574,Data!$AI:$AI)</f>
        <v>0</v>
      </c>
    </row>
    <row r="575" spans="1:22" x14ac:dyDescent="0.25">
      <c r="A575" s="46" t="s">
        <v>3141</v>
      </c>
      <c r="B575" s="46" t="s">
        <v>120</v>
      </c>
      <c r="C575" s="46" t="s">
        <v>4019</v>
      </c>
      <c r="D575" s="46">
        <v>9.4500000000000001E-2</v>
      </c>
      <c r="E575" s="47">
        <f>SUMIF(Data!$E:$E,$C575,Data!$AI:$AI)</f>
        <v>0</v>
      </c>
      <c r="I575" s="13" t="s">
        <v>4020</v>
      </c>
      <c r="J575" s="13" t="s">
        <v>4021</v>
      </c>
      <c r="K575" s="13" t="s">
        <v>137</v>
      </c>
      <c r="L575" s="13" t="s">
        <v>3603</v>
      </c>
      <c r="M575" s="13" t="s">
        <v>4022</v>
      </c>
      <c r="N575" s="13">
        <v>512.40899999999999</v>
      </c>
      <c r="O575" s="13" t="s">
        <v>4023</v>
      </c>
      <c r="P575" s="13" t="s">
        <v>4024</v>
      </c>
      <c r="Q575" s="13" t="s">
        <v>694</v>
      </c>
      <c r="R575" s="13" t="s">
        <v>4025</v>
      </c>
      <c r="S575" s="13" t="s">
        <v>476</v>
      </c>
      <c r="T575" s="13" t="s">
        <v>477</v>
      </c>
      <c r="U575" s="13" t="s">
        <v>478</v>
      </c>
      <c r="V575" s="47">
        <f>SUMIF(Data!$E:$E,$I575,Data!$AI:$AI)</f>
        <v>0</v>
      </c>
    </row>
    <row r="576" spans="1:22" x14ac:dyDescent="0.25">
      <c r="A576" s="46" t="s">
        <v>3141</v>
      </c>
      <c r="B576" s="46" t="s">
        <v>120</v>
      </c>
      <c r="C576" s="46" t="s">
        <v>4026</v>
      </c>
      <c r="D576" s="46">
        <v>0.73450000000000004</v>
      </c>
      <c r="E576" s="47">
        <f>SUMIF(Data!$E:$E,$C576,Data!$AI:$AI)</f>
        <v>0</v>
      </c>
      <c r="I576" s="13" t="s">
        <v>4027</v>
      </c>
      <c r="J576" s="13" t="s">
        <v>4028</v>
      </c>
      <c r="K576" s="13" t="s">
        <v>137</v>
      </c>
      <c r="L576" s="13" t="s">
        <v>3603</v>
      </c>
      <c r="M576" s="13" t="s">
        <v>4029</v>
      </c>
      <c r="N576" s="13">
        <v>287.10300000000001</v>
      </c>
      <c r="O576" s="13" t="s">
        <v>4030</v>
      </c>
      <c r="P576" s="13" t="s">
        <v>4031</v>
      </c>
      <c r="Q576" s="13" t="s">
        <v>162</v>
      </c>
      <c r="R576" s="13" t="s">
        <v>4032</v>
      </c>
      <c r="S576" s="13" t="s">
        <v>192</v>
      </c>
      <c r="T576" s="13" t="s">
        <v>146</v>
      </c>
      <c r="U576" s="13" t="s">
        <v>110</v>
      </c>
      <c r="V576" s="47">
        <f>SUMIF(Data!$E:$E,$I576,Data!$AI:$AI)</f>
        <v>0</v>
      </c>
    </row>
    <row r="577" spans="1:22" x14ac:dyDescent="0.25">
      <c r="A577" s="46" t="s">
        <v>3141</v>
      </c>
      <c r="B577" s="46" t="s">
        <v>120</v>
      </c>
      <c r="C577" s="46">
        <v>2173052</v>
      </c>
      <c r="D577" s="46">
        <v>0.25209999999999999</v>
      </c>
      <c r="E577" s="47">
        <f>SUMIF(Data!$E:$E,$C577,Data!$AI:$AI)</f>
        <v>0</v>
      </c>
      <c r="I577" s="13">
        <v>4578</v>
      </c>
      <c r="J577" s="13" t="s">
        <v>4033</v>
      </c>
      <c r="K577" s="13" t="s">
        <v>137</v>
      </c>
      <c r="L577" s="13" t="s">
        <v>3603</v>
      </c>
      <c r="M577" s="13" t="s">
        <v>4034</v>
      </c>
      <c r="N577" s="13">
        <v>208.48599999999999</v>
      </c>
      <c r="O577" s="13" t="s">
        <v>4035</v>
      </c>
      <c r="P577" s="13" t="s">
        <v>4036</v>
      </c>
      <c r="Q577" s="13" t="s">
        <v>208</v>
      </c>
      <c r="R577" s="13" t="s">
        <v>4037</v>
      </c>
      <c r="S577" s="13" t="s">
        <v>441</v>
      </c>
      <c r="T577" s="13" t="s">
        <v>442</v>
      </c>
      <c r="U577" s="13" t="s">
        <v>443</v>
      </c>
      <c r="V577" s="47">
        <f>SUMIF(Data!$E:$E,$I577,Data!$AI:$AI)</f>
        <v>0</v>
      </c>
    </row>
    <row r="578" spans="1:22" x14ac:dyDescent="0.25">
      <c r="A578" s="46" t="s">
        <v>3141</v>
      </c>
      <c r="B578" s="46" t="s">
        <v>120</v>
      </c>
      <c r="C578" s="46">
        <v>2387701</v>
      </c>
      <c r="D578" s="46">
        <v>0.27800000000000002</v>
      </c>
      <c r="E578" s="47">
        <f>SUMIF(Data!$E:$E,$C578,Data!$AI:$AI)</f>
        <v>0</v>
      </c>
      <c r="I578" s="13" t="s">
        <v>4038</v>
      </c>
      <c r="J578" s="13" t="s">
        <v>4039</v>
      </c>
      <c r="K578" s="13" t="s">
        <v>137</v>
      </c>
      <c r="L578" s="13" t="s">
        <v>3603</v>
      </c>
      <c r="M578" s="13" t="s">
        <v>4040</v>
      </c>
      <c r="N578" s="13">
        <v>735.54700000000003</v>
      </c>
      <c r="O578" s="13" t="s">
        <v>4041</v>
      </c>
      <c r="P578" s="13" t="s">
        <v>4042</v>
      </c>
      <c r="Q578" s="13" t="s">
        <v>734</v>
      </c>
      <c r="R578" s="13" t="s">
        <v>4043</v>
      </c>
      <c r="S578" s="13" t="s">
        <v>192</v>
      </c>
      <c r="T578" s="13" t="s">
        <v>146</v>
      </c>
      <c r="U578" s="13" t="s">
        <v>110</v>
      </c>
      <c r="V578" s="47">
        <f>SUMIF(Data!$E:$E,$I578,Data!$AI:$AI)</f>
        <v>0</v>
      </c>
    </row>
    <row r="579" spans="1:22" x14ac:dyDescent="0.25">
      <c r="A579" s="46" t="s">
        <v>3141</v>
      </c>
      <c r="B579" s="46" t="s">
        <v>120</v>
      </c>
      <c r="C579" s="46" t="s">
        <v>4044</v>
      </c>
      <c r="D579" s="46">
        <v>0.46639999999999998</v>
      </c>
      <c r="E579" s="47">
        <f>SUMIF(Data!$E:$E,$C579,Data!$AI:$AI)</f>
        <v>0</v>
      </c>
      <c r="I579" s="13" t="s">
        <v>4045</v>
      </c>
      <c r="J579" s="13" t="s">
        <v>4046</v>
      </c>
      <c r="K579" s="13" t="s">
        <v>137</v>
      </c>
      <c r="L579" s="13" t="s">
        <v>3603</v>
      </c>
      <c r="M579" s="13" t="s">
        <v>4047</v>
      </c>
      <c r="N579" s="13">
        <v>140.803</v>
      </c>
      <c r="O579" s="13" t="s">
        <v>4048</v>
      </c>
      <c r="P579" s="13" t="s">
        <v>4049</v>
      </c>
      <c r="Q579" s="13" t="s">
        <v>224</v>
      </c>
      <c r="R579" s="13" t="s">
        <v>4050</v>
      </c>
      <c r="S579" s="13" t="s">
        <v>192</v>
      </c>
      <c r="T579" s="13" t="s">
        <v>146</v>
      </c>
      <c r="U579" s="13" t="s">
        <v>110</v>
      </c>
      <c r="V579" s="47">
        <f>SUMIF(Data!$E:$E,$I579,Data!$AI:$AI)</f>
        <v>0</v>
      </c>
    </row>
    <row r="580" spans="1:22" x14ac:dyDescent="0.25">
      <c r="A580" s="46" t="s">
        <v>3141</v>
      </c>
      <c r="B580" s="46" t="s">
        <v>120</v>
      </c>
      <c r="C580" s="46" t="s">
        <v>4051</v>
      </c>
      <c r="D580" s="46">
        <v>0.49419999999999997</v>
      </c>
      <c r="E580" s="47">
        <f>SUMIF(Data!$E:$E,$C580,Data!$AI:$AI)</f>
        <v>0</v>
      </c>
      <c r="I580" s="13" t="s">
        <v>4052</v>
      </c>
      <c r="J580" s="13" t="s">
        <v>4052</v>
      </c>
      <c r="K580" s="13" t="s">
        <v>137</v>
      </c>
      <c r="L580" s="13" t="s">
        <v>3603</v>
      </c>
      <c r="M580" s="13" t="s">
        <v>4053</v>
      </c>
      <c r="N580" s="13">
        <v>97.575999999999993</v>
      </c>
      <c r="O580" s="13" t="s">
        <v>4054</v>
      </c>
      <c r="P580" s="13" t="s">
        <v>4055</v>
      </c>
      <c r="Q580" s="13" t="s">
        <v>694</v>
      </c>
      <c r="R580" s="13" t="s">
        <v>4056</v>
      </c>
      <c r="S580" s="13" t="s">
        <v>768</v>
      </c>
      <c r="T580" s="13" t="s">
        <v>769</v>
      </c>
      <c r="U580" s="13" t="s">
        <v>770</v>
      </c>
      <c r="V580" s="47">
        <f>SUMIF(Data!$E:$E,$I580,Data!$AI:$AI)</f>
        <v>0</v>
      </c>
    </row>
    <row r="581" spans="1:22" x14ac:dyDescent="0.25">
      <c r="A581" s="46" t="s">
        <v>3141</v>
      </c>
      <c r="B581" s="46" t="s">
        <v>120</v>
      </c>
      <c r="C581" s="46" t="s">
        <v>4057</v>
      </c>
      <c r="D581" s="46">
        <v>0.4582</v>
      </c>
      <c r="E581" s="47">
        <f>SUMIF(Data!$E:$E,$C581,Data!$AI:$AI)</f>
        <v>0</v>
      </c>
      <c r="I581" s="13" t="s">
        <v>4058</v>
      </c>
      <c r="J581" s="13" t="s">
        <v>4059</v>
      </c>
      <c r="K581" s="13" t="s">
        <v>137</v>
      </c>
      <c r="L581" s="13" t="s">
        <v>3603</v>
      </c>
      <c r="M581" s="13" t="s">
        <v>4060</v>
      </c>
      <c r="N581" s="13">
        <v>193.65700000000001</v>
      </c>
      <c r="O581" s="13" t="s">
        <v>4061</v>
      </c>
      <c r="P581" s="13" t="s">
        <v>4062</v>
      </c>
      <c r="Q581" s="13" t="s">
        <v>162</v>
      </c>
      <c r="R581" s="13" t="s">
        <v>4063</v>
      </c>
      <c r="S581" s="13" t="s">
        <v>192</v>
      </c>
      <c r="T581" s="13" t="s">
        <v>146</v>
      </c>
      <c r="U581" s="13" t="s">
        <v>110</v>
      </c>
      <c r="V581" s="47">
        <f>SUMIF(Data!$E:$E,$I581,Data!$AI:$AI)</f>
        <v>0</v>
      </c>
    </row>
    <row r="582" spans="1:22" x14ac:dyDescent="0.25">
      <c r="A582" s="46" t="s">
        <v>3141</v>
      </c>
      <c r="B582" s="46" t="s">
        <v>120</v>
      </c>
      <c r="C582" s="46" t="s">
        <v>4064</v>
      </c>
      <c r="D582" s="46">
        <v>0.1123</v>
      </c>
      <c r="E582" s="47">
        <f>SUMIF(Data!$E:$E,$C582,Data!$AI:$AI)</f>
        <v>0</v>
      </c>
      <c r="I582" s="13" t="s">
        <v>4065</v>
      </c>
      <c r="J582" s="13" t="s">
        <v>4066</v>
      </c>
      <c r="K582" s="13" t="s">
        <v>137</v>
      </c>
      <c r="L582" s="13" t="s">
        <v>3603</v>
      </c>
      <c r="M582" s="13" t="s">
        <v>4067</v>
      </c>
      <c r="N582" s="13">
        <v>106.017</v>
      </c>
      <c r="O582" s="13" t="s">
        <v>4068</v>
      </c>
      <c r="P582" s="13" t="s">
        <v>4069</v>
      </c>
      <c r="Q582" s="13" t="s">
        <v>260</v>
      </c>
      <c r="R582" s="13" t="s">
        <v>4070</v>
      </c>
      <c r="S582" s="13" t="s">
        <v>192</v>
      </c>
      <c r="T582" s="13" t="s">
        <v>146</v>
      </c>
      <c r="U582" s="13" t="s">
        <v>110</v>
      </c>
      <c r="V582" s="47">
        <f>SUMIF(Data!$E:$E,$I582,Data!$AI:$AI)</f>
        <v>0</v>
      </c>
    </row>
    <row r="583" spans="1:22" x14ac:dyDescent="0.25">
      <c r="A583" s="46" t="s">
        <v>3141</v>
      </c>
      <c r="B583" s="46" t="s">
        <v>120</v>
      </c>
      <c r="C583" s="46" t="s">
        <v>4071</v>
      </c>
      <c r="D583" s="46">
        <v>2.3380999999999998</v>
      </c>
      <c r="E583" s="47">
        <f>SUMIF(Data!$E:$E,$C583,Data!$AI:$AI)</f>
        <v>0</v>
      </c>
      <c r="I583" s="13" t="s">
        <v>4072</v>
      </c>
      <c r="J583" s="13" t="s">
        <v>4073</v>
      </c>
      <c r="K583" s="13" t="s">
        <v>137</v>
      </c>
      <c r="L583" s="13" t="s">
        <v>3603</v>
      </c>
      <c r="M583" s="13" t="s">
        <v>4074</v>
      </c>
      <c r="N583" s="13">
        <v>10.026</v>
      </c>
      <c r="O583" s="13" t="s">
        <v>4075</v>
      </c>
      <c r="P583" s="13" t="s">
        <v>4076</v>
      </c>
      <c r="Q583" s="13" t="s">
        <v>190</v>
      </c>
      <c r="R583" s="13" t="s">
        <v>4077</v>
      </c>
      <c r="S583" s="13" t="s">
        <v>226</v>
      </c>
      <c r="T583" s="13" t="s">
        <v>227</v>
      </c>
      <c r="U583" s="13" t="s">
        <v>228</v>
      </c>
      <c r="V583" s="47">
        <f>SUMIF(Data!$E:$E,$I583,Data!$AI:$AI)</f>
        <v>0</v>
      </c>
    </row>
    <row r="584" spans="1:22" x14ac:dyDescent="0.25">
      <c r="A584" s="46" t="s">
        <v>3141</v>
      </c>
      <c r="B584" s="46" t="s">
        <v>120</v>
      </c>
      <c r="C584" s="46" t="s">
        <v>4078</v>
      </c>
      <c r="D584" s="46">
        <v>0.26219999999999999</v>
      </c>
      <c r="E584" s="47">
        <f>SUMIF(Data!$E:$E,$C584,Data!$AI:$AI)</f>
        <v>0</v>
      </c>
      <c r="I584" s="13" t="s">
        <v>4079</v>
      </c>
      <c r="J584" s="13" t="s">
        <v>4080</v>
      </c>
      <c r="K584" s="13" t="s">
        <v>137</v>
      </c>
      <c r="L584" s="13" t="s">
        <v>3603</v>
      </c>
      <c r="M584" s="13" t="s">
        <v>4081</v>
      </c>
      <c r="N584" s="13">
        <v>121.652</v>
      </c>
      <c r="O584" s="13" t="s">
        <v>4082</v>
      </c>
      <c r="P584" s="13" t="s">
        <v>4083</v>
      </c>
      <c r="Q584" s="13" t="s">
        <v>694</v>
      </c>
      <c r="R584" s="13" t="s">
        <v>4084</v>
      </c>
      <c r="S584" s="13" t="s">
        <v>192</v>
      </c>
      <c r="T584" s="13" t="s">
        <v>146</v>
      </c>
      <c r="U584" s="13" t="s">
        <v>110</v>
      </c>
      <c r="V584" s="47">
        <f>SUMIF(Data!$E:$E,$I584,Data!$AI:$AI)</f>
        <v>0</v>
      </c>
    </row>
    <row r="585" spans="1:22" x14ac:dyDescent="0.25">
      <c r="A585" s="46" t="s">
        <v>3141</v>
      </c>
      <c r="B585" s="46" t="s">
        <v>120</v>
      </c>
      <c r="C585" s="46">
        <v>4177988</v>
      </c>
      <c r="D585" s="46">
        <v>0.24560000000000001</v>
      </c>
      <c r="E585" s="47">
        <f>SUMIF(Data!$E:$E,$C585,Data!$AI:$AI)</f>
        <v>0</v>
      </c>
      <c r="I585" s="13">
        <v>8604</v>
      </c>
      <c r="J585" s="13" t="s">
        <v>4085</v>
      </c>
      <c r="K585" s="13" t="s">
        <v>137</v>
      </c>
      <c r="L585" s="13" t="s">
        <v>3603</v>
      </c>
      <c r="M585" s="13" t="s">
        <v>1211</v>
      </c>
      <c r="N585" s="13" t="s">
        <v>4086</v>
      </c>
      <c r="O585" s="13" t="s">
        <v>4087</v>
      </c>
      <c r="P585" s="13" t="s">
        <v>4088</v>
      </c>
      <c r="Q585" s="13" t="s">
        <v>190</v>
      </c>
      <c r="R585" s="13" t="s">
        <v>4089</v>
      </c>
      <c r="S585" s="13" t="s">
        <v>441</v>
      </c>
      <c r="T585" s="13" t="s">
        <v>442</v>
      </c>
      <c r="U585" s="13" t="s">
        <v>443</v>
      </c>
      <c r="V585" s="47">
        <f>SUMIF(Data!$E:$E,$I585,Data!$AI:$AI)</f>
        <v>0</v>
      </c>
    </row>
    <row r="586" spans="1:22" x14ac:dyDescent="0.25">
      <c r="A586" s="46" t="s">
        <v>3141</v>
      </c>
      <c r="B586" s="46" t="s">
        <v>120</v>
      </c>
      <c r="C586" s="46">
        <v>6127453</v>
      </c>
      <c r="D586" s="46">
        <v>0.1084</v>
      </c>
      <c r="E586" s="47">
        <f>SUMIF(Data!$E:$E,$C586,Data!$AI:$AI)</f>
        <v>0</v>
      </c>
      <c r="I586" s="13" t="s">
        <v>4090</v>
      </c>
      <c r="J586" s="13" t="s">
        <v>4091</v>
      </c>
      <c r="K586" s="13" t="s">
        <v>137</v>
      </c>
      <c r="L586" s="13" t="s">
        <v>3603</v>
      </c>
      <c r="M586" s="13" t="s">
        <v>4092</v>
      </c>
      <c r="N586" s="13">
        <v>123.955</v>
      </c>
      <c r="O586" s="13" t="s">
        <v>4093</v>
      </c>
      <c r="P586" s="13" t="s">
        <v>4094</v>
      </c>
      <c r="Q586" s="13" t="s">
        <v>190</v>
      </c>
      <c r="R586" s="13" t="s">
        <v>4095</v>
      </c>
      <c r="S586" s="13" t="s">
        <v>1274</v>
      </c>
      <c r="T586" s="13" t="s">
        <v>1275</v>
      </c>
      <c r="U586" s="13" t="s">
        <v>525</v>
      </c>
      <c r="V586" s="47">
        <f>SUMIF(Data!$E:$E,$I586,Data!$AI:$AI)</f>
        <v>0</v>
      </c>
    </row>
    <row r="587" spans="1:22" x14ac:dyDescent="0.25">
      <c r="A587" s="46" t="s">
        <v>3141</v>
      </c>
      <c r="B587" s="46" t="s">
        <v>120</v>
      </c>
      <c r="C587" s="46">
        <v>6205694</v>
      </c>
      <c r="D587" s="46">
        <v>0.16300000000000001</v>
      </c>
      <c r="E587" s="47">
        <f>SUMIF(Data!$E:$E,$C587,Data!$AI:$AI)</f>
        <v>0</v>
      </c>
      <c r="I587" s="13">
        <v>9735</v>
      </c>
      <c r="J587" s="13" t="s">
        <v>4096</v>
      </c>
      <c r="K587" s="13" t="s">
        <v>137</v>
      </c>
      <c r="L587" s="13" t="s">
        <v>3603</v>
      </c>
      <c r="M587" s="13" t="s">
        <v>3198</v>
      </c>
      <c r="N587" s="13">
        <v>104.24299999999999</v>
      </c>
      <c r="O587" s="13" t="s">
        <v>4097</v>
      </c>
      <c r="P587" s="13" t="s">
        <v>4098</v>
      </c>
      <c r="Q587" s="13" t="s">
        <v>416</v>
      </c>
      <c r="R587" s="13" t="s">
        <v>4099</v>
      </c>
      <c r="S587" s="13" t="s">
        <v>441</v>
      </c>
      <c r="T587" s="13" t="s">
        <v>442</v>
      </c>
      <c r="U587" s="13" t="s">
        <v>443</v>
      </c>
      <c r="V587" s="47">
        <f>SUMIF(Data!$E:$E,$I587,Data!$AI:$AI)</f>
        <v>0</v>
      </c>
    </row>
    <row r="588" spans="1:22" x14ac:dyDescent="0.25">
      <c r="A588" s="46" t="s">
        <v>3141</v>
      </c>
      <c r="B588" s="46" t="s">
        <v>120</v>
      </c>
      <c r="C588" s="46">
        <v>6225595</v>
      </c>
      <c r="D588" s="46">
        <v>0.1002</v>
      </c>
      <c r="E588" s="47">
        <f>SUMIF(Data!$E:$E,$C588,Data!$AI:$AI)</f>
        <v>0</v>
      </c>
      <c r="I588" s="13">
        <v>2413</v>
      </c>
      <c r="J588" s="13" t="s">
        <v>4100</v>
      </c>
      <c r="K588" s="13" t="s">
        <v>137</v>
      </c>
      <c r="L588" s="13" t="s">
        <v>3603</v>
      </c>
      <c r="M588" s="13" t="s">
        <v>4101</v>
      </c>
      <c r="N588" s="13">
        <v>296.8</v>
      </c>
      <c r="O588" s="13" t="s">
        <v>4102</v>
      </c>
      <c r="P588" s="13" t="s">
        <v>4103</v>
      </c>
      <c r="Q588" s="13" t="s">
        <v>208</v>
      </c>
      <c r="R588" s="13" t="s">
        <v>4104</v>
      </c>
      <c r="S588" s="13" t="s">
        <v>441</v>
      </c>
      <c r="T588" s="13" t="s">
        <v>442</v>
      </c>
      <c r="U588" s="13" t="s">
        <v>443</v>
      </c>
      <c r="V588" s="47">
        <f>SUMIF(Data!$E:$E,$I588,Data!$AI:$AI)</f>
        <v>0</v>
      </c>
    </row>
    <row r="589" spans="1:22" x14ac:dyDescent="0.25">
      <c r="A589" s="46" t="s">
        <v>3141</v>
      </c>
      <c r="B589" s="46" t="s">
        <v>120</v>
      </c>
      <c r="C589" s="46">
        <v>6527774</v>
      </c>
      <c r="D589" s="46">
        <v>0.35210000000000002</v>
      </c>
      <c r="E589" s="47">
        <f>SUMIF(Data!$E:$E,$C589,Data!$AI:$AI)</f>
        <v>0</v>
      </c>
      <c r="I589" s="13" t="s">
        <v>4105</v>
      </c>
      <c r="J589" s="13" t="s">
        <v>4106</v>
      </c>
      <c r="K589" s="13" t="s">
        <v>137</v>
      </c>
      <c r="L589" s="13" t="s">
        <v>3603</v>
      </c>
      <c r="M589" s="13" t="s">
        <v>4107</v>
      </c>
      <c r="N589" s="13" t="s">
        <v>4108</v>
      </c>
      <c r="O589" s="13" t="s">
        <v>4109</v>
      </c>
      <c r="P589" s="13" t="s">
        <v>4110</v>
      </c>
      <c r="Q589" s="13" t="s">
        <v>806</v>
      </c>
      <c r="R589" s="13" t="s">
        <v>4111</v>
      </c>
      <c r="S589" s="13" t="s">
        <v>847</v>
      </c>
      <c r="T589" s="13" t="s">
        <v>848</v>
      </c>
      <c r="U589" s="13" t="s">
        <v>849</v>
      </c>
      <c r="V589" s="47">
        <f>SUMIF(Data!$E:$E,$I589,Data!$AI:$AI)</f>
        <v>0</v>
      </c>
    </row>
    <row r="590" spans="1:22" x14ac:dyDescent="0.25">
      <c r="A590" s="46" t="s">
        <v>3141</v>
      </c>
      <c r="B590" s="46" t="s">
        <v>120</v>
      </c>
      <c r="C590" s="46">
        <v>6543800</v>
      </c>
      <c r="D590" s="46">
        <v>0.1135</v>
      </c>
      <c r="E590" s="47">
        <f>SUMIF(Data!$E:$E,$C590,Data!$AI:$AI)</f>
        <v>0</v>
      </c>
      <c r="I590" s="13" t="s">
        <v>4112</v>
      </c>
      <c r="J590" s="13" t="s">
        <v>4113</v>
      </c>
      <c r="K590" s="13" t="s">
        <v>137</v>
      </c>
      <c r="L590" s="13" t="s">
        <v>3603</v>
      </c>
      <c r="M590" s="13" t="s">
        <v>4114</v>
      </c>
      <c r="N590" s="13">
        <v>144.13499999999999</v>
      </c>
      <c r="O590" s="13" t="s">
        <v>4115</v>
      </c>
      <c r="P590" s="13" t="s">
        <v>4116</v>
      </c>
      <c r="Q590" s="13" t="s">
        <v>694</v>
      </c>
      <c r="R590" s="13" t="s">
        <v>4117</v>
      </c>
      <c r="S590" s="13" t="s">
        <v>192</v>
      </c>
      <c r="T590" s="13" t="s">
        <v>146</v>
      </c>
      <c r="U590" s="13" t="s">
        <v>110</v>
      </c>
      <c r="V590" s="47">
        <f>SUMIF(Data!$E:$E,$I590,Data!$AI:$AI)</f>
        <v>0</v>
      </c>
    </row>
    <row r="591" spans="1:22" x14ac:dyDescent="0.25">
      <c r="A591" s="46" t="s">
        <v>3141</v>
      </c>
      <c r="B591" s="46" t="s">
        <v>120</v>
      </c>
      <c r="C591" s="46">
        <v>6729558</v>
      </c>
      <c r="D591" s="46">
        <v>0.13150000000000001</v>
      </c>
      <c r="E591" s="47">
        <f>SUMIF(Data!$E:$E,$C591,Data!$AI:$AI)</f>
        <v>0</v>
      </c>
      <c r="I591" s="13" t="s">
        <v>4118</v>
      </c>
      <c r="J591" s="13" t="s">
        <v>4119</v>
      </c>
      <c r="K591" s="13" t="s">
        <v>137</v>
      </c>
      <c r="L591" s="13" t="s">
        <v>3603</v>
      </c>
      <c r="M591" s="13" t="s">
        <v>4120</v>
      </c>
      <c r="N591" s="13">
        <v>958.19299999999998</v>
      </c>
      <c r="O591" s="13" t="s">
        <v>4121</v>
      </c>
      <c r="P591" s="13" t="s">
        <v>4122</v>
      </c>
      <c r="Q591" s="13" t="s">
        <v>806</v>
      </c>
      <c r="R591" s="13" t="s">
        <v>4123</v>
      </c>
      <c r="S591" s="13" t="s">
        <v>847</v>
      </c>
      <c r="T591" s="13" t="s">
        <v>848</v>
      </c>
      <c r="U591" s="13" t="s">
        <v>849</v>
      </c>
      <c r="V591" s="47">
        <f>SUMIF(Data!$E:$E,$I591,Data!$AI:$AI)</f>
        <v>0</v>
      </c>
    </row>
    <row r="592" spans="1:22" x14ac:dyDescent="0.25">
      <c r="A592" s="46" t="s">
        <v>3141</v>
      </c>
      <c r="B592" s="46" t="s">
        <v>120</v>
      </c>
      <c r="C592" s="46" t="s">
        <v>4124</v>
      </c>
      <c r="D592" s="46">
        <v>0.16450000000000001</v>
      </c>
      <c r="E592" s="47">
        <f>SUMIF(Data!$E:$E,$C592,Data!$AI:$AI)</f>
        <v>0</v>
      </c>
      <c r="I592" s="13" t="s">
        <v>4125</v>
      </c>
      <c r="J592" s="13" t="s">
        <v>4126</v>
      </c>
      <c r="K592" s="13" t="s">
        <v>137</v>
      </c>
      <c r="L592" s="13" t="s">
        <v>3603</v>
      </c>
      <c r="M592" s="13" t="s">
        <v>4127</v>
      </c>
      <c r="N592" s="13">
        <v>476.39699999999999</v>
      </c>
      <c r="O592" s="13" t="s">
        <v>4128</v>
      </c>
      <c r="P592" s="13" t="s">
        <v>4129</v>
      </c>
      <c r="Q592" s="13" t="s">
        <v>162</v>
      </c>
      <c r="R592" s="13" t="s">
        <v>4130</v>
      </c>
      <c r="S592" s="13" t="s">
        <v>2928</v>
      </c>
      <c r="T592" s="13" t="s">
        <v>2929</v>
      </c>
      <c r="U592" s="13" t="s">
        <v>2930</v>
      </c>
      <c r="V592" s="47">
        <f>SUMIF(Data!$E:$E,$I592,Data!$AI:$AI)</f>
        <v>0</v>
      </c>
    </row>
    <row r="593" spans="1:22" x14ac:dyDescent="0.25">
      <c r="A593" s="46" t="s">
        <v>3141</v>
      </c>
      <c r="B593" s="46" t="s">
        <v>120</v>
      </c>
      <c r="C593" s="46" t="s">
        <v>4131</v>
      </c>
      <c r="D593" s="46">
        <v>0.15790000000000001</v>
      </c>
      <c r="E593" s="47">
        <f>SUMIF(Data!$E:$E,$C593,Data!$AI:$AI)</f>
        <v>0</v>
      </c>
      <c r="I593" s="13" t="s">
        <v>4132</v>
      </c>
      <c r="J593" s="13" t="s">
        <v>4133</v>
      </c>
      <c r="K593" s="13" t="s">
        <v>137</v>
      </c>
      <c r="L593" s="13" t="s">
        <v>3603</v>
      </c>
      <c r="M593" s="13" t="s">
        <v>4134</v>
      </c>
      <c r="N593" s="13">
        <v>300.58600000000001</v>
      </c>
      <c r="O593" s="13" t="s">
        <v>4135</v>
      </c>
      <c r="P593" s="13" t="s">
        <v>4136</v>
      </c>
      <c r="Q593" s="13" t="s">
        <v>416</v>
      </c>
      <c r="R593" s="13" t="s">
        <v>4137</v>
      </c>
      <c r="S593" s="13" t="s">
        <v>1164</v>
      </c>
      <c r="T593" s="13" t="s">
        <v>1165</v>
      </c>
      <c r="U593" s="13" t="s">
        <v>525</v>
      </c>
      <c r="V593" s="47">
        <f>SUMIF(Data!$E:$E,$I593,Data!$AI:$AI)</f>
        <v>0</v>
      </c>
    </row>
    <row r="594" spans="1:22" x14ac:dyDescent="0.25">
      <c r="A594" s="46" t="s">
        <v>3141</v>
      </c>
      <c r="B594" s="46" t="s">
        <v>120</v>
      </c>
      <c r="C594" s="46" t="s">
        <v>4138</v>
      </c>
      <c r="D594" s="46">
        <v>0.2094</v>
      </c>
      <c r="E594" s="47">
        <f>SUMIF(Data!$E:$E,$C594,Data!$AI:$AI)</f>
        <v>0</v>
      </c>
      <c r="I594" s="13" t="s">
        <v>4139</v>
      </c>
      <c r="J594" s="13" t="s">
        <v>4140</v>
      </c>
      <c r="K594" s="13" t="s">
        <v>137</v>
      </c>
      <c r="L594" s="13" t="s">
        <v>3603</v>
      </c>
      <c r="M594" s="13" t="s">
        <v>4141</v>
      </c>
      <c r="N594" s="13">
        <v>186.43600000000001</v>
      </c>
      <c r="O594" s="13" t="s">
        <v>4142</v>
      </c>
      <c r="P594" s="13" t="s">
        <v>4143</v>
      </c>
      <c r="Q594" s="13" t="s">
        <v>172</v>
      </c>
      <c r="R594" s="13" t="s">
        <v>4144</v>
      </c>
      <c r="S594" s="13" t="s">
        <v>725</v>
      </c>
      <c r="T594" s="13" t="s">
        <v>726</v>
      </c>
      <c r="U594" s="13" t="s">
        <v>727</v>
      </c>
      <c r="V594" s="47">
        <f>SUMIF(Data!$E:$E,$I594,Data!$AI:$AI)</f>
        <v>0</v>
      </c>
    </row>
    <row r="595" spans="1:22" x14ac:dyDescent="0.25">
      <c r="A595" s="46" t="s">
        <v>3141</v>
      </c>
      <c r="B595" s="46" t="s">
        <v>120</v>
      </c>
      <c r="C595" s="46" t="s">
        <v>4145</v>
      </c>
      <c r="D595" s="46">
        <v>0.14680000000000001</v>
      </c>
      <c r="E595" s="47">
        <f>SUMIF(Data!$E:$E,$C595,Data!$AI:$AI)</f>
        <v>0</v>
      </c>
      <c r="I595" s="13">
        <v>1925</v>
      </c>
      <c r="J595" s="13" t="s">
        <v>4146</v>
      </c>
      <c r="K595" s="13" t="s">
        <v>137</v>
      </c>
      <c r="L595" s="13" t="s">
        <v>3603</v>
      </c>
      <c r="M595" s="13" t="s">
        <v>4147</v>
      </c>
      <c r="N595" s="13">
        <v>297.15199999999999</v>
      </c>
      <c r="O595" s="13" t="s">
        <v>4148</v>
      </c>
      <c r="P595" s="13" t="s">
        <v>4149</v>
      </c>
      <c r="Q595" s="13" t="s">
        <v>806</v>
      </c>
      <c r="R595" s="13" t="s">
        <v>4150</v>
      </c>
      <c r="S595" s="13" t="s">
        <v>441</v>
      </c>
      <c r="T595" s="13" t="s">
        <v>442</v>
      </c>
      <c r="U595" s="13" t="s">
        <v>443</v>
      </c>
      <c r="V595" s="47">
        <f>SUMIF(Data!$E:$E,$I595,Data!$AI:$AI)</f>
        <v>0</v>
      </c>
    </row>
    <row r="596" spans="1:22" x14ac:dyDescent="0.25">
      <c r="A596" s="46" t="s">
        <v>3141</v>
      </c>
      <c r="B596" s="46" t="s">
        <v>120</v>
      </c>
      <c r="C596" s="46" t="s">
        <v>4151</v>
      </c>
      <c r="D596" s="46">
        <v>0.32800000000000001</v>
      </c>
      <c r="E596" s="47">
        <f>SUMIF(Data!$E:$E,$C596,Data!$AI:$AI)</f>
        <v>0</v>
      </c>
      <c r="I596" s="13">
        <v>2502</v>
      </c>
      <c r="J596" s="13" t="s">
        <v>4152</v>
      </c>
      <c r="K596" s="13" t="s">
        <v>137</v>
      </c>
      <c r="L596" s="13" t="s">
        <v>3603</v>
      </c>
      <c r="M596" s="13" t="s">
        <v>4153</v>
      </c>
      <c r="N596" s="13">
        <v>203.66200000000001</v>
      </c>
      <c r="O596" s="13" t="s">
        <v>4154</v>
      </c>
      <c r="P596" s="13" t="s">
        <v>4155</v>
      </c>
      <c r="Q596" s="13" t="s">
        <v>224</v>
      </c>
      <c r="R596" s="13" t="s">
        <v>4156</v>
      </c>
      <c r="S596" s="13" t="s">
        <v>441</v>
      </c>
      <c r="T596" s="13" t="s">
        <v>442</v>
      </c>
      <c r="U596" s="13" t="s">
        <v>443</v>
      </c>
      <c r="V596" s="47">
        <f>SUMIF(Data!$E:$E,$I596,Data!$AI:$AI)</f>
        <v>0</v>
      </c>
    </row>
    <row r="597" spans="1:22" x14ac:dyDescent="0.25">
      <c r="A597" s="46" t="s">
        <v>3141</v>
      </c>
      <c r="B597" s="46" t="s">
        <v>120</v>
      </c>
      <c r="C597" s="46" t="s">
        <v>4157</v>
      </c>
      <c r="D597" s="46">
        <v>0.13800000000000001</v>
      </c>
      <c r="E597" s="47">
        <f>SUMIF(Data!$E:$E,$C597,Data!$AI:$AI)</f>
        <v>0</v>
      </c>
      <c r="I597" s="13" t="s">
        <v>4158</v>
      </c>
      <c r="J597" s="13" t="s">
        <v>4159</v>
      </c>
      <c r="K597" s="13" t="s">
        <v>137</v>
      </c>
      <c r="L597" s="13" t="s">
        <v>3603</v>
      </c>
      <c r="M597" s="13" t="s">
        <v>4160</v>
      </c>
      <c r="N597" s="13">
        <v>166.05699999999999</v>
      </c>
      <c r="O597" s="13" t="s">
        <v>4161</v>
      </c>
      <c r="P597" s="13" t="s">
        <v>4162</v>
      </c>
      <c r="Q597" s="13" t="s">
        <v>190</v>
      </c>
      <c r="R597" s="13" t="s">
        <v>4163</v>
      </c>
      <c r="S597" s="13" t="s">
        <v>725</v>
      </c>
      <c r="T597" s="13" t="s">
        <v>726</v>
      </c>
      <c r="U597" s="13" t="s">
        <v>727</v>
      </c>
      <c r="V597" s="47">
        <f>SUMIF(Data!$E:$E,$I597,Data!$AI:$AI)</f>
        <v>0</v>
      </c>
    </row>
    <row r="598" spans="1:22" x14ac:dyDescent="0.25">
      <c r="A598" s="46" t="s">
        <v>3141</v>
      </c>
      <c r="B598" s="46" t="s">
        <v>120</v>
      </c>
      <c r="C598" s="46" t="s">
        <v>4164</v>
      </c>
      <c r="D598" s="46">
        <v>0.16200000000000001</v>
      </c>
      <c r="E598" s="47">
        <f>SUMIF(Data!$E:$E,$C598,Data!$AI:$AI)</f>
        <v>0</v>
      </c>
      <c r="I598" s="13" t="s">
        <v>4165</v>
      </c>
      <c r="J598" s="13" t="s">
        <v>4166</v>
      </c>
      <c r="K598" s="13" t="s">
        <v>137</v>
      </c>
      <c r="L598" s="13" t="s">
        <v>3603</v>
      </c>
      <c r="M598" s="13" t="s">
        <v>4167</v>
      </c>
      <c r="N598" s="13">
        <v>132.59700000000001</v>
      </c>
      <c r="O598" s="13" t="s">
        <v>4168</v>
      </c>
      <c r="P598" s="13" t="s">
        <v>4169</v>
      </c>
      <c r="Q598" s="13" t="s">
        <v>224</v>
      </c>
      <c r="R598" s="13" t="s">
        <v>4170</v>
      </c>
      <c r="S598" s="13" t="s">
        <v>192</v>
      </c>
      <c r="T598" s="13" t="s">
        <v>146</v>
      </c>
      <c r="U598" s="13" t="s">
        <v>110</v>
      </c>
      <c r="V598" s="47">
        <f>SUMIF(Data!$E:$E,$I598,Data!$AI:$AI)</f>
        <v>0</v>
      </c>
    </row>
    <row r="599" spans="1:22" x14ac:dyDescent="0.25">
      <c r="A599" s="46" t="s">
        <v>3141</v>
      </c>
      <c r="B599" s="46" t="s">
        <v>120</v>
      </c>
      <c r="C599" s="46" t="s">
        <v>4171</v>
      </c>
      <c r="D599" s="46">
        <v>0.1643</v>
      </c>
      <c r="E599" s="47">
        <f>SUMIF(Data!$E:$E,$C599,Data!$AI:$AI)</f>
        <v>0</v>
      </c>
      <c r="I599" s="13" t="s">
        <v>4172</v>
      </c>
      <c r="J599" s="13" t="s">
        <v>4172</v>
      </c>
      <c r="K599" s="13" t="s">
        <v>137</v>
      </c>
      <c r="L599" s="13" t="s">
        <v>3603</v>
      </c>
      <c r="M599" s="13" t="s">
        <v>4173</v>
      </c>
      <c r="N599" s="13">
        <v>492.12099999999998</v>
      </c>
      <c r="O599" s="13" t="s">
        <v>4174</v>
      </c>
      <c r="P599" s="13" t="s">
        <v>4175</v>
      </c>
      <c r="Q599" s="13" t="s">
        <v>190</v>
      </c>
      <c r="R599" s="13" t="s">
        <v>4176</v>
      </c>
      <c r="S599" s="13" t="s">
        <v>3711</v>
      </c>
      <c r="T599" s="13" t="s">
        <v>3712</v>
      </c>
      <c r="U599" s="13" t="s">
        <v>3713</v>
      </c>
      <c r="V599" s="47">
        <f>SUMIF(Data!$E:$E,$I599,Data!$AI:$AI)</f>
        <v>0</v>
      </c>
    </row>
    <row r="600" spans="1:22" x14ac:dyDescent="0.25">
      <c r="A600" s="46" t="s">
        <v>3141</v>
      </c>
      <c r="B600" s="46" t="s">
        <v>120</v>
      </c>
      <c r="C600" s="46" t="s">
        <v>4177</v>
      </c>
      <c r="D600" s="46">
        <v>0.29470000000000002</v>
      </c>
      <c r="E600" s="47">
        <f>SUMIF(Data!$E:$E,$C600,Data!$AI:$AI)</f>
        <v>0</v>
      </c>
      <c r="I600" s="13" t="s">
        <v>4178</v>
      </c>
      <c r="J600" s="13" t="s">
        <v>4179</v>
      </c>
      <c r="K600" s="13" t="s">
        <v>137</v>
      </c>
      <c r="L600" s="13" t="s">
        <v>3603</v>
      </c>
      <c r="M600" s="13" t="s">
        <v>4180</v>
      </c>
      <c r="N600" s="13">
        <v>62.38</v>
      </c>
      <c r="O600" s="13" t="s">
        <v>4181</v>
      </c>
      <c r="P600" s="13" t="s">
        <v>4182</v>
      </c>
      <c r="Q600" s="13" t="s">
        <v>416</v>
      </c>
      <c r="R600" s="13" t="s">
        <v>4183</v>
      </c>
      <c r="S600" s="13" t="s">
        <v>192</v>
      </c>
      <c r="T600" s="13" t="s">
        <v>146</v>
      </c>
      <c r="U600" s="13" t="s">
        <v>110</v>
      </c>
      <c r="V600" s="47">
        <f>SUMIF(Data!$E:$E,$I600,Data!$AI:$AI)</f>
        <v>0</v>
      </c>
    </row>
    <row r="601" spans="1:22" x14ac:dyDescent="0.25">
      <c r="A601" s="46" t="s">
        <v>3141</v>
      </c>
      <c r="B601" s="46" t="s">
        <v>120</v>
      </c>
      <c r="C601" s="46" t="s">
        <v>4184</v>
      </c>
      <c r="D601" s="46">
        <v>0.2235</v>
      </c>
      <c r="E601" s="47">
        <f>SUMIF(Data!$E:$E,$C601,Data!$AI:$AI)</f>
        <v>0</v>
      </c>
      <c r="I601" s="13">
        <v>8725</v>
      </c>
      <c r="J601" s="13" t="s">
        <v>4185</v>
      </c>
      <c r="K601" s="13" t="s">
        <v>137</v>
      </c>
      <c r="L601" s="13" t="s">
        <v>3603</v>
      </c>
      <c r="M601" s="13" t="s">
        <v>4186</v>
      </c>
      <c r="N601" s="13">
        <v>273.125</v>
      </c>
      <c r="O601" s="13" t="s">
        <v>4187</v>
      </c>
      <c r="P601" s="13" t="s">
        <v>4188</v>
      </c>
      <c r="Q601" s="13" t="s">
        <v>190</v>
      </c>
      <c r="R601" s="13" t="s">
        <v>4189</v>
      </c>
      <c r="S601" s="13" t="s">
        <v>441</v>
      </c>
      <c r="T601" s="13" t="s">
        <v>442</v>
      </c>
      <c r="U601" s="13" t="s">
        <v>443</v>
      </c>
      <c r="V601" s="47">
        <f>SUMIF(Data!$E:$E,$I601,Data!$AI:$AI)</f>
        <v>0</v>
      </c>
    </row>
    <row r="602" spans="1:22" x14ac:dyDescent="0.25">
      <c r="A602" s="46" t="s">
        <v>3141</v>
      </c>
      <c r="B602" s="46" t="s">
        <v>120</v>
      </c>
      <c r="C602" s="46" t="s">
        <v>4190</v>
      </c>
      <c r="D602" s="46">
        <v>0.23780000000000001</v>
      </c>
      <c r="E602" s="47">
        <f>SUMIF(Data!$E:$E,$C602,Data!$AI:$AI)</f>
        <v>0</v>
      </c>
      <c r="I602" s="13" t="s">
        <v>4191</v>
      </c>
      <c r="J602" s="13" t="s">
        <v>4192</v>
      </c>
      <c r="K602" s="13" t="s">
        <v>137</v>
      </c>
      <c r="L602" s="13" t="s">
        <v>3603</v>
      </c>
      <c r="M602" s="13" t="s">
        <v>4193</v>
      </c>
      <c r="N602" s="13">
        <v>87.581999999999994</v>
      </c>
      <c r="O602" s="13" t="s">
        <v>4194</v>
      </c>
      <c r="P602" s="13" t="s">
        <v>4195</v>
      </c>
      <c r="Q602" s="13" t="s">
        <v>208</v>
      </c>
      <c r="R602" s="13" t="s">
        <v>4196</v>
      </c>
      <c r="S602" s="13" t="s">
        <v>145</v>
      </c>
      <c r="T602" s="13" t="s">
        <v>146</v>
      </c>
      <c r="U602" s="13" t="s">
        <v>110</v>
      </c>
      <c r="V602" s="47">
        <f>SUMIF(Data!$E:$E,$I602,Data!$AI:$AI)</f>
        <v>0</v>
      </c>
    </row>
    <row r="603" spans="1:22" x14ac:dyDescent="0.25">
      <c r="A603" s="46" t="s">
        <v>3141</v>
      </c>
      <c r="B603" s="46" t="s">
        <v>120</v>
      </c>
      <c r="C603" s="46" t="s">
        <v>4197</v>
      </c>
      <c r="D603" s="46">
        <v>0.11940000000000001</v>
      </c>
      <c r="E603" s="47">
        <f>SUMIF(Data!$E:$E,$C603,Data!$AI:$AI)</f>
        <v>0</v>
      </c>
      <c r="I603" s="13" t="s">
        <v>4198</v>
      </c>
      <c r="J603" s="13" t="s">
        <v>4199</v>
      </c>
      <c r="K603" s="13" t="s">
        <v>137</v>
      </c>
      <c r="L603" s="13" t="s">
        <v>3603</v>
      </c>
      <c r="M603" s="13" t="s">
        <v>4200</v>
      </c>
      <c r="N603" s="13">
        <v>261.04300000000001</v>
      </c>
      <c r="O603" s="13" t="s">
        <v>4201</v>
      </c>
      <c r="P603" s="13" t="s">
        <v>4202</v>
      </c>
      <c r="Q603" s="13" t="s">
        <v>806</v>
      </c>
      <c r="R603" s="13" t="s">
        <v>4203</v>
      </c>
      <c r="S603" s="13" t="s">
        <v>192</v>
      </c>
      <c r="T603" s="13" t="s">
        <v>146</v>
      </c>
      <c r="U603" s="13" t="s">
        <v>110</v>
      </c>
      <c r="V603" s="47">
        <f>SUMIF(Data!$E:$E,$I603,Data!$AI:$AI)</f>
        <v>0</v>
      </c>
    </row>
    <row r="604" spans="1:22" x14ac:dyDescent="0.25">
      <c r="A604" s="46" t="s">
        <v>3141</v>
      </c>
      <c r="B604" s="46" t="s">
        <v>120</v>
      </c>
      <c r="C604" s="46" t="s">
        <v>4204</v>
      </c>
      <c r="D604" s="46">
        <v>0.16750000000000001</v>
      </c>
      <c r="E604" s="47">
        <f>SUMIF(Data!$E:$E,$C604,Data!$AI:$AI)</f>
        <v>0</v>
      </c>
      <c r="I604" s="13" t="s">
        <v>4205</v>
      </c>
      <c r="J604" s="13" t="s">
        <v>4206</v>
      </c>
      <c r="K604" s="13" t="s">
        <v>137</v>
      </c>
      <c r="L604" s="13" t="s">
        <v>3603</v>
      </c>
      <c r="M604" s="13" t="s">
        <v>4207</v>
      </c>
      <c r="N604" s="13">
        <v>144.33000000000001</v>
      </c>
      <c r="O604" s="13" t="s">
        <v>4208</v>
      </c>
      <c r="P604" s="13" t="s">
        <v>4209</v>
      </c>
      <c r="Q604" s="13" t="s">
        <v>143</v>
      </c>
      <c r="R604" s="13" t="s">
        <v>4210</v>
      </c>
      <c r="S604" s="13" t="s">
        <v>145</v>
      </c>
      <c r="T604" s="13" t="s">
        <v>146</v>
      </c>
      <c r="U604" s="13" t="s">
        <v>110</v>
      </c>
      <c r="V604" s="47">
        <f>SUMIF(Data!$E:$E,$I604,Data!$AI:$AI)</f>
        <v>0</v>
      </c>
    </row>
    <row r="605" spans="1:22" x14ac:dyDescent="0.25">
      <c r="A605" s="46" t="s">
        <v>3141</v>
      </c>
      <c r="B605" s="46" t="s">
        <v>120</v>
      </c>
      <c r="C605" s="46" t="s">
        <v>4211</v>
      </c>
      <c r="D605" s="46">
        <v>0.15210000000000001</v>
      </c>
      <c r="E605" s="47">
        <f>SUMIF(Data!$E:$E,$C605,Data!$AI:$AI)</f>
        <v>0</v>
      </c>
      <c r="I605" s="13" t="s">
        <v>4212</v>
      </c>
      <c r="J605" s="13" t="s">
        <v>4213</v>
      </c>
      <c r="K605" s="13" t="s">
        <v>137</v>
      </c>
      <c r="L605" s="13" t="s">
        <v>3603</v>
      </c>
      <c r="M605" s="13" t="s">
        <v>4214</v>
      </c>
      <c r="N605" s="13" t="s">
        <v>4215</v>
      </c>
      <c r="O605" s="13" t="s">
        <v>4216</v>
      </c>
      <c r="P605" s="13" t="s">
        <v>4217</v>
      </c>
      <c r="Q605" s="13" t="s">
        <v>190</v>
      </c>
      <c r="R605" s="13" t="s">
        <v>4218</v>
      </c>
      <c r="S605" s="13" t="s">
        <v>523</v>
      </c>
      <c r="T605" s="13" t="s">
        <v>524</v>
      </c>
      <c r="U605" s="13" t="s">
        <v>525</v>
      </c>
      <c r="V605" s="47">
        <f>SUMIF(Data!$E:$E,$I605,Data!$AI:$AI)</f>
        <v>0</v>
      </c>
    </row>
    <row r="606" spans="1:22" x14ac:dyDescent="0.25">
      <c r="A606" s="46" t="s">
        <v>3141</v>
      </c>
      <c r="B606" s="46" t="s">
        <v>120</v>
      </c>
      <c r="C606" s="46" t="s">
        <v>4219</v>
      </c>
      <c r="D606" s="46">
        <v>0.49840000000000001</v>
      </c>
      <c r="E606" s="47">
        <f>SUMIF(Data!$E:$E,$C606,Data!$AI:$AI)</f>
        <v>0</v>
      </c>
      <c r="I606" s="13" t="s">
        <v>4220</v>
      </c>
      <c r="J606" s="13" t="s">
        <v>4221</v>
      </c>
      <c r="K606" s="13" t="s">
        <v>137</v>
      </c>
      <c r="L606" s="13" t="s">
        <v>3603</v>
      </c>
      <c r="M606" s="13" t="s">
        <v>4222</v>
      </c>
      <c r="N606" s="13">
        <v>330.39</v>
      </c>
      <c r="O606" s="13" t="s">
        <v>4223</v>
      </c>
      <c r="P606" s="13" t="s">
        <v>4224</v>
      </c>
      <c r="Q606" s="13" t="s">
        <v>143</v>
      </c>
      <c r="R606" s="13" t="s">
        <v>4225</v>
      </c>
      <c r="S606" s="13" t="s">
        <v>560</v>
      </c>
      <c r="T606" s="13" t="s">
        <v>561</v>
      </c>
      <c r="U606" s="13" t="s">
        <v>525</v>
      </c>
      <c r="V606" s="47">
        <f>SUMIF(Data!$E:$E,$I606,Data!$AI:$AI)</f>
        <v>0</v>
      </c>
    </row>
    <row r="607" spans="1:22" x14ac:dyDescent="0.25">
      <c r="A607" s="46" t="s">
        <v>3141</v>
      </c>
      <c r="B607" s="46" t="s">
        <v>120</v>
      </c>
      <c r="C607" s="46">
        <v>2117599</v>
      </c>
      <c r="D607" s="46">
        <v>0.33900000000000002</v>
      </c>
      <c r="E607" s="47">
        <f>SUMIF(Data!$E:$E,$C607,Data!$AI:$AI)</f>
        <v>0</v>
      </c>
      <c r="I607" s="13" t="s">
        <v>4226</v>
      </c>
      <c r="J607" s="13" t="s">
        <v>4227</v>
      </c>
      <c r="K607" s="13" t="s">
        <v>137</v>
      </c>
      <c r="L607" s="13" t="s">
        <v>3603</v>
      </c>
      <c r="M607" s="13" t="s">
        <v>4228</v>
      </c>
      <c r="N607" s="13">
        <v>151.90199999999999</v>
      </c>
      <c r="O607" s="13" t="s">
        <v>4229</v>
      </c>
      <c r="P607" s="13" t="s">
        <v>4230</v>
      </c>
      <c r="Q607" s="13" t="s">
        <v>162</v>
      </c>
      <c r="R607" s="13" t="s">
        <v>4231</v>
      </c>
      <c r="S607" s="13" t="s">
        <v>192</v>
      </c>
      <c r="T607" s="13" t="s">
        <v>146</v>
      </c>
      <c r="U607" s="13" t="s">
        <v>110</v>
      </c>
      <c r="V607" s="47">
        <f>SUMIF(Data!$E:$E,$I607,Data!$AI:$AI)</f>
        <v>0</v>
      </c>
    </row>
    <row r="608" spans="1:22" x14ac:dyDescent="0.25">
      <c r="A608" s="46" t="s">
        <v>3141</v>
      </c>
      <c r="B608" s="46" t="s">
        <v>120</v>
      </c>
      <c r="C608" s="46">
        <v>2419927</v>
      </c>
      <c r="D608" s="46">
        <v>0.18360000000000001</v>
      </c>
      <c r="E608" s="47">
        <f>SUMIF(Data!$E:$E,$C608,Data!$AI:$AI)</f>
        <v>0</v>
      </c>
      <c r="I608" s="13" t="s">
        <v>4232</v>
      </c>
      <c r="J608" s="13" t="s">
        <v>4233</v>
      </c>
      <c r="K608" s="13" t="s">
        <v>137</v>
      </c>
      <c r="L608" s="13" t="s">
        <v>3603</v>
      </c>
      <c r="M608" s="13" t="s">
        <v>4234</v>
      </c>
      <c r="N608" s="13">
        <v>147.608</v>
      </c>
      <c r="O608" s="13" t="s">
        <v>4235</v>
      </c>
      <c r="P608" s="13" t="s">
        <v>4236</v>
      </c>
      <c r="Q608" s="13" t="s">
        <v>143</v>
      </c>
      <c r="R608" s="13" t="s">
        <v>4237</v>
      </c>
      <c r="S608" s="13" t="s">
        <v>145</v>
      </c>
      <c r="T608" s="13" t="s">
        <v>146</v>
      </c>
      <c r="U608" s="13" t="s">
        <v>110</v>
      </c>
      <c r="V608" s="47">
        <f>SUMIF(Data!$E:$E,$I608,Data!$AI:$AI)</f>
        <v>0</v>
      </c>
    </row>
    <row r="609" spans="1:22" x14ac:dyDescent="0.25">
      <c r="A609" s="46" t="s">
        <v>3141</v>
      </c>
      <c r="B609" s="46" t="s">
        <v>120</v>
      </c>
      <c r="C609" s="46">
        <v>265274</v>
      </c>
      <c r="D609" s="46">
        <v>0.36220000000000002</v>
      </c>
      <c r="E609" s="47">
        <f>SUMIF(Data!$E:$E,$C609,Data!$AI:$AI)</f>
        <v>0</v>
      </c>
      <c r="I609" s="13">
        <v>1113</v>
      </c>
      <c r="J609" s="13" t="s">
        <v>4238</v>
      </c>
      <c r="K609" s="13" t="s">
        <v>137</v>
      </c>
      <c r="L609" s="13" t="s">
        <v>3603</v>
      </c>
      <c r="M609" s="13" t="s">
        <v>4239</v>
      </c>
      <c r="N609" s="13" t="s">
        <v>4240</v>
      </c>
      <c r="O609" s="13" t="s">
        <v>4241</v>
      </c>
      <c r="P609" s="13" t="s">
        <v>4242</v>
      </c>
      <c r="Q609" s="13" t="s">
        <v>806</v>
      </c>
      <c r="R609" s="13" t="s">
        <v>4243</v>
      </c>
      <c r="S609" s="13" t="s">
        <v>549</v>
      </c>
      <c r="T609" s="13" t="s">
        <v>550</v>
      </c>
      <c r="U609" s="13" t="s">
        <v>551</v>
      </c>
      <c r="V609" s="47">
        <f>SUMIF(Data!$E:$E,$I609,Data!$AI:$AI)</f>
        <v>0</v>
      </c>
    </row>
    <row r="610" spans="1:22" x14ac:dyDescent="0.25">
      <c r="A610" s="46" t="s">
        <v>3141</v>
      </c>
      <c r="B610" s="46" t="s">
        <v>120</v>
      </c>
      <c r="C610" s="46">
        <v>692861</v>
      </c>
      <c r="D610" s="46">
        <v>0.19650000000000001</v>
      </c>
      <c r="E610" s="47">
        <f>SUMIF(Data!$E:$E,$C610,Data!$AI:$AI)</f>
        <v>0</v>
      </c>
      <c r="I610" s="13" t="s">
        <v>4244</v>
      </c>
      <c r="J610" s="13" t="s">
        <v>4245</v>
      </c>
      <c r="K610" s="13" t="s">
        <v>137</v>
      </c>
      <c r="L610" s="13" t="s">
        <v>3603</v>
      </c>
      <c r="M610" s="13" t="s">
        <v>2608</v>
      </c>
      <c r="N610" s="13">
        <v>650.35900000000004</v>
      </c>
      <c r="O610" s="13" t="s">
        <v>4246</v>
      </c>
      <c r="P610" s="13" t="s">
        <v>4247</v>
      </c>
      <c r="Q610" s="13" t="s">
        <v>172</v>
      </c>
      <c r="R610" s="13" t="s">
        <v>4248</v>
      </c>
      <c r="S610" s="13" t="s">
        <v>476</v>
      </c>
      <c r="T610" s="13" t="s">
        <v>477</v>
      </c>
      <c r="U610" s="13" t="s">
        <v>478</v>
      </c>
      <c r="V610" s="47">
        <f>SUMIF(Data!$E:$E,$I610,Data!$AI:$AI)</f>
        <v>0</v>
      </c>
    </row>
    <row r="611" spans="1:22" x14ac:dyDescent="0.25">
      <c r="A611" s="46" t="s">
        <v>3141</v>
      </c>
      <c r="B611" s="46" t="s">
        <v>120</v>
      </c>
      <c r="C611" s="46">
        <v>799096</v>
      </c>
      <c r="D611" s="46">
        <v>0.2069</v>
      </c>
      <c r="E611" s="47">
        <f>SUMIF(Data!$E:$E,$C611,Data!$AI:$AI)</f>
        <v>0</v>
      </c>
      <c r="I611" s="13">
        <v>8750</v>
      </c>
      <c r="J611" s="13" t="s">
        <v>4249</v>
      </c>
      <c r="K611" s="13" t="s">
        <v>137</v>
      </c>
      <c r="L611" s="13" t="s">
        <v>3603</v>
      </c>
      <c r="M611" s="13" t="s">
        <v>4250</v>
      </c>
      <c r="N611" s="13">
        <v>560.1</v>
      </c>
      <c r="O611" s="13" t="s">
        <v>4251</v>
      </c>
      <c r="P611" s="13" t="s">
        <v>4252</v>
      </c>
      <c r="Q611" s="13" t="s">
        <v>190</v>
      </c>
      <c r="R611" s="13" t="s">
        <v>4253</v>
      </c>
      <c r="S611" s="13" t="s">
        <v>441</v>
      </c>
      <c r="T611" s="13" t="s">
        <v>442</v>
      </c>
      <c r="U611" s="13" t="s">
        <v>443</v>
      </c>
      <c r="V611" s="47">
        <f>SUMIF(Data!$E:$E,$I611,Data!$AI:$AI)</f>
        <v>0</v>
      </c>
    </row>
    <row r="612" spans="1:22" x14ac:dyDescent="0.25">
      <c r="A612" s="46" t="s">
        <v>3141</v>
      </c>
      <c r="B612" s="46" t="s">
        <v>120</v>
      </c>
      <c r="C612" s="46" t="s">
        <v>4254</v>
      </c>
      <c r="D612" s="46">
        <v>0.15279999999999999</v>
      </c>
      <c r="E612" s="47">
        <f>SUMIF(Data!$E:$E,$C612,Data!$AI:$AI)</f>
        <v>0</v>
      </c>
      <c r="I612" s="13" t="s">
        <v>4255</v>
      </c>
      <c r="J612" s="13" t="s">
        <v>4256</v>
      </c>
      <c r="K612" s="13" t="s">
        <v>137</v>
      </c>
      <c r="L612" s="13" t="s">
        <v>3603</v>
      </c>
      <c r="M612" s="13" t="s">
        <v>4257</v>
      </c>
      <c r="N612" s="13">
        <v>190.226</v>
      </c>
      <c r="O612" s="13" t="s">
        <v>4258</v>
      </c>
      <c r="P612" s="13" t="s">
        <v>4259</v>
      </c>
      <c r="Q612" s="13" t="s">
        <v>416</v>
      </c>
      <c r="R612" s="13" t="s">
        <v>4260</v>
      </c>
      <c r="S612" s="13" t="s">
        <v>192</v>
      </c>
      <c r="T612" s="13" t="s">
        <v>146</v>
      </c>
      <c r="U612" s="13" t="s">
        <v>110</v>
      </c>
      <c r="V612" s="47">
        <f>SUMIF(Data!$E:$E,$I612,Data!$AI:$AI)</f>
        <v>0</v>
      </c>
    </row>
    <row r="613" spans="1:22" x14ac:dyDescent="0.25">
      <c r="A613" s="46" t="s">
        <v>3141</v>
      </c>
      <c r="B613" s="46" t="s">
        <v>120</v>
      </c>
      <c r="C613" s="46" t="s">
        <v>4261</v>
      </c>
      <c r="D613" s="46">
        <v>0.1535</v>
      </c>
      <c r="E613" s="47">
        <f>SUMIF(Data!$E:$E,$C613,Data!$AI:$AI)</f>
        <v>0</v>
      </c>
      <c r="I613" s="13" t="s">
        <v>4262</v>
      </c>
      <c r="J613" s="13" t="s">
        <v>4263</v>
      </c>
      <c r="K613" s="13" t="s">
        <v>137</v>
      </c>
      <c r="L613" s="13" t="s">
        <v>3603</v>
      </c>
      <c r="M613" s="13" t="s">
        <v>4264</v>
      </c>
      <c r="N613" s="13">
        <v>70.912999999999997</v>
      </c>
      <c r="O613" s="13" t="s">
        <v>4265</v>
      </c>
      <c r="P613" s="13" t="s">
        <v>4266</v>
      </c>
      <c r="Q613" s="13" t="s">
        <v>172</v>
      </c>
      <c r="R613" s="13" t="s">
        <v>4267</v>
      </c>
      <c r="S613" s="13" t="s">
        <v>145</v>
      </c>
      <c r="T613" s="13" t="s">
        <v>146</v>
      </c>
      <c r="U613" s="13" t="s">
        <v>110</v>
      </c>
      <c r="V613" s="47">
        <f>SUMIF(Data!$E:$E,$I613,Data!$AI:$AI)</f>
        <v>0</v>
      </c>
    </row>
    <row r="614" spans="1:22" x14ac:dyDescent="0.25">
      <c r="A614" s="46" t="s">
        <v>3141</v>
      </c>
      <c r="B614" s="46" t="s">
        <v>120</v>
      </c>
      <c r="C614" s="46" t="s">
        <v>4268</v>
      </c>
      <c r="D614" s="46">
        <v>0.25319999999999998</v>
      </c>
      <c r="E614" s="47">
        <f>SUMIF(Data!$E:$E,$C614,Data!$AI:$AI)</f>
        <v>0</v>
      </c>
      <c r="I614" s="13" t="s">
        <v>4269</v>
      </c>
      <c r="J614" s="13" t="s">
        <v>4270</v>
      </c>
      <c r="K614" s="13" t="s">
        <v>137</v>
      </c>
      <c r="L614" s="13" t="s">
        <v>3603</v>
      </c>
      <c r="M614" s="13" t="s">
        <v>4271</v>
      </c>
      <c r="N614" s="13">
        <v>169.8</v>
      </c>
      <c r="O614" s="13" t="s">
        <v>4272</v>
      </c>
      <c r="P614" s="13" t="s">
        <v>4273</v>
      </c>
      <c r="Q614" s="13" t="s">
        <v>734</v>
      </c>
      <c r="R614" s="13" t="s">
        <v>4274</v>
      </c>
      <c r="S614" s="13" t="s">
        <v>192</v>
      </c>
      <c r="T614" s="13" t="s">
        <v>146</v>
      </c>
      <c r="U614" s="13" t="s">
        <v>110</v>
      </c>
      <c r="V614" s="47">
        <f>SUMIF(Data!$E:$E,$I614,Data!$AI:$AI)</f>
        <v>0</v>
      </c>
    </row>
    <row r="615" spans="1:22" x14ac:dyDescent="0.25">
      <c r="A615" s="46" t="s">
        <v>3141</v>
      </c>
      <c r="B615" s="46" t="s">
        <v>120</v>
      </c>
      <c r="C615" s="46" t="s">
        <v>4275</v>
      </c>
      <c r="D615" s="46">
        <v>0.1487</v>
      </c>
      <c r="E615" s="47">
        <f>SUMIF(Data!$E:$E,$C615,Data!$AI:$AI)</f>
        <v>0</v>
      </c>
      <c r="I615" s="13" t="s">
        <v>4276</v>
      </c>
      <c r="J615" s="13" t="s">
        <v>4277</v>
      </c>
      <c r="K615" s="13" t="s">
        <v>137</v>
      </c>
      <c r="L615" s="13" t="s">
        <v>3603</v>
      </c>
      <c r="M615" s="13" t="s">
        <v>4278</v>
      </c>
      <c r="N615" s="13">
        <v>121.398</v>
      </c>
      <c r="O615" s="13" t="s">
        <v>4279</v>
      </c>
      <c r="P615" s="13" t="s">
        <v>4280</v>
      </c>
      <c r="Q615" s="13" t="s">
        <v>208</v>
      </c>
      <c r="R615" s="13" t="s">
        <v>4281</v>
      </c>
      <c r="S615" s="13" t="s">
        <v>523</v>
      </c>
      <c r="T615" s="13" t="s">
        <v>524</v>
      </c>
      <c r="U615" s="13" t="s">
        <v>525</v>
      </c>
      <c r="V615" s="47">
        <f>SUMIF(Data!$E:$E,$I615,Data!$AI:$AI)</f>
        <v>0</v>
      </c>
    </row>
    <row r="616" spans="1:22" x14ac:dyDescent="0.25">
      <c r="A616" s="46" t="s">
        <v>3141</v>
      </c>
      <c r="B616" s="46" t="s">
        <v>120</v>
      </c>
      <c r="C616" s="46" t="s">
        <v>4282</v>
      </c>
      <c r="D616" s="46">
        <v>0.17730000000000001</v>
      </c>
      <c r="E616" s="47">
        <f>SUMIF(Data!$E:$E,$C616,Data!$AI:$AI)</f>
        <v>0</v>
      </c>
      <c r="I616" s="13" t="s">
        <v>4283</v>
      </c>
      <c r="J616" s="13" t="s">
        <v>4284</v>
      </c>
      <c r="K616" s="13" t="s">
        <v>137</v>
      </c>
      <c r="L616" s="13" t="s">
        <v>3603</v>
      </c>
      <c r="M616" s="13" t="s">
        <v>4285</v>
      </c>
      <c r="N616" s="13">
        <v>854.06600000000003</v>
      </c>
      <c r="O616" s="13" t="s">
        <v>4286</v>
      </c>
      <c r="P616" s="13" t="s">
        <v>4287</v>
      </c>
      <c r="Q616" s="13" t="s">
        <v>734</v>
      </c>
      <c r="R616" s="13" t="s">
        <v>4288</v>
      </c>
      <c r="S616" s="13" t="s">
        <v>192</v>
      </c>
      <c r="T616" s="13" t="s">
        <v>146</v>
      </c>
      <c r="U616" s="13" t="s">
        <v>110</v>
      </c>
      <c r="V616" s="47">
        <f>SUMIF(Data!$E:$E,$I616,Data!$AI:$AI)</f>
        <v>0</v>
      </c>
    </row>
    <row r="617" spans="1:22" x14ac:dyDescent="0.25">
      <c r="A617" s="46" t="s">
        <v>3141</v>
      </c>
      <c r="B617" s="46" t="s">
        <v>120</v>
      </c>
      <c r="C617" s="46" t="s">
        <v>4289</v>
      </c>
      <c r="D617" s="46">
        <v>0.13750000000000001</v>
      </c>
      <c r="E617" s="47">
        <f>SUMIF(Data!$E:$E,$C617,Data!$AI:$AI)</f>
        <v>0</v>
      </c>
      <c r="I617" s="13" t="s">
        <v>4290</v>
      </c>
      <c r="J617" s="13" t="s">
        <v>4291</v>
      </c>
      <c r="K617" s="13" t="s">
        <v>137</v>
      </c>
      <c r="L617" s="13" t="s">
        <v>3603</v>
      </c>
      <c r="M617" s="13" t="s">
        <v>4292</v>
      </c>
      <c r="N617" s="13">
        <v>280.35199999999998</v>
      </c>
      <c r="O617" s="13" t="s">
        <v>4293</v>
      </c>
      <c r="P617" s="13" t="s">
        <v>4294</v>
      </c>
      <c r="Q617" s="13" t="s">
        <v>224</v>
      </c>
      <c r="R617" s="13" t="s">
        <v>4295</v>
      </c>
      <c r="S617" s="13" t="s">
        <v>192</v>
      </c>
      <c r="T617" s="13" t="s">
        <v>146</v>
      </c>
      <c r="U617" s="13" t="s">
        <v>110</v>
      </c>
      <c r="V617" s="47">
        <f>SUMIF(Data!$E:$E,$I617,Data!$AI:$AI)</f>
        <v>0</v>
      </c>
    </row>
    <row r="618" spans="1:22" x14ac:dyDescent="0.25">
      <c r="A618" s="46" t="s">
        <v>3141</v>
      </c>
      <c r="B618" s="46" t="s">
        <v>120</v>
      </c>
      <c r="C618" s="46" t="s">
        <v>4296</v>
      </c>
      <c r="D618" s="46">
        <v>0.2117</v>
      </c>
      <c r="E618" s="47">
        <f>SUMIF(Data!$E:$E,$C618,Data!$AI:$AI)</f>
        <v>0</v>
      </c>
      <c r="I618" s="13" t="s">
        <v>4297</v>
      </c>
      <c r="J618" s="13" t="s">
        <v>4298</v>
      </c>
      <c r="K618" s="13" t="s">
        <v>137</v>
      </c>
      <c r="L618" s="13" t="s">
        <v>3603</v>
      </c>
      <c r="M618" s="13" t="s">
        <v>4299</v>
      </c>
      <c r="N618" s="13">
        <v>99.498999999999995</v>
      </c>
      <c r="O618" s="13" t="s">
        <v>4300</v>
      </c>
      <c r="P618" s="13" t="s">
        <v>4301</v>
      </c>
      <c r="Q618" s="13" t="s">
        <v>162</v>
      </c>
      <c r="R618" s="13" t="s">
        <v>4302</v>
      </c>
      <c r="S618" s="13" t="s">
        <v>192</v>
      </c>
      <c r="T618" s="13" t="s">
        <v>146</v>
      </c>
      <c r="U618" s="13" t="s">
        <v>110</v>
      </c>
      <c r="V618" s="47">
        <f>SUMIF(Data!$E:$E,$I618,Data!$AI:$AI)</f>
        <v>0</v>
      </c>
    </row>
    <row r="619" spans="1:22" x14ac:dyDescent="0.25">
      <c r="A619" s="46" t="s">
        <v>3141</v>
      </c>
      <c r="B619" s="46" t="s">
        <v>120</v>
      </c>
      <c r="C619" s="46" t="s">
        <v>4303</v>
      </c>
      <c r="D619" s="46">
        <v>0.1222</v>
      </c>
      <c r="E619" s="47">
        <f>SUMIF(Data!$E:$E,$C619,Data!$AI:$AI)</f>
        <v>0</v>
      </c>
      <c r="I619" s="13" t="s">
        <v>4304</v>
      </c>
      <c r="J619" s="13" t="s">
        <v>4305</v>
      </c>
      <c r="K619" s="13" t="s">
        <v>137</v>
      </c>
      <c r="L619" s="13" t="s">
        <v>3603</v>
      </c>
      <c r="M619" s="13" t="s">
        <v>4306</v>
      </c>
      <c r="N619" s="13">
        <v>836.92</v>
      </c>
      <c r="O619" s="13" t="s">
        <v>4307</v>
      </c>
      <c r="P619" s="13" t="s">
        <v>4308</v>
      </c>
      <c r="Q619" s="13" t="s">
        <v>190</v>
      </c>
      <c r="R619" s="13" t="s">
        <v>4309</v>
      </c>
      <c r="S619" s="13" t="s">
        <v>2928</v>
      </c>
      <c r="T619" s="13" t="s">
        <v>2929</v>
      </c>
      <c r="U619" s="13" t="s">
        <v>2930</v>
      </c>
      <c r="V619" s="47">
        <f>SUMIF(Data!$E:$E,$I619,Data!$AI:$AI)</f>
        <v>0</v>
      </c>
    </row>
    <row r="620" spans="1:22" x14ac:dyDescent="0.25">
      <c r="A620" s="46" t="s">
        <v>3141</v>
      </c>
      <c r="B620" s="46" t="s">
        <v>120</v>
      </c>
      <c r="C620" s="46" t="s">
        <v>4310</v>
      </c>
      <c r="D620" s="46">
        <v>0.39019999999999999</v>
      </c>
      <c r="E620" s="47">
        <f>SUMIF(Data!$E:$E,$C620,Data!$AI:$AI)</f>
        <v>0</v>
      </c>
      <c r="I620" s="13" t="s">
        <v>4311</v>
      </c>
      <c r="J620" s="13" t="s">
        <v>4312</v>
      </c>
      <c r="K620" s="13" t="s">
        <v>137</v>
      </c>
      <c r="L620" s="13" t="s">
        <v>3603</v>
      </c>
      <c r="M620" s="13" t="s">
        <v>4313</v>
      </c>
      <c r="N620" s="13">
        <v>114.414</v>
      </c>
      <c r="O620" s="13" t="s">
        <v>4314</v>
      </c>
      <c r="P620" s="13" t="s">
        <v>4315</v>
      </c>
      <c r="Q620" s="13" t="s">
        <v>416</v>
      </c>
      <c r="R620" s="13" t="s">
        <v>4316</v>
      </c>
      <c r="S620" s="13" t="s">
        <v>145</v>
      </c>
      <c r="T620" s="13" t="s">
        <v>146</v>
      </c>
      <c r="U620" s="13" t="s">
        <v>110</v>
      </c>
      <c r="V620" s="47">
        <f>SUMIF(Data!$E:$E,$I620,Data!$AI:$AI)</f>
        <v>0</v>
      </c>
    </row>
    <row r="621" spans="1:22" x14ac:dyDescent="0.25">
      <c r="A621" s="46" t="s">
        <v>3141</v>
      </c>
      <c r="B621" s="46" t="s">
        <v>120</v>
      </c>
      <c r="C621" s="46" t="s">
        <v>4317</v>
      </c>
      <c r="D621" s="46">
        <v>0.37559999999999999</v>
      </c>
      <c r="E621" s="47">
        <f>SUMIF(Data!$E:$E,$C621,Data!$AI:$AI)</f>
        <v>0</v>
      </c>
      <c r="I621" s="13" t="s">
        <v>4318</v>
      </c>
      <c r="J621" s="13" t="s">
        <v>4319</v>
      </c>
      <c r="K621" s="13" t="s">
        <v>137</v>
      </c>
      <c r="L621" s="13" t="s">
        <v>3603</v>
      </c>
      <c r="M621" s="13" t="s">
        <v>4320</v>
      </c>
      <c r="N621" s="13">
        <v>379.07400000000001</v>
      </c>
      <c r="O621" s="13" t="s">
        <v>4321</v>
      </c>
      <c r="P621" s="13" t="s">
        <v>4322</v>
      </c>
      <c r="Q621" s="13" t="s">
        <v>162</v>
      </c>
      <c r="R621" s="13" t="s">
        <v>4323</v>
      </c>
      <c r="S621" s="13" t="s">
        <v>560</v>
      </c>
      <c r="T621" s="13" t="s">
        <v>561</v>
      </c>
      <c r="U621" s="13" t="s">
        <v>525</v>
      </c>
      <c r="V621" s="47">
        <f>SUMIF(Data!$E:$E,$I621,Data!$AI:$AI)</f>
        <v>0</v>
      </c>
    </row>
    <row r="622" spans="1:22" x14ac:dyDescent="0.25">
      <c r="A622" s="46" t="s">
        <v>3141</v>
      </c>
      <c r="B622" s="46" t="s">
        <v>120</v>
      </c>
      <c r="C622" s="46" t="s">
        <v>4324</v>
      </c>
      <c r="D622" s="46">
        <v>6.5600000000000006E-2</v>
      </c>
      <c r="E622" s="47">
        <f>SUMIF(Data!$E:$E,$C622,Data!$AI:$AI)</f>
        <v>0</v>
      </c>
      <c r="I622" s="13" t="s">
        <v>4325</v>
      </c>
      <c r="J622" s="13" t="s">
        <v>4325</v>
      </c>
      <c r="K622" s="13" t="s">
        <v>137</v>
      </c>
      <c r="L622" s="13" t="s">
        <v>3603</v>
      </c>
      <c r="M622" s="13" t="s">
        <v>4326</v>
      </c>
      <c r="N622" s="13">
        <v>249.249</v>
      </c>
      <c r="O622" s="13" t="s">
        <v>4327</v>
      </c>
      <c r="P622" s="13" t="s">
        <v>4328</v>
      </c>
      <c r="Q622" s="13" t="s">
        <v>260</v>
      </c>
      <c r="R622" s="13" t="s">
        <v>4329</v>
      </c>
      <c r="S622" s="13" t="s">
        <v>3139</v>
      </c>
      <c r="T622" s="13" t="s">
        <v>3140</v>
      </c>
      <c r="U622" s="13" t="s">
        <v>525</v>
      </c>
      <c r="V622" s="47">
        <f>SUMIF(Data!$E:$E,$I622,Data!$AI:$AI)</f>
        <v>0</v>
      </c>
    </row>
    <row r="623" spans="1:22" x14ac:dyDescent="0.25">
      <c r="A623" s="46" t="s">
        <v>3141</v>
      </c>
      <c r="B623" s="46" t="s">
        <v>120</v>
      </c>
      <c r="C623" s="46" t="s">
        <v>4330</v>
      </c>
      <c r="D623" s="46">
        <v>9.9199999999999997E-2</v>
      </c>
      <c r="E623" s="47">
        <f>SUMIF(Data!$E:$E,$C623,Data!$AI:$AI)</f>
        <v>0</v>
      </c>
      <c r="I623" s="13" t="s">
        <v>4331</v>
      </c>
      <c r="J623" s="13" t="s">
        <v>4332</v>
      </c>
      <c r="K623" s="13" t="s">
        <v>137</v>
      </c>
      <c r="L623" s="13" t="s">
        <v>3603</v>
      </c>
      <c r="M623" s="13" t="s">
        <v>4333</v>
      </c>
      <c r="N623" s="13">
        <v>38.905999999999999</v>
      </c>
      <c r="O623" s="13" t="s">
        <v>4334</v>
      </c>
      <c r="P623" s="13" t="s">
        <v>4335</v>
      </c>
      <c r="Q623" s="13" t="s">
        <v>208</v>
      </c>
      <c r="R623" s="13" t="s">
        <v>4336</v>
      </c>
      <c r="S623" s="13" t="s">
        <v>768</v>
      </c>
      <c r="T623" s="13" t="s">
        <v>769</v>
      </c>
      <c r="U623" s="13" t="s">
        <v>770</v>
      </c>
      <c r="V623" s="47">
        <f>SUMIF(Data!$E:$E,$I623,Data!$AI:$AI)</f>
        <v>0</v>
      </c>
    </row>
    <row r="624" spans="1:22" x14ac:dyDescent="0.25">
      <c r="A624" s="46" t="s">
        <v>3141</v>
      </c>
      <c r="B624" s="46" t="s">
        <v>120</v>
      </c>
      <c r="C624" s="46" t="s">
        <v>4337</v>
      </c>
      <c r="D624" s="46">
        <v>0.19370000000000001</v>
      </c>
      <c r="E624" s="47">
        <f>SUMIF(Data!$E:$E,$C624,Data!$AI:$AI)</f>
        <v>0</v>
      </c>
      <c r="I624" s="13" t="s">
        <v>4338</v>
      </c>
      <c r="J624" s="13" t="s">
        <v>4339</v>
      </c>
      <c r="K624" s="13" t="s">
        <v>137</v>
      </c>
      <c r="L624" s="13" t="s">
        <v>3603</v>
      </c>
      <c r="M624" s="13" t="s">
        <v>4340</v>
      </c>
      <c r="N624" s="13">
        <v>139.024</v>
      </c>
      <c r="O624" s="13" t="s">
        <v>4341</v>
      </c>
      <c r="P624" s="13" t="s">
        <v>4342</v>
      </c>
      <c r="Q624" s="13" t="s">
        <v>694</v>
      </c>
      <c r="R624" s="13" t="s">
        <v>4343</v>
      </c>
      <c r="S624" s="13" t="s">
        <v>192</v>
      </c>
      <c r="T624" s="13" t="s">
        <v>146</v>
      </c>
      <c r="U624" s="13" t="s">
        <v>110</v>
      </c>
      <c r="V624" s="47">
        <f>SUMIF(Data!$E:$E,$I624,Data!$AI:$AI)</f>
        <v>0</v>
      </c>
    </row>
    <row r="625" spans="1:22" x14ac:dyDescent="0.25">
      <c r="A625" s="46" t="s">
        <v>3141</v>
      </c>
      <c r="B625" s="46" t="s">
        <v>120</v>
      </c>
      <c r="C625" s="46" t="s">
        <v>4344</v>
      </c>
      <c r="D625" s="46">
        <v>0.14760000000000001</v>
      </c>
      <c r="E625" s="47">
        <f>SUMIF(Data!$E:$E,$C625,Data!$AI:$AI)</f>
        <v>0</v>
      </c>
      <c r="I625" s="13" t="s">
        <v>143</v>
      </c>
      <c r="J625" s="13" t="s">
        <v>4345</v>
      </c>
      <c r="K625" s="13" t="s">
        <v>137</v>
      </c>
      <c r="L625" s="13" t="s">
        <v>3603</v>
      </c>
      <c r="M625" s="13" t="s">
        <v>4346</v>
      </c>
      <c r="N625" s="13">
        <v>54.807000000000002</v>
      </c>
      <c r="O625" s="13" t="s">
        <v>4347</v>
      </c>
      <c r="P625" s="13" t="s">
        <v>4348</v>
      </c>
      <c r="Q625" s="13" t="s">
        <v>143</v>
      </c>
      <c r="R625" s="13" t="s">
        <v>4349</v>
      </c>
      <c r="S625" s="13" t="s">
        <v>192</v>
      </c>
      <c r="T625" s="13" t="s">
        <v>146</v>
      </c>
      <c r="U625" s="13" t="s">
        <v>110</v>
      </c>
      <c r="V625" s="47">
        <f>SUMIF(Data!$E:$E,$I625,Data!$AI:$AI)</f>
        <v>0</v>
      </c>
    </row>
    <row r="626" spans="1:22" x14ac:dyDescent="0.25">
      <c r="A626" s="46" t="s">
        <v>3141</v>
      </c>
      <c r="B626" s="46" t="s">
        <v>120</v>
      </c>
      <c r="C626" s="46" t="s">
        <v>4350</v>
      </c>
      <c r="D626" s="46">
        <v>1.2337</v>
      </c>
      <c r="E626" s="47">
        <f>SUMIF(Data!$E:$E,$C626,Data!$AI:$AI)</f>
        <v>0</v>
      </c>
      <c r="I626" s="13" t="s">
        <v>4351</v>
      </c>
      <c r="J626" s="13" t="s">
        <v>4352</v>
      </c>
      <c r="K626" s="13" t="s">
        <v>137</v>
      </c>
      <c r="L626" s="13" t="s">
        <v>3603</v>
      </c>
      <c r="M626" s="13" t="s">
        <v>4353</v>
      </c>
      <c r="N626" s="13">
        <v>22.91</v>
      </c>
      <c r="O626" s="13" t="s">
        <v>4354</v>
      </c>
      <c r="P626" s="13" t="s">
        <v>4355</v>
      </c>
      <c r="Q626" s="13" t="s">
        <v>208</v>
      </c>
      <c r="R626" s="13" t="s">
        <v>4356</v>
      </c>
      <c r="S626" s="13" t="s">
        <v>192</v>
      </c>
      <c r="T626" s="13" t="s">
        <v>146</v>
      </c>
      <c r="U626" s="13" t="s">
        <v>110</v>
      </c>
      <c r="V626" s="47">
        <f>SUMIF(Data!$E:$E,$I626,Data!$AI:$AI)</f>
        <v>0</v>
      </c>
    </row>
    <row r="627" spans="1:22" x14ac:dyDescent="0.25">
      <c r="A627" s="46" t="s">
        <v>3141</v>
      </c>
      <c r="B627" s="46" t="s">
        <v>120</v>
      </c>
      <c r="C627" s="46" t="s">
        <v>4357</v>
      </c>
      <c r="D627" s="46">
        <v>0.21609999999999999</v>
      </c>
      <c r="E627" s="47">
        <f>SUMIF(Data!$E:$E,$C627,Data!$AI:$AI)</f>
        <v>0</v>
      </c>
      <c r="I627" s="13" t="s">
        <v>4358</v>
      </c>
      <c r="J627" s="13" t="s">
        <v>4359</v>
      </c>
      <c r="K627" s="13" t="s">
        <v>137</v>
      </c>
      <c r="L627" s="13" t="s">
        <v>3603</v>
      </c>
      <c r="M627" s="13" t="s">
        <v>4360</v>
      </c>
      <c r="N627" s="13">
        <v>408.59199999999998</v>
      </c>
      <c r="O627" s="13" t="s">
        <v>4361</v>
      </c>
      <c r="P627" s="13" t="s">
        <v>4362</v>
      </c>
      <c r="Q627" s="13" t="s">
        <v>734</v>
      </c>
      <c r="R627" s="13" t="s">
        <v>4363</v>
      </c>
      <c r="S627" s="13" t="s">
        <v>847</v>
      </c>
      <c r="T627" s="13" t="s">
        <v>848</v>
      </c>
      <c r="U627" s="13" t="s">
        <v>849</v>
      </c>
      <c r="V627" s="47">
        <f>SUMIF(Data!$E:$E,$I627,Data!$AI:$AI)</f>
        <v>0</v>
      </c>
    </row>
    <row r="628" spans="1:22" x14ac:dyDescent="0.25">
      <c r="A628" s="46" t="s">
        <v>3141</v>
      </c>
      <c r="B628" s="46" t="s">
        <v>120</v>
      </c>
      <c r="C628" s="46" t="s">
        <v>4364</v>
      </c>
      <c r="D628" s="46">
        <v>0.31790000000000002</v>
      </c>
      <c r="E628" s="47">
        <f>SUMIF(Data!$E:$E,$C628,Data!$AI:$AI)</f>
        <v>0</v>
      </c>
      <c r="I628" s="13" t="s">
        <v>4365</v>
      </c>
      <c r="J628" s="13" t="s">
        <v>4366</v>
      </c>
      <c r="K628" s="13" t="s">
        <v>137</v>
      </c>
      <c r="L628" s="13" t="s">
        <v>3603</v>
      </c>
      <c r="M628" s="13" t="s">
        <v>4367</v>
      </c>
      <c r="N628" s="13">
        <v>57.427</v>
      </c>
      <c r="O628" s="13" t="s">
        <v>4368</v>
      </c>
      <c r="P628" s="13" t="s">
        <v>4369</v>
      </c>
      <c r="Q628" s="13" t="s">
        <v>806</v>
      </c>
      <c r="R628" s="13" t="s">
        <v>4370</v>
      </c>
      <c r="S628" s="13" t="s">
        <v>192</v>
      </c>
      <c r="T628" s="13" t="s">
        <v>146</v>
      </c>
      <c r="U628" s="13" t="s">
        <v>110</v>
      </c>
      <c r="V628" s="47">
        <f>SUMIF(Data!$E:$E,$I628,Data!$AI:$AI)</f>
        <v>0</v>
      </c>
    </row>
    <row r="629" spans="1:22" x14ac:dyDescent="0.25">
      <c r="A629" s="46" t="s">
        <v>3141</v>
      </c>
      <c r="B629" s="46" t="s">
        <v>120</v>
      </c>
      <c r="C629" s="46" t="s">
        <v>4371</v>
      </c>
      <c r="D629" s="46">
        <v>0.45789999999999997</v>
      </c>
      <c r="E629" s="47">
        <f>SUMIF(Data!$E:$E,$C629,Data!$AI:$AI)</f>
        <v>0</v>
      </c>
      <c r="I629" s="13" t="s">
        <v>4372</v>
      </c>
      <c r="J629" s="13" t="s">
        <v>4373</v>
      </c>
      <c r="K629" s="13" t="s">
        <v>137</v>
      </c>
      <c r="L629" s="13" t="s">
        <v>3603</v>
      </c>
      <c r="M629" s="13" t="s">
        <v>4374</v>
      </c>
      <c r="N629" s="13">
        <v>7.3949999999999996</v>
      </c>
      <c r="O629" s="13" t="s">
        <v>4375</v>
      </c>
      <c r="P629" s="13" t="s">
        <v>4376</v>
      </c>
      <c r="Q629" s="13" t="s">
        <v>190</v>
      </c>
      <c r="R629" s="13" t="s">
        <v>4377</v>
      </c>
      <c r="S629" s="13" t="s">
        <v>192</v>
      </c>
      <c r="T629" s="13" t="s">
        <v>146</v>
      </c>
      <c r="U629" s="13" t="s">
        <v>110</v>
      </c>
      <c r="V629" s="47">
        <f>SUMIF(Data!$E:$E,$I629,Data!$AI:$AI)</f>
        <v>0</v>
      </c>
    </row>
    <row r="630" spans="1:22" x14ac:dyDescent="0.25">
      <c r="A630" s="46" t="s">
        <v>3141</v>
      </c>
      <c r="B630" s="46" t="s">
        <v>120</v>
      </c>
      <c r="C630" s="46" t="s">
        <v>4378</v>
      </c>
      <c r="D630" s="46">
        <v>0.38500000000000001</v>
      </c>
      <c r="E630" s="47">
        <f>SUMIF(Data!$E:$E,$C630,Data!$AI:$AI)</f>
        <v>0</v>
      </c>
      <c r="I630" s="13" t="s">
        <v>4379</v>
      </c>
      <c r="J630" s="13" t="s">
        <v>4380</v>
      </c>
      <c r="K630" s="13" t="s">
        <v>137</v>
      </c>
      <c r="L630" s="13" t="s">
        <v>3603</v>
      </c>
      <c r="M630" s="13" t="s">
        <v>4381</v>
      </c>
      <c r="N630" s="13">
        <v>73.430000000000007</v>
      </c>
      <c r="O630" s="13" t="s">
        <v>4382</v>
      </c>
      <c r="P630" s="13" t="s">
        <v>4383</v>
      </c>
      <c r="Q630" s="13" t="s">
        <v>734</v>
      </c>
      <c r="R630" s="13" t="s">
        <v>4384</v>
      </c>
      <c r="S630" s="13" t="s">
        <v>192</v>
      </c>
      <c r="T630" s="13" t="s">
        <v>146</v>
      </c>
      <c r="U630" s="13" t="s">
        <v>110</v>
      </c>
      <c r="V630" s="47">
        <f>SUMIF(Data!$E:$E,$I630,Data!$AI:$AI)</f>
        <v>0</v>
      </c>
    </row>
    <row r="631" spans="1:22" x14ac:dyDescent="0.25">
      <c r="A631" s="46" t="s">
        <v>3141</v>
      </c>
      <c r="B631" s="46" t="s">
        <v>120</v>
      </c>
      <c r="C631" s="46" t="s">
        <v>4385</v>
      </c>
      <c r="D631" s="46">
        <v>0.84699999999999998</v>
      </c>
      <c r="E631" s="47">
        <f>SUMIF(Data!$E:$E,$C631,Data!$AI:$AI)</f>
        <v>0</v>
      </c>
      <c r="I631" s="13" t="s">
        <v>4386</v>
      </c>
      <c r="J631" s="13" t="s">
        <v>4387</v>
      </c>
      <c r="K631" s="13" t="s">
        <v>137</v>
      </c>
      <c r="L631" s="13" t="s">
        <v>3603</v>
      </c>
      <c r="M631" s="13" t="s">
        <v>4388</v>
      </c>
      <c r="N631" s="13">
        <v>169.613</v>
      </c>
      <c r="O631" s="13" t="s">
        <v>4389</v>
      </c>
      <c r="P631" s="13" t="s">
        <v>4390</v>
      </c>
      <c r="Q631" s="13" t="s">
        <v>208</v>
      </c>
      <c r="R631" s="13" t="s">
        <v>4391</v>
      </c>
      <c r="S631" s="13" t="s">
        <v>192</v>
      </c>
      <c r="T631" s="13" t="s">
        <v>146</v>
      </c>
      <c r="U631" s="13" t="s">
        <v>110</v>
      </c>
      <c r="V631" s="47">
        <f>SUMIF(Data!$E:$E,$I631,Data!$AI:$AI)</f>
        <v>0</v>
      </c>
    </row>
    <row r="632" spans="1:22" x14ac:dyDescent="0.25">
      <c r="A632" s="46" t="s">
        <v>3141</v>
      </c>
      <c r="B632" s="46" t="s">
        <v>120</v>
      </c>
      <c r="C632" s="46" t="s">
        <v>4392</v>
      </c>
      <c r="D632" s="46">
        <v>0.3589</v>
      </c>
      <c r="E632" s="47">
        <f>SUMIF(Data!$E:$E,$C632,Data!$AI:$AI)</f>
        <v>0</v>
      </c>
      <c r="I632" s="13" t="s">
        <v>1972</v>
      </c>
      <c r="J632" s="13" t="s">
        <v>4393</v>
      </c>
      <c r="K632" s="13" t="s">
        <v>137</v>
      </c>
      <c r="L632" s="13" t="s">
        <v>3603</v>
      </c>
      <c r="M632" s="13" t="s">
        <v>4394</v>
      </c>
      <c r="N632" s="13">
        <v>350.113</v>
      </c>
      <c r="O632" s="13" t="s">
        <v>4395</v>
      </c>
      <c r="P632" s="13" t="s">
        <v>4396</v>
      </c>
      <c r="Q632" s="13" t="s">
        <v>162</v>
      </c>
      <c r="R632" s="13" t="s">
        <v>4397</v>
      </c>
      <c r="S632" s="13" t="s">
        <v>847</v>
      </c>
      <c r="T632" s="13" t="s">
        <v>848</v>
      </c>
      <c r="U632" s="13" t="s">
        <v>849</v>
      </c>
      <c r="V632" s="47">
        <f>SUMIF(Data!$E:$E,$I632,Data!$AI:$AI)</f>
        <v>0</v>
      </c>
    </row>
    <row r="633" spans="1:22" x14ac:dyDescent="0.25">
      <c r="A633" s="46" t="s">
        <v>3141</v>
      </c>
      <c r="B633" s="46" t="s">
        <v>120</v>
      </c>
      <c r="C633" s="46" t="s">
        <v>4398</v>
      </c>
      <c r="D633" s="46">
        <v>0.13780000000000001</v>
      </c>
      <c r="E633" s="47">
        <f>SUMIF(Data!$E:$E,$C633,Data!$AI:$AI)</f>
        <v>0</v>
      </c>
      <c r="I633" s="13" t="s">
        <v>4399</v>
      </c>
      <c r="J633" s="13" t="s">
        <v>4400</v>
      </c>
      <c r="K633" s="13" t="s">
        <v>137</v>
      </c>
      <c r="L633" s="13" t="s">
        <v>3603</v>
      </c>
      <c r="M633" s="13" t="s">
        <v>4401</v>
      </c>
      <c r="N633" s="13">
        <v>598.596</v>
      </c>
      <c r="O633" s="13" t="s">
        <v>4402</v>
      </c>
      <c r="P633" s="13" t="s">
        <v>4403</v>
      </c>
      <c r="Q633" s="13" t="s">
        <v>162</v>
      </c>
      <c r="R633" s="13" t="s">
        <v>4404</v>
      </c>
      <c r="S633" s="13" t="s">
        <v>1127</v>
      </c>
      <c r="T633" s="13" t="s">
        <v>1128</v>
      </c>
      <c r="U633" s="13" t="s">
        <v>525</v>
      </c>
      <c r="V633" s="47">
        <f>SUMIF(Data!$E:$E,$I633,Data!$AI:$AI)</f>
        <v>0</v>
      </c>
    </row>
    <row r="634" spans="1:22" x14ac:dyDescent="0.25">
      <c r="A634" s="46" t="s">
        <v>3141</v>
      </c>
      <c r="B634" s="46" t="s">
        <v>120</v>
      </c>
      <c r="C634" s="46" t="s">
        <v>4405</v>
      </c>
      <c r="D634" s="46">
        <v>0.21199999999999999</v>
      </c>
      <c r="E634" s="47">
        <f>SUMIF(Data!$E:$E,$C634,Data!$AI:$AI)</f>
        <v>0</v>
      </c>
      <c r="I634" s="13" t="s">
        <v>4406</v>
      </c>
      <c r="J634" s="13" t="s">
        <v>4407</v>
      </c>
      <c r="K634" s="13" t="s">
        <v>137</v>
      </c>
      <c r="L634" s="13" t="s">
        <v>3603</v>
      </c>
      <c r="M634" s="13" t="s">
        <v>4408</v>
      </c>
      <c r="N634" s="13">
        <v>74.552000000000007</v>
      </c>
      <c r="O634" s="13" t="s">
        <v>4409</v>
      </c>
      <c r="P634" s="13" t="s">
        <v>4410</v>
      </c>
      <c r="Q634" s="13" t="s">
        <v>143</v>
      </c>
      <c r="R634" s="13" t="s">
        <v>4411</v>
      </c>
      <c r="S634" s="13" t="s">
        <v>145</v>
      </c>
      <c r="T634" s="13" t="s">
        <v>146</v>
      </c>
      <c r="U634" s="13" t="s">
        <v>110</v>
      </c>
      <c r="V634" s="47">
        <f>SUMIF(Data!$E:$E,$I634,Data!$AI:$AI)</f>
        <v>0</v>
      </c>
    </row>
    <row r="635" spans="1:22" x14ac:dyDescent="0.25">
      <c r="A635" s="46" t="s">
        <v>3141</v>
      </c>
      <c r="B635" s="46" t="s">
        <v>120</v>
      </c>
      <c r="C635" s="46" t="s">
        <v>4412</v>
      </c>
      <c r="D635" s="46">
        <v>0.56279999999999997</v>
      </c>
      <c r="E635" s="47">
        <f>SUMIF(Data!$E:$E,$C635,Data!$AI:$AI)</f>
        <v>0</v>
      </c>
      <c r="I635" s="13" t="s">
        <v>4413</v>
      </c>
      <c r="J635" s="13" t="s">
        <v>4414</v>
      </c>
      <c r="K635" s="13" t="s">
        <v>137</v>
      </c>
      <c r="L635" s="13" t="s">
        <v>3603</v>
      </c>
      <c r="M635" s="13" t="s">
        <v>4415</v>
      </c>
      <c r="N635" s="13">
        <v>902.51800000000003</v>
      </c>
      <c r="O635" s="13" t="s">
        <v>4416</v>
      </c>
      <c r="P635" s="13" t="s">
        <v>4417</v>
      </c>
      <c r="Q635" s="13" t="s">
        <v>190</v>
      </c>
      <c r="R635" s="13" t="s">
        <v>4418</v>
      </c>
      <c r="S635" s="13" t="s">
        <v>2928</v>
      </c>
      <c r="T635" s="13" t="s">
        <v>2929</v>
      </c>
      <c r="U635" s="13" t="s">
        <v>2930</v>
      </c>
      <c r="V635" s="47">
        <f>SUMIF(Data!$E:$E,$I635,Data!$AI:$AI)</f>
        <v>0</v>
      </c>
    </row>
    <row r="636" spans="1:22" x14ac:dyDescent="0.25">
      <c r="A636" s="46" t="s">
        <v>3141</v>
      </c>
      <c r="B636" s="46" t="s">
        <v>120</v>
      </c>
      <c r="C636" s="46" t="s">
        <v>4419</v>
      </c>
      <c r="D636" s="46">
        <v>0.34939999999999999</v>
      </c>
      <c r="E636" s="47">
        <f>SUMIF(Data!$E:$E,$C636,Data!$AI:$AI)</f>
        <v>0</v>
      </c>
      <c r="I636" s="13">
        <v>7269</v>
      </c>
      <c r="J636" s="13" t="s">
        <v>4420</v>
      </c>
      <c r="K636" s="13" t="s">
        <v>137</v>
      </c>
      <c r="L636" s="13" t="s">
        <v>4421</v>
      </c>
      <c r="M636" s="13" t="s">
        <v>4422</v>
      </c>
      <c r="N636" s="13">
        <v>203.70400000000001</v>
      </c>
      <c r="O636" s="13" t="s">
        <v>4423</v>
      </c>
      <c r="P636" s="13" t="s">
        <v>4424</v>
      </c>
      <c r="Q636" s="13" t="s">
        <v>162</v>
      </c>
      <c r="R636" s="13" t="s">
        <v>4425</v>
      </c>
      <c r="S636" s="13" t="s">
        <v>441</v>
      </c>
      <c r="T636" s="13" t="s">
        <v>442</v>
      </c>
      <c r="U636" s="13" t="s">
        <v>443</v>
      </c>
      <c r="V636" s="47">
        <f>SUMIF(Data!$E:$E,$I636,Data!$AI:$AI)</f>
        <v>0</v>
      </c>
    </row>
    <row r="637" spans="1:22" x14ac:dyDescent="0.25">
      <c r="A637" s="46" t="s">
        <v>3141</v>
      </c>
      <c r="B637" s="46" t="s">
        <v>120</v>
      </c>
      <c r="C637" s="46" t="s">
        <v>4426</v>
      </c>
      <c r="D637" s="46">
        <v>7.0499999999999993E-2</v>
      </c>
      <c r="E637" s="47">
        <f>SUMIF(Data!$E:$E,$C637,Data!$AI:$AI)</f>
        <v>0</v>
      </c>
      <c r="I637" s="13" t="s">
        <v>4427</v>
      </c>
      <c r="J637" s="13" t="s">
        <v>4428</v>
      </c>
      <c r="K637" s="13" t="s">
        <v>137</v>
      </c>
      <c r="L637" s="13" t="s">
        <v>4421</v>
      </c>
      <c r="M637" s="13" t="s">
        <v>4429</v>
      </c>
      <c r="N637" s="13">
        <v>320.863</v>
      </c>
      <c r="O637" s="13" t="s">
        <v>4430</v>
      </c>
      <c r="P637" s="13" t="s">
        <v>4431</v>
      </c>
      <c r="Q637" s="13" t="s">
        <v>143</v>
      </c>
      <c r="R637" s="13" t="s">
        <v>4432</v>
      </c>
      <c r="S637" s="13" t="s">
        <v>145</v>
      </c>
      <c r="T637" s="13" t="s">
        <v>146</v>
      </c>
      <c r="U637" s="13" t="s">
        <v>110</v>
      </c>
      <c r="V637" s="47">
        <f>SUMIF(Data!$E:$E,$I637,Data!$AI:$AI)</f>
        <v>0</v>
      </c>
    </row>
    <row r="638" spans="1:22" x14ac:dyDescent="0.25">
      <c r="A638" s="46" t="s">
        <v>3141</v>
      </c>
      <c r="B638" s="46" t="s">
        <v>120</v>
      </c>
      <c r="C638" s="46" t="s">
        <v>4433</v>
      </c>
      <c r="D638" s="46">
        <v>0.10249999999999999</v>
      </c>
      <c r="E638" s="47">
        <f>SUMIF(Data!$E:$E,$C638,Data!$AI:$AI)</f>
        <v>0</v>
      </c>
      <c r="I638" s="13" t="s">
        <v>4434</v>
      </c>
      <c r="J638" s="13" t="s">
        <v>4435</v>
      </c>
      <c r="K638" s="13" t="s">
        <v>137</v>
      </c>
      <c r="L638" s="13" t="s">
        <v>4421</v>
      </c>
      <c r="M638" s="13" t="s">
        <v>4436</v>
      </c>
      <c r="N638" s="13">
        <v>948.79300000000001</v>
      </c>
      <c r="O638" s="13" t="s">
        <v>4437</v>
      </c>
      <c r="P638" s="13" t="s">
        <v>4438</v>
      </c>
      <c r="Q638" s="13" t="s">
        <v>416</v>
      </c>
      <c r="R638" s="13" t="s">
        <v>4439</v>
      </c>
      <c r="S638" s="13" t="s">
        <v>476</v>
      </c>
      <c r="T638" s="13" t="s">
        <v>477</v>
      </c>
      <c r="U638" s="13" t="s">
        <v>478</v>
      </c>
      <c r="V638" s="47">
        <f>SUMIF(Data!$E:$E,$I638,Data!$AI:$AI)</f>
        <v>0</v>
      </c>
    </row>
    <row r="639" spans="1:22" x14ac:dyDescent="0.25">
      <c r="A639" s="46" t="s">
        <v>3141</v>
      </c>
      <c r="B639" s="46" t="s">
        <v>120</v>
      </c>
      <c r="C639" s="46" t="s">
        <v>4440</v>
      </c>
      <c r="D639" s="46">
        <v>0.14180000000000001</v>
      </c>
      <c r="E639" s="47">
        <f>SUMIF(Data!$E:$E,$C639,Data!$AI:$AI)</f>
        <v>0</v>
      </c>
      <c r="I639" s="13">
        <v>7270</v>
      </c>
      <c r="J639" s="13" t="s">
        <v>4441</v>
      </c>
      <c r="K639" s="13" t="s">
        <v>137</v>
      </c>
      <c r="L639" s="13" t="s">
        <v>4421</v>
      </c>
      <c r="M639" s="13" t="s">
        <v>4442</v>
      </c>
      <c r="N639" s="13">
        <v>344.7</v>
      </c>
      <c r="O639" s="13" t="s">
        <v>4443</v>
      </c>
      <c r="P639" s="13" t="s">
        <v>4444</v>
      </c>
      <c r="Q639" s="13" t="s">
        <v>162</v>
      </c>
      <c r="R639" s="13" t="s">
        <v>4445</v>
      </c>
      <c r="S639" s="13" t="s">
        <v>441</v>
      </c>
      <c r="T639" s="13" t="s">
        <v>442</v>
      </c>
      <c r="U639" s="13" t="s">
        <v>443</v>
      </c>
      <c r="V639" s="47">
        <f>SUMIF(Data!$E:$E,$I639,Data!$AI:$AI)</f>
        <v>0</v>
      </c>
    </row>
    <row r="640" spans="1:22" x14ac:dyDescent="0.25">
      <c r="A640" s="46" t="s">
        <v>3141</v>
      </c>
      <c r="B640" s="46" t="s">
        <v>120</v>
      </c>
      <c r="C640" s="46" t="s">
        <v>4446</v>
      </c>
      <c r="D640" s="46">
        <v>8.4599999999999995E-2</v>
      </c>
      <c r="E640" s="47">
        <f>SUMIF(Data!$E:$E,$C640,Data!$AI:$AI)</f>
        <v>0</v>
      </c>
      <c r="I640" s="13">
        <v>6326</v>
      </c>
      <c r="J640" s="13" t="s">
        <v>4447</v>
      </c>
      <c r="K640" s="13" t="s">
        <v>137</v>
      </c>
      <c r="L640" s="13" t="s">
        <v>4421</v>
      </c>
      <c r="M640" s="13" t="s">
        <v>4448</v>
      </c>
      <c r="N640" s="13">
        <v>542.971</v>
      </c>
      <c r="O640" s="13" t="s">
        <v>4449</v>
      </c>
      <c r="P640" s="13" t="s">
        <v>4450</v>
      </c>
      <c r="Q640" s="13" t="s">
        <v>416</v>
      </c>
      <c r="R640" s="13" t="s">
        <v>4451</v>
      </c>
      <c r="S640" s="13" t="s">
        <v>441</v>
      </c>
      <c r="T640" s="13" t="s">
        <v>442</v>
      </c>
      <c r="U640" s="13" t="s">
        <v>443</v>
      </c>
      <c r="V640" s="47">
        <f>SUMIF(Data!$E:$E,$I640,Data!$AI:$AI)</f>
        <v>0</v>
      </c>
    </row>
    <row r="641" spans="1:22" x14ac:dyDescent="0.25">
      <c r="A641" s="46" t="s">
        <v>4452</v>
      </c>
      <c r="B641" s="46" t="s">
        <v>120</v>
      </c>
      <c r="C641" s="46" t="s">
        <v>4453</v>
      </c>
      <c r="D641" s="46">
        <v>100</v>
      </c>
      <c r="E641" s="47">
        <f>SUMIF(Data!$E:$E,$C641,Data!$AI:$AI)</f>
        <v>0</v>
      </c>
      <c r="I641" s="13" t="s">
        <v>4454</v>
      </c>
      <c r="J641" s="13" t="s">
        <v>4455</v>
      </c>
      <c r="K641" s="13" t="s">
        <v>137</v>
      </c>
      <c r="L641" s="13" t="s">
        <v>4421</v>
      </c>
      <c r="M641" s="13" t="s">
        <v>4456</v>
      </c>
      <c r="N641" s="13">
        <v>277.37099999999998</v>
      </c>
      <c r="O641" s="13" t="s">
        <v>4457</v>
      </c>
      <c r="P641" s="13" t="s">
        <v>4458</v>
      </c>
      <c r="Q641" s="13" t="s">
        <v>806</v>
      </c>
      <c r="R641" s="13" t="s">
        <v>4459</v>
      </c>
      <c r="S641" s="13" t="s">
        <v>192</v>
      </c>
      <c r="T641" s="13" t="s">
        <v>146</v>
      </c>
      <c r="U641" s="13" t="s">
        <v>110</v>
      </c>
      <c r="V641" s="47">
        <f>SUMIF(Data!$E:$E,$I641,Data!$AI:$AI)</f>
        <v>0</v>
      </c>
    </row>
    <row r="642" spans="1:22" x14ac:dyDescent="0.25">
      <c r="A642" s="46" t="s">
        <v>4460</v>
      </c>
      <c r="B642" s="46" t="s">
        <v>120</v>
      </c>
      <c r="C642" s="46" t="s">
        <v>4461</v>
      </c>
      <c r="D642" s="46">
        <v>3.5786619967033499</v>
      </c>
      <c r="E642" s="47">
        <f>SUMIF(Data!$E:$E,$C642,Data!$AI:$AI)</f>
        <v>0</v>
      </c>
      <c r="I642" s="13" t="s">
        <v>4462</v>
      </c>
      <c r="J642" s="13" t="s">
        <v>4463</v>
      </c>
      <c r="K642" s="13" t="s">
        <v>137</v>
      </c>
      <c r="L642" s="13" t="s">
        <v>4421</v>
      </c>
      <c r="M642" s="13" t="s">
        <v>4464</v>
      </c>
      <c r="N642" s="13">
        <v>36.009</v>
      </c>
      <c r="O642" s="13" t="s">
        <v>4465</v>
      </c>
      <c r="P642" s="13" t="s">
        <v>4466</v>
      </c>
      <c r="Q642" s="13" t="s">
        <v>162</v>
      </c>
      <c r="R642" s="13" t="s">
        <v>4467</v>
      </c>
      <c r="S642" s="13" t="s">
        <v>192</v>
      </c>
      <c r="T642" s="13" t="s">
        <v>146</v>
      </c>
      <c r="U642" s="13" t="s">
        <v>110</v>
      </c>
      <c r="V642" s="47">
        <f>SUMIF(Data!$E:$E,$I642,Data!$AI:$AI)</f>
        <v>0</v>
      </c>
    </row>
    <row r="643" spans="1:22" x14ac:dyDescent="0.25">
      <c r="A643" s="46" t="s">
        <v>4460</v>
      </c>
      <c r="B643" s="46" t="s">
        <v>120</v>
      </c>
      <c r="C643" s="46" t="s">
        <v>4468</v>
      </c>
      <c r="D643" s="46">
        <v>1.34651908008693</v>
      </c>
      <c r="E643" s="47">
        <f>SUMIF(Data!$E:$E,$C643,Data!$AI:$AI)</f>
        <v>0</v>
      </c>
      <c r="I643" s="13">
        <v>27</v>
      </c>
      <c r="J643" s="13" t="s">
        <v>4469</v>
      </c>
      <c r="K643" s="13" t="s">
        <v>137</v>
      </c>
      <c r="L643" s="13" t="s">
        <v>4421</v>
      </c>
      <c r="M643" s="13" t="s">
        <v>4470</v>
      </c>
      <c r="N643" s="13" t="s">
        <v>4471</v>
      </c>
      <c r="O643" s="13" t="s">
        <v>4472</v>
      </c>
      <c r="P643" s="13" t="s">
        <v>4473</v>
      </c>
      <c r="Q643" s="13" t="s">
        <v>162</v>
      </c>
      <c r="R643" s="13" t="s">
        <v>4474</v>
      </c>
      <c r="S643" s="13" t="s">
        <v>549</v>
      </c>
      <c r="T643" s="13" t="s">
        <v>550</v>
      </c>
      <c r="U643" s="13" t="s">
        <v>551</v>
      </c>
      <c r="V643" s="47">
        <f>SUMIF(Data!$E:$E,$I643,Data!$AI:$AI)</f>
        <v>0</v>
      </c>
    </row>
    <row r="644" spans="1:22" x14ac:dyDescent="0.25">
      <c r="A644" s="46" t="s">
        <v>4460</v>
      </c>
      <c r="B644" s="46" t="s">
        <v>120</v>
      </c>
      <c r="C644" s="46" t="s">
        <v>4475</v>
      </c>
      <c r="D644" s="46">
        <v>2.7784129112363698</v>
      </c>
      <c r="E644" s="47">
        <f>SUMIF(Data!$E:$E,$C644,Data!$AI:$AI)</f>
        <v>0</v>
      </c>
      <c r="I644" s="13">
        <v>8053</v>
      </c>
      <c r="J644" s="13" t="s">
        <v>4476</v>
      </c>
      <c r="K644" s="13" t="s">
        <v>137</v>
      </c>
      <c r="L644" s="13" t="s">
        <v>4421</v>
      </c>
      <c r="M644" s="13" t="s">
        <v>4477</v>
      </c>
      <c r="N644" s="13">
        <v>564.46500000000003</v>
      </c>
      <c r="O644" s="13" t="s">
        <v>4478</v>
      </c>
      <c r="P644" s="13" t="s">
        <v>4479</v>
      </c>
      <c r="Q644" s="13" t="s">
        <v>416</v>
      </c>
      <c r="R644" s="13" t="s">
        <v>4480</v>
      </c>
      <c r="S644" s="13" t="s">
        <v>441</v>
      </c>
      <c r="T644" s="13" t="s">
        <v>442</v>
      </c>
      <c r="U644" s="13" t="s">
        <v>443</v>
      </c>
      <c r="V644" s="47">
        <f>SUMIF(Data!$E:$E,$I644,Data!$AI:$AI)</f>
        <v>0</v>
      </c>
    </row>
    <row r="645" spans="1:22" x14ac:dyDescent="0.25">
      <c r="A645" s="46" t="s">
        <v>4460</v>
      </c>
      <c r="B645" s="46" t="s">
        <v>120</v>
      </c>
      <c r="C645" s="46" t="s">
        <v>4481</v>
      </c>
      <c r="D645" s="46">
        <v>92.296406011973403</v>
      </c>
      <c r="E645" s="47">
        <f>SUMIF(Data!$E:$E,$C645,Data!$AI:$AI)</f>
        <v>0</v>
      </c>
      <c r="I645" s="13" t="s">
        <v>4482</v>
      </c>
      <c r="J645" s="13" t="s">
        <v>4483</v>
      </c>
      <c r="K645" s="13" t="s">
        <v>137</v>
      </c>
      <c r="L645" s="13" t="s">
        <v>4421</v>
      </c>
      <c r="M645" s="13" t="s">
        <v>4484</v>
      </c>
      <c r="N645" s="13">
        <v>75.070999999999998</v>
      </c>
      <c r="O645" s="13" t="s">
        <v>4485</v>
      </c>
      <c r="P645" s="13" t="s">
        <v>4486</v>
      </c>
      <c r="Q645" s="13" t="s">
        <v>162</v>
      </c>
      <c r="R645" s="13" t="s">
        <v>4487</v>
      </c>
      <c r="S645" s="13" t="s">
        <v>145</v>
      </c>
      <c r="T645" s="13" t="s">
        <v>146</v>
      </c>
      <c r="U645" s="13" t="s">
        <v>110</v>
      </c>
      <c r="V645" s="47">
        <f>SUMIF(Data!$E:$E,$I645,Data!$AI:$AI)</f>
        <v>0</v>
      </c>
    </row>
    <row r="646" spans="1:22" x14ac:dyDescent="0.25">
      <c r="A646" s="46" t="s">
        <v>4488</v>
      </c>
      <c r="B646" s="46" t="s">
        <v>120</v>
      </c>
      <c r="C646" s="46" t="s">
        <v>4489</v>
      </c>
      <c r="D646" s="46">
        <v>44.929981115093199</v>
      </c>
      <c r="E646" s="47">
        <f>SUMIF(Data!$E:$E,$C646,Data!$AI:$AI)</f>
        <v>0</v>
      </c>
      <c r="I646" s="13" t="s">
        <v>4490</v>
      </c>
      <c r="J646" s="13" t="s">
        <v>4491</v>
      </c>
      <c r="K646" s="13" t="s">
        <v>137</v>
      </c>
      <c r="L646" s="13" t="s">
        <v>4421</v>
      </c>
      <c r="M646" s="13" t="s">
        <v>4492</v>
      </c>
      <c r="N646" s="13">
        <v>190.6</v>
      </c>
      <c r="O646" s="13" t="s">
        <v>4493</v>
      </c>
      <c r="P646" s="13" t="s">
        <v>4494</v>
      </c>
      <c r="Q646" s="13" t="s">
        <v>190</v>
      </c>
      <c r="R646" s="13" t="s">
        <v>4495</v>
      </c>
      <c r="S646" s="13" t="s">
        <v>145</v>
      </c>
      <c r="T646" s="13" t="s">
        <v>146</v>
      </c>
      <c r="U646" s="13" t="s">
        <v>110</v>
      </c>
      <c r="V646" s="47">
        <f>SUMIF(Data!$E:$E,$I646,Data!$AI:$AI)</f>
        <v>0</v>
      </c>
    </row>
    <row r="647" spans="1:22" x14ac:dyDescent="0.25">
      <c r="A647" s="46" t="s">
        <v>4488</v>
      </c>
      <c r="B647" s="46" t="s">
        <v>120</v>
      </c>
      <c r="C647" s="46" t="s">
        <v>4496</v>
      </c>
      <c r="D647" s="46">
        <v>25.509415198549</v>
      </c>
      <c r="E647" s="47">
        <f>SUMIF(Data!$E:$E,$C647,Data!$AI:$AI)</f>
        <v>0</v>
      </c>
      <c r="I647" s="13" t="s">
        <v>4497</v>
      </c>
      <c r="J647" s="13" t="s">
        <v>4498</v>
      </c>
      <c r="K647" s="13" t="s">
        <v>137</v>
      </c>
      <c r="L647" s="13" t="s">
        <v>4421</v>
      </c>
      <c r="M647" s="13" t="s">
        <v>4499</v>
      </c>
      <c r="N647" s="13">
        <v>71.656000000000006</v>
      </c>
      <c r="O647" s="13" t="s">
        <v>4500</v>
      </c>
      <c r="P647" s="13" t="s">
        <v>4501</v>
      </c>
      <c r="Q647" s="13" t="s">
        <v>143</v>
      </c>
      <c r="R647" s="13" t="s">
        <v>4502</v>
      </c>
      <c r="S647" s="13" t="s">
        <v>192</v>
      </c>
      <c r="T647" s="13" t="s">
        <v>146</v>
      </c>
      <c r="U647" s="13" t="s">
        <v>110</v>
      </c>
      <c r="V647" s="47">
        <f>SUMIF(Data!$E:$E,$I647,Data!$AI:$AI)</f>
        <v>0</v>
      </c>
    </row>
    <row r="648" spans="1:22" x14ac:dyDescent="0.25">
      <c r="A648" s="46" t="s">
        <v>4488</v>
      </c>
      <c r="B648" s="46" t="s">
        <v>120</v>
      </c>
      <c r="C648" s="46" t="s">
        <v>4503</v>
      </c>
      <c r="D648" s="46">
        <v>10.3430561854813</v>
      </c>
      <c r="E648" s="47">
        <f>SUMIF(Data!$E:$E,$C648,Data!$AI:$AI)</f>
        <v>0</v>
      </c>
      <c r="I648" s="13" t="s">
        <v>4504</v>
      </c>
      <c r="J648" s="13" t="s">
        <v>4505</v>
      </c>
      <c r="K648" s="13" t="s">
        <v>137</v>
      </c>
      <c r="L648" s="13" t="s">
        <v>4421</v>
      </c>
      <c r="M648" s="13" t="s">
        <v>4506</v>
      </c>
      <c r="N648" s="13">
        <v>73.084999999999994</v>
      </c>
      <c r="O648" s="13" t="s">
        <v>4507</v>
      </c>
      <c r="P648" s="13" t="s">
        <v>4508</v>
      </c>
      <c r="Q648" s="13" t="s">
        <v>143</v>
      </c>
      <c r="R648" s="13" t="s">
        <v>4509</v>
      </c>
      <c r="S648" s="13" t="s">
        <v>145</v>
      </c>
      <c r="T648" s="13" t="s">
        <v>146</v>
      </c>
      <c r="U648" s="13" t="s">
        <v>110</v>
      </c>
      <c r="V648" s="47">
        <f>SUMIF(Data!$E:$E,$I648,Data!$AI:$AI)</f>
        <v>0</v>
      </c>
    </row>
    <row r="649" spans="1:22" x14ac:dyDescent="0.25">
      <c r="A649" s="46" t="s">
        <v>4488</v>
      </c>
      <c r="B649" s="46" t="s">
        <v>120</v>
      </c>
      <c r="C649" s="46" t="s">
        <v>4510</v>
      </c>
      <c r="D649" s="46">
        <v>2.1263784011144602</v>
      </c>
      <c r="E649" s="47">
        <f>SUMIF(Data!$E:$E,$C649,Data!$AI:$AI)</f>
        <v>0</v>
      </c>
      <c r="I649" s="13" t="s">
        <v>4511</v>
      </c>
      <c r="J649" s="13" t="s">
        <v>4512</v>
      </c>
      <c r="K649" s="13" t="s">
        <v>137</v>
      </c>
      <c r="L649" s="13" t="s">
        <v>4421</v>
      </c>
      <c r="M649" s="13" t="s">
        <v>4513</v>
      </c>
      <c r="N649" s="13">
        <v>149.74100000000001</v>
      </c>
      <c r="O649" s="13" t="s">
        <v>4514</v>
      </c>
      <c r="P649" s="13" t="s">
        <v>4515</v>
      </c>
      <c r="Q649" s="13" t="s">
        <v>694</v>
      </c>
      <c r="R649" s="13" t="s">
        <v>4516</v>
      </c>
      <c r="S649" s="13" t="s">
        <v>145</v>
      </c>
      <c r="T649" s="13" t="s">
        <v>146</v>
      </c>
      <c r="U649" s="13" t="s">
        <v>110</v>
      </c>
      <c r="V649" s="47">
        <f>SUMIF(Data!$E:$E,$I649,Data!$AI:$AI)</f>
        <v>0</v>
      </c>
    </row>
    <row r="650" spans="1:22" x14ac:dyDescent="0.25">
      <c r="A650" s="46" t="s">
        <v>4488</v>
      </c>
      <c r="B650" s="46" t="s">
        <v>120</v>
      </c>
      <c r="C650" s="46" t="s">
        <v>4517</v>
      </c>
      <c r="D650" s="46">
        <v>17.091169099761998</v>
      </c>
      <c r="E650" s="47">
        <f>SUMIF(Data!$E:$E,$C650,Data!$AI:$AI)</f>
        <v>0</v>
      </c>
      <c r="I650" s="13" t="s">
        <v>324</v>
      </c>
      <c r="J650" s="13" t="s">
        <v>4518</v>
      </c>
      <c r="K650" s="13" t="s">
        <v>137</v>
      </c>
      <c r="L650" s="13" t="s">
        <v>4421</v>
      </c>
      <c r="M650" s="13" t="s">
        <v>4519</v>
      </c>
      <c r="N650" s="13">
        <v>65.108999999999995</v>
      </c>
      <c r="O650" s="13" t="s">
        <v>4520</v>
      </c>
      <c r="P650" s="13" t="s">
        <v>4521</v>
      </c>
      <c r="Q650" s="13" t="s">
        <v>208</v>
      </c>
      <c r="R650" s="13" t="s">
        <v>4522</v>
      </c>
      <c r="S650" s="13" t="s">
        <v>523</v>
      </c>
      <c r="T650" s="13" t="s">
        <v>524</v>
      </c>
      <c r="U650" s="13" t="s">
        <v>525</v>
      </c>
      <c r="V650" s="47">
        <f>SUMIF(Data!$E:$E,$I650,Data!$AI:$AI)</f>
        <v>0</v>
      </c>
    </row>
    <row r="651" spans="1:22" x14ac:dyDescent="0.25">
      <c r="A651" s="46" t="s">
        <v>4523</v>
      </c>
      <c r="B651" s="46" t="s">
        <v>120</v>
      </c>
      <c r="C651" s="46" t="s">
        <v>4524</v>
      </c>
      <c r="D651" s="46">
        <v>100</v>
      </c>
      <c r="E651" s="47">
        <f>SUMIF(Data!$E:$E,$C651,Data!$AI:$AI)</f>
        <v>0</v>
      </c>
      <c r="I651" s="13" t="s">
        <v>4525</v>
      </c>
      <c r="J651" s="13" t="s">
        <v>4526</v>
      </c>
      <c r="K651" s="13" t="s">
        <v>137</v>
      </c>
      <c r="L651" s="13" t="s">
        <v>4421</v>
      </c>
      <c r="M651" s="13" t="s">
        <v>4527</v>
      </c>
      <c r="N651" s="13">
        <v>72.269000000000005</v>
      </c>
      <c r="O651" s="13" t="s">
        <v>4528</v>
      </c>
      <c r="P651" s="13" t="s">
        <v>4529</v>
      </c>
      <c r="Q651" s="13" t="s">
        <v>143</v>
      </c>
      <c r="R651" s="13" t="s">
        <v>4530</v>
      </c>
      <c r="S651" s="13" t="s">
        <v>145</v>
      </c>
      <c r="T651" s="13" t="s">
        <v>146</v>
      </c>
      <c r="U651" s="13" t="s">
        <v>110</v>
      </c>
      <c r="V651" s="47">
        <f>SUMIF(Data!$E:$E,$I651,Data!$AI:$AI)</f>
        <v>0</v>
      </c>
    </row>
    <row r="652" spans="1:22" x14ac:dyDescent="0.25">
      <c r="A652" s="46" t="s">
        <v>4531</v>
      </c>
      <c r="B652" s="46" t="s">
        <v>120</v>
      </c>
      <c r="C652" s="46" t="s">
        <v>4532</v>
      </c>
      <c r="D652" s="46">
        <v>100</v>
      </c>
      <c r="E652" s="47">
        <f>SUMIF(Data!$E:$E,$C652,Data!$AI:$AI)</f>
        <v>0</v>
      </c>
      <c r="I652" s="13" t="s">
        <v>4533</v>
      </c>
      <c r="J652" s="13" t="s">
        <v>4534</v>
      </c>
      <c r="K652" s="13" t="s">
        <v>137</v>
      </c>
      <c r="L652" s="13" t="s">
        <v>4421</v>
      </c>
      <c r="M652" s="13" t="s">
        <v>4535</v>
      </c>
      <c r="N652" s="13">
        <v>90.227999999999994</v>
      </c>
      <c r="O652" s="13" t="s">
        <v>4536</v>
      </c>
      <c r="P652" s="13" t="s">
        <v>4537</v>
      </c>
      <c r="Q652" s="13" t="s">
        <v>208</v>
      </c>
      <c r="R652" s="13" t="s">
        <v>4538</v>
      </c>
      <c r="S652" s="13" t="s">
        <v>145</v>
      </c>
      <c r="T652" s="13" t="s">
        <v>146</v>
      </c>
      <c r="U652" s="13" t="s">
        <v>110</v>
      </c>
      <c r="V652" s="47">
        <f>SUMIF(Data!$E:$E,$I652,Data!$AI:$AI)</f>
        <v>0</v>
      </c>
    </row>
    <row r="653" spans="1:22" x14ac:dyDescent="0.25">
      <c r="A653" s="46" t="s">
        <v>4539</v>
      </c>
      <c r="B653" s="46" t="s">
        <v>120</v>
      </c>
      <c r="C653" s="46" t="s">
        <v>2014</v>
      </c>
      <c r="D653" s="46">
        <v>44.316007769028801</v>
      </c>
      <c r="E653" s="47">
        <f>SUMIF(Data!$E:$E,$C653,Data!$AI:$AI)</f>
        <v>0</v>
      </c>
      <c r="I653" s="13" t="s">
        <v>4540</v>
      </c>
      <c r="J653" s="13" t="s">
        <v>4541</v>
      </c>
      <c r="K653" s="13" t="s">
        <v>137</v>
      </c>
      <c r="L653" s="13" t="s">
        <v>4421</v>
      </c>
      <c r="M653" s="13" t="s">
        <v>4542</v>
      </c>
      <c r="N653" s="13">
        <v>51.826000000000001</v>
      </c>
      <c r="O653" s="13" t="s">
        <v>4543</v>
      </c>
      <c r="P653" s="13" t="s">
        <v>4544</v>
      </c>
      <c r="Q653" s="13" t="s">
        <v>416</v>
      </c>
      <c r="R653" s="13" t="s">
        <v>4545</v>
      </c>
      <c r="S653" s="13" t="s">
        <v>192</v>
      </c>
      <c r="T653" s="13" t="s">
        <v>146</v>
      </c>
      <c r="U653" s="13" t="s">
        <v>110</v>
      </c>
      <c r="V653" s="47">
        <f>SUMIF(Data!$E:$E,$I653,Data!$AI:$AI)</f>
        <v>0</v>
      </c>
    </row>
    <row r="654" spans="1:22" x14ac:dyDescent="0.25">
      <c r="A654" s="46" t="s">
        <v>4539</v>
      </c>
      <c r="B654" s="46" t="s">
        <v>120</v>
      </c>
      <c r="C654" s="46" t="s">
        <v>4546</v>
      </c>
      <c r="D654" s="46">
        <v>25.9260816279312</v>
      </c>
      <c r="E654" s="47">
        <f>SUMIF(Data!$E:$E,$C654,Data!$AI:$AI)</f>
        <v>0</v>
      </c>
      <c r="I654" s="13" t="s">
        <v>4547</v>
      </c>
      <c r="J654" s="13" t="s">
        <v>4548</v>
      </c>
      <c r="K654" s="13" t="s">
        <v>137</v>
      </c>
      <c r="L654" s="13" t="s">
        <v>4421</v>
      </c>
      <c r="M654" s="13" t="s">
        <v>4549</v>
      </c>
      <c r="N654" s="13">
        <v>131.006</v>
      </c>
      <c r="O654" s="13" t="s">
        <v>4550</v>
      </c>
      <c r="P654" s="13" t="s">
        <v>4551</v>
      </c>
      <c r="Q654" s="13" t="s">
        <v>162</v>
      </c>
      <c r="R654" s="13" t="s">
        <v>4552</v>
      </c>
      <c r="S654" s="13" t="s">
        <v>725</v>
      </c>
      <c r="T654" s="13" t="s">
        <v>726</v>
      </c>
      <c r="U654" s="13" t="s">
        <v>727</v>
      </c>
      <c r="V654" s="47">
        <f>SUMIF(Data!$E:$E,$I654,Data!$AI:$AI)</f>
        <v>0</v>
      </c>
    </row>
    <row r="655" spans="1:22" x14ac:dyDescent="0.25">
      <c r="A655" s="46" t="s">
        <v>4539</v>
      </c>
      <c r="B655" s="46" t="s">
        <v>120</v>
      </c>
      <c r="C655" s="46" t="s">
        <v>4553</v>
      </c>
      <c r="D655" s="46">
        <v>4.4996630244195899</v>
      </c>
      <c r="E655" s="47">
        <f>SUMIF(Data!$E:$E,$C655,Data!$AI:$AI)</f>
        <v>0</v>
      </c>
      <c r="I655" s="13" t="s">
        <v>4554</v>
      </c>
      <c r="J655" s="13" t="s">
        <v>4555</v>
      </c>
      <c r="K655" s="13" t="s">
        <v>137</v>
      </c>
      <c r="L655" s="13" t="s">
        <v>4421</v>
      </c>
      <c r="M655" s="13" t="s">
        <v>4556</v>
      </c>
      <c r="N655" s="13">
        <v>108.908</v>
      </c>
      <c r="O655" s="13" t="s">
        <v>4557</v>
      </c>
      <c r="P655" s="13" t="s">
        <v>4558</v>
      </c>
      <c r="Q655" s="13" t="s">
        <v>416</v>
      </c>
      <c r="R655" s="13" t="s">
        <v>4559</v>
      </c>
      <c r="S655" s="13" t="s">
        <v>725</v>
      </c>
      <c r="T655" s="13" t="s">
        <v>726</v>
      </c>
      <c r="U655" s="13" t="s">
        <v>727</v>
      </c>
      <c r="V655" s="47">
        <f>SUMIF(Data!$E:$E,$I655,Data!$AI:$AI)</f>
        <v>0</v>
      </c>
    </row>
    <row r="656" spans="1:22" x14ac:dyDescent="0.25">
      <c r="A656" s="46" t="s">
        <v>4539</v>
      </c>
      <c r="B656" s="46" t="s">
        <v>120</v>
      </c>
      <c r="C656" s="46" t="s">
        <v>4560</v>
      </c>
      <c r="D656" s="46">
        <v>21.638812665451699</v>
      </c>
      <c r="E656" s="47">
        <f>SUMIF(Data!$E:$E,$C656,Data!$AI:$AI)</f>
        <v>0</v>
      </c>
      <c r="I656" s="13" t="s">
        <v>4561</v>
      </c>
      <c r="J656" s="13" t="s">
        <v>4562</v>
      </c>
      <c r="K656" s="13" t="s">
        <v>137</v>
      </c>
      <c r="L656" s="13" t="s">
        <v>4421</v>
      </c>
      <c r="M656" s="13" t="s">
        <v>4563</v>
      </c>
      <c r="N656" s="13">
        <v>569.07799999999997</v>
      </c>
      <c r="O656" s="13" t="s">
        <v>4564</v>
      </c>
      <c r="P656" s="13" t="s">
        <v>4565</v>
      </c>
      <c r="Q656" s="13" t="s">
        <v>190</v>
      </c>
      <c r="R656" s="13" t="s">
        <v>4566</v>
      </c>
      <c r="S656" s="13" t="s">
        <v>145</v>
      </c>
      <c r="T656" s="13" t="s">
        <v>146</v>
      </c>
      <c r="U656" s="13" t="s">
        <v>110</v>
      </c>
      <c r="V656" s="47">
        <f>SUMIF(Data!$E:$E,$I656,Data!$AI:$AI)</f>
        <v>0</v>
      </c>
    </row>
    <row r="657" spans="1:22" x14ac:dyDescent="0.25">
      <c r="A657" s="46" t="s">
        <v>4539</v>
      </c>
      <c r="B657" s="46" t="s">
        <v>120</v>
      </c>
      <c r="C657" s="46" t="s">
        <v>4567</v>
      </c>
      <c r="D657" s="46">
        <v>3.61943491316869</v>
      </c>
      <c r="E657" s="47">
        <f>SUMIF(Data!$E:$E,$C657,Data!$AI:$AI)</f>
        <v>0</v>
      </c>
      <c r="I657" s="13" t="s">
        <v>4568</v>
      </c>
      <c r="J657" s="13" t="s">
        <v>4569</v>
      </c>
      <c r="K657" s="13" t="s">
        <v>137</v>
      </c>
      <c r="L657" s="13" t="s">
        <v>4421</v>
      </c>
      <c r="M657" s="13" t="s">
        <v>4570</v>
      </c>
      <c r="N657" s="13">
        <v>73.403000000000006</v>
      </c>
      <c r="O657" s="13" t="s">
        <v>4571</v>
      </c>
      <c r="P657" s="13" t="s">
        <v>4572</v>
      </c>
      <c r="Q657" s="13" t="s">
        <v>694</v>
      </c>
      <c r="R657" s="13" t="s">
        <v>4573</v>
      </c>
      <c r="S657" s="13" t="s">
        <v>192</v>
      </c>
      <c r="T657" s="13" t="s">
        <v>146</v>
      </c>
      <c r="U657" s="13" t="s">
        <v>110</v>
      </c>
      <c r="V657" s="47">
        <f>SUMIF(Data!$E:$E,$I657,Data!$AI:$AI)</f>
        <v>0</v>
      </c>
    </row>
    <row r="658" spans="1:22" x14ac:dyDescent="0.25">
      <c r="A658" s="46" t="s">
        <v>4574</v>
      </c>
      <c r="B658" s="46" t="s">
        <v>120</v>
      </c>
      <c r="C658" s="46" t="s">
        <v>4575</v>
      </c>
      <c r="D658" s="46">
        <v>31.596877558207201</v>
      </c>
      <c r="E658" s="47">
        <f>SUMIF(Data!$E:$E,$C658,Data!$AI:$AI)</f>
        <v>0</v>
      </c>
      <c r="I658" s="13" t="s">
        <v>4576</v>
      </c>
      <c r="J658" s="13" t="s">
        <v>4577</v>
      </c>
      <c r="K658" s="13" t="s">
        <v>137</v>
      </c>
      <c r="L658" s="13" t="s">
        <v>4421</v>
      </c>
      <c r="M658" s="13" t="s">
        <v>4578</v>
      </c>
      <c r="N658" s="13">
        <v>754.13199999999995</v>
      </c>
      <c r="O658" s="13" t="s">
        <v>4579</v>
      </c>
      <c r="P658" s="13" t="s">
        <v>4580</v>
      </c>
      <c r="Q658" s="13" t="s">
        <v>224</v>
      </c>
      <c r="R658" s="13" t="s">
        <v>4581</v>
      </c>
      <c r="S658" s="13" t="s">
        <v>847</v>
      </c>
      <c r="T658" s="13" t="s">
        <v>848</v>
      </c>
      <c r="U658" s="13" t="s">
        <v>849</v>
      </c>
      <c r="V658" s="47">
        <f>SUMIF(Data!$E:$E,$I658,Data!$AI:$AI)</f>
        <v>0</v>
      </c>
    </row>
    <row r="659" spans="1:22" x14ac:dyDescent="0.25">
      <c r="A659" s="46" t="s">
        <v>4574</v>
      </c>
      <c r="B659" s="46" t="s">
        <v>120</v>
      </c>
      <c r="C659" s="46" t="s">
        <v>4582</v>
      </c>
      <c r="D659" s="46">
        <v>1.2882224095047501</v>
      </c>
      <c r="E659" s="47">
        <f>SUMIF(Data!$E:$E,$C659,Data!$AI:$AI)</f>
        <v>0</v>
      </c>
      <c r="I659" s="13" t="s">
        <v>4583</v>
      </c>
      <c r="J659" s="13" t="s">
        <v>4584</v>
      </c>
      <c r="K659" s="13" t="s">
        <v>137</v>
      </c>
      <c r="L659" s="13" t="s">
        <v>4421</v>
      </c>
      <c r="M659" s="13" t="s">
        <v>4585</v>
      </c>
      <c r="N659" s="13">
        <v>29.242999999999999</v>
      </c>
      <c r="O659" s="13" t="s">
        <v>4586</v>
      </c>
      <c r="P659" s="13" t="s">
        <v>4587</v>
      </c>
      <c r="Q659" s="13" t="s">
        <v>734</v>
      </c>
      <c r="R659" s="13" t="s">
        <v>4588</v>
      </c>
      <c r="S659" s="13" t="s">
        <v>192</v>
      </c>
      <c r="T659" s="13" t="s">
        <v>146</v>
      </c>
      <c r="U659" s="13" t="s">
        <v>110</v>
      </c>
      <c r="V659" s="47">
        <f>SUMIF(Data!$E:$E,$I659,Data!$AI:$AI)</f>
        <v>0</v>
      </c>
    </row>
    <row r="660" spans="1:22" x14ac:dyDescent="0.25">
      <c r="A660" s="46" t="s">
        <v>4574</v>
      </c>
      <c r="B660" s="46" t="s">
        <v>120</v>
      </c>
      <c r="C660" s="46" t="s">
        <v>4589</v>
      </c>
      <c r="D660" s="46">
        <v>62.235664890569197</v>
      </c>
      <c r="E660" s="47">
        <f>SUMIF(Data!$E:$E,$C660,Data!$AI:$AI)</f>
        <v>0</v>
      </c>
      <c r="I660" s="13">
        <v>669</v>
      </c>
      <c r="J660" s="13" t="s">
        <v>4590</v>
      </c>
      <c r="K660" s="13" t="s">
        <v>137</v>
      </c>
      <c r="L660" s="13" t="s">
        <v>4421</v>
      </c>
      <c r="M660" s="13" t="s">
        <v>4591</v>
      </c>
      <c r="N660" s="13">
        <v>991.5</v>
      </c>
      <c r="O660" s="13" t="s">
        <v>4592</v>
      </c>
      <c r="P660" s="13" t="s">
        <v>4593</v>
      </c>
      <c r="Q660" s="13" t="s">
        <v>416</v>
      </c>
      <c r="R660" s="13" t="s">
        <v>4594</v>
      </c>
      <c r="S660" s="13" t="s">
        <v>549</v>
      </c>
      <c r="T660" s="13" t="s">
        <v>550</v>
      </c>
      <c r="U660" s="13" t="s">
        <v>551</v>
      </c>
      <c r="V660" s="47">
        <f>SUMIF(Data!$E:$E,$I660,Data!$AI:$AI)</f>
        <v>0</v>
      </c>
    </row>
    <row r="661" spans="1:22" x14ac:dyDescent="0.25">
      <c r="A661" s="46" t="s">
        <v>4574</v>
      </c>
      <c r="B661" s="46" t="s">
        <v>120</v>
      </c>
      <c r="C661" s="46" t="s">
        <v>4595</v>
      </c>
      <c r="D661" s="46">
        <v>1.0952105047049201</v>
      </c>
      <c r="E661" s="47">
        <f>SUMIF(Data!$E:$E,$C661,Data!$AI:$AI)</f>
        <v>0</v>
      </c>
      <c r="I661" s="13" t="s">
        <v>4596</v>
      </c>
      <c r="J661" s="13" t="s">
        <v>4597</v>
      </c>
      <c r="K661" s="13" t="s">
        <v>137</v>
      </c>
      <c r="L661" s="13" t="s">
        <v>4421</v>
      </c>
      <c r="M661" s="13" t="s">
        <v>4598</v>
      </c>
      <c r="N661" s="13">
        <v>86.373000000000005</v>
      </c>
      <c r="O661" s="13" t="s">
        <v>4599</v>
      </c>
      <c r="P661" s="13" t="s">
        <v>4600</v>
      </c>
      <c r="Q661" s="13" t="s">
        <v>143</v>
      </c>
      <c r="R661" s="13" t="s">
        <v>4601</v>
      </c>
      <c r="S661" s="13" t="s">
        <v>145</v>
      </c>
      <c r="T661" s="13" t="s">
        <v>146</v>
      </c>
      <c r="U661" s="13" t="s">
        <v>110</v>
      </c>
      <c r="V661" s="47">
        <f>SUMIF(Data!$E:$E,$I661,Data!$AI:$AI)</f>
        <v>0</v>
      </c>
    </row>
    <row r="662" spans="1:22" x14ac:dyDescent="0.25">
      <c r="A662" s="46" t="s">
        <v>4574</v>
      </c>
      <c r="B662" s="46" t="s">
        <v>120</v>
      </c>
      <c r="C662" s="46" t="s">
        <v>4602</v>
      </c>
      <c r="D662" s="46">
        <v>2.7585111810577598</v>
      </c>
      <c r="E662" s="47">
        <f>SUMIF(Data!$E:$E,$C662,Data!$AI:$AI)</f>
        <v>0</v>
      </c>
      <c r="I662" s="13" t="s">
        <v>4603</v>
      </c>
      <c r="J662" s="13" t="s">
        <v>4604</v>
      </c>
      <c r="K662" s="13" t="s">
        <v>137</v>
      </c>
      <c r="L662" s="13" t="s">
        <v>4421</v>
      </c>
      <c r="M662" s="13" t="s">
        <v>4605</v>
      </c>
      <c r="N662" s="13">
        <v>126.065</v>
      </c>
      <c r="O662" s="13" t="s">
        <v>4606</v>
      </c>
      <c r="P662" s="13" t="s">
        <v>4607</v>
      </c>
      <c r="Q662" s="13" t="s">
        <v>260</v>
      </c>
      <c r="R662" s="13" t="s">
        <v>4608</v>
      </c>
      <c r="S662" s="13" t="s">
        <v>4609</v>
      </c>
      <c r="T662" s="13" t="s">
        <v>146</v>
      </c>
      <c r="U662" s="13" t="s">
        <v>110</v>
      </c>
      <c r="V662" s="47">
        <f>SUMIF(Data!$E:$E,$I662,Data!$AI:$AI)</f>
        <v>0</v>
      </c>
    </row>
    <row r="663" spans="1:22" x14ac:dyDescent="0.25">
      <c r="A663" s="46" t="s">
        <v>4574</v>
      </c>
      <c r="B663" s="46" t="s">
        <v>120</v>
      </c>
      <c r="C663" s="46" t="s">
        <v>4610</v>
      </c>
      <c r="D663" s="46">
        <v>1.0255134559561401</v>
      </c>
      <c r="E663" s="47">
        <f>SUMIF(Data!$E:$E,$C663,Data!$AI:$AI)</f>
        <v>0</v>
      </c>
      <c r="I663" s="13">
        <v>5020</v>
      </c>
      <c r="J663" s="13" t="s">
        <v>4611</v>
      </c>
      <c r="K663" s="13" t="s">
        <v>137</v>
      </c>
      <c r="L663" s="13" t="s">
        <v>4421</v>
      </c>
      <c r="M663" s="13" t="s">
        <v>4612</v>
      </c>
      <c r="N663" s="13" t="s">
        <v>4613</v>
      </c>
      <c r="O663" s="13" t="s">
        <v>4614</v>
      </c>
      <c r="P663" s="13" t="s">
        <v>4615</v>
      </c>
      <c r="Q663" s="13" t="s">
        <v>260</v>
      </c>
      <c r="R663" s="13" t="s">
        <v>4616</v>
      </c>
      <c r="S663" s="13" t="s">
        <v>441</v>
      </c>
      <c r="T663" s="13" t="s">
        <v>442</v>
      </c>
      <c r="U663" s="13" t="s">
        <v>443</v>
      </c>
      <c r="V663" s="47">
        <f>SUMIF(Data!$E:$E,$I663,Data!$AI:$AI)</f>
        <v>0</v>
      </c>
    </row>
    <row r="664" spans="1:22" x14ac:dyDescent="0.25">
      <c r="A664" s="46" t="s">
        <v>4617</v>
      </c>
      <c r="B664" s="46" t="s">
        <v>120</v>
      </c>
      <c r="C664" s="46" t="s">
        <v>4618</v>
      </c>
      <c r="D664" s="46">
        <v>19.1958213316952</v>
      </c>
      <c r="E664" s="47">
        <f>SUMIF(Data!$E:$E,$C664,Data!$AI:$AI)</f>
        <v>0</v>
      </c>
      <c r="I664" s="13" t="s">
        <v>4619</v>
      </c>
      <c r="J664" s="13" t="s">
        <v>4620</v>
      </c>
      <c r="K664" s="13" t="s">
        <v>137</v>
      </c>
      <c r="L664" s="13" t="s">
        <v>4421</v>
      </c>
      <c r="M664" s="13" t="s">
        <v>4621</v>
      </c>
      <c r="N664" s="13">
        <v>92.001000000000005</v>
      </c>
      <c r="O664" s="13" t="s">
        <v>4622</v>
      </c>
      <c r="P664" s="13" t="s">
        <v>4623</v>
      </c>
      <c r="Q664" s="13" t="s">
        <v>208</v>
      </c>
      <c r="R664" s="13" t="s">
        <v>4624</v>
      </c>
      <c r="S664" s="13" t="s">
        <v>192</v>
      </c>
      <c r="T664" s="13" t="s">
        <v>146</v>
      </c>
      <c r="U664" s="13" t="s">
        <v>110</v>
      </c>
      <c r="V664" s="47">
        <f>SUMIF(Data!$E:$E,$I664,Data!$AI:$AI)</f>
        <v>0</v>
      </c>
    </row>
    <row r="665" spans="1:22" x14ac:dyDescent="0.25">
      <c r="A665" s="46" t="s">
        <v>4617</v>
      </c>
      <c r="B665" s="46" t="s">
        <v>120</v>
      </c>
      <c r="C665" s="46" t="s">
        <v>4625</v>
      </c>
      <c r="D665" s="46">
        <v>59.346582872906403</v>
      </c>
      <c r="E665" s="47">
        <f>SUMIF(Data!$E:$E,$C665,Data!$AI:$AI)</f>
        <v>0</v>
      </c>
      <c r="I665" s="13" t="s">
        <v>4626</v>
      </c>
      <c r="J665" s="13" t="s">
        <v>4627</v>
      </c>
      <c r="K665" s="13" t="s">
        <v>137</v>
      </c>
      <c r="L665" s="13" t="s">
        <v>4421</v>
      </c>
      <c r="M665" s="13" t="s">
        <v>1948</v>
      </c>
      <c r="N665" s="13">
        <v>153.446</v>
      </c>
      <c r="O665" s="13" t="s">
        <v>4628</v>
      </c>
      <c r="P665" s="13" t="s">
        <v>4629</v>
      </c>
      <c r="Q665" s="13" t="s">
        <v>190</v>
      </c>
      <c r="R665" s="13" t="s">
        <v>4630</v>
      </c>
      <c r="S665" s="13" t="s">
        <v>192</v>
      </c>
      <c r="T665" s="13" t="s">
        <v>146</v>
      </c>
      <c r="U665" s="13" t="s">
        <v>110</v>
      </c>
      <c r="V665" s="47">
        <f>SUMIF(Data!$E:$E,$I665,Data!$AI:$AI)</f>
        <v>0</v>
      </c>
    </row>
    <row r="666" spans="1:22" x14ac:dyDescent="0.25">
      <c r="A666" s="46" t="s">
        <v>4617</v>
      </c>
      <c r="B666" s="46" t="s">
        <v>120</v>
      </c>
      <c r="C666" s="46" t="s">
        <v>517</v>
      </c>
      <c r="D666" s="46">
        <v>21.457595795398401</v>
      </c>
      <c r="E666" s="47">
        <f>SUMIF(Data!$E:$E,$C666,Data!$AI:$AI)</f>
        <v>0</v>
      </c>
      <c r="I666" s="13">
        <v>3407</v>
      </c>
      <c r="J666" s="13" t="s">
        <v>4631</v>
      </c>
      <c r="K666" s="13" t="s">
        <v>137</v>
      </c>
      <c r="L666" s="13" t="s">
        <v>4421</v>
      </c>
      <c r="M666" s="13" t="s">
        <v>4632</v>
      </c>
      <c r="N666" s="13">
        <v>730.85599999999999</v>
      </c>
      <c r="O666" s="13" t="s">
        <v>4633</v>
      </c>
      <c r="P666" s="13" t="s">
        <v>4634</v>
      </c>
      <c r="Q666" s="13" t="s">
        <v>734</v>
      </c>
      <c r="R666" s="13" t="s">
        <v>4635</v>
      </c>
      <c r="S666" s="13" t="s">
        <v>441</v>
      </c>
      <c r="T666" s="13" t="s">
        <v>442</v>
      </c>
      <c r="U666" s="13" t="s">
        <v>443</v>
      </c>
      <c r="V666" s="47">
        <f>SUMIF(Data!$E:$E,$I666,Data!$AI:$AI)</f>
        <v>0</v>
      </c>
    </row>
    <row r="667" spans="1:22" x14ac:dyDescent="0.25">
      <c r="A667" s="46" t="s">
        <v>4636</v>
      </c>
      <c r="B667" s="46" t="s">
        <v>120</v>
      </c>
      <c r="C667" s="46" t="s">
        <v>4637</v>
      </c>
      <c r="D667" s="46">
        <v>93.800345270284694</v>
      </c>
      <c r="E667" s="47">
        <f>SUMIF(Data!$E:$E,$C667,Data!$AI:$AI)</f>
        <v>0</v>
      </c>
      <c r="I667" s="13" t="s">
        <v>4638</v>
      </c>
      <c r="J667" s="13" t="s">
        <v>4639</v>
      </c>
      <c r="K667" s="13" t="s">
        <v>137</v>
      </c>
      <c r="L667" s="13" t="s">
        <v>4421</v>
      </c>
      <c r="M667" s="13" t="s">
        <v>4640</v>
      </c>
      <c r="N667" s="13">
        <v>34.575000000000003</v>
      </c>
      <c r="O667" s="13" t="s">
        <v>4641</v>
      </c>
      <c r="P667" s="13" t="s">
        <v>4642</v>
      </c>
      <c r="Q667" s="13" t="s">
        <v>208</v>
      </c>
      <c r="R667" s="13" t="s">
        <v>4643</v>
      </c>
      <c r="S667" s="13" t="s">
        <v>226</v>
      </c>
      <c r="T667" s="13" t="s">
        <v>227</v>
      </c>
      <c r="U667" s="13" t="s">
        <v>228</v>
      </c>
      <c r="V667" s="47">
        <f>SUMIF(Data!$E:$E,$I667,Data!$AI:$AI)</f>
        <v>0</v>
      </c>
    </row>
    <row r="668" spans="1:22" x14ac:dyDescent="0.25">
      <c r="A668" s="46" t="s">
        <v>4636</v>
      </c>
      <c r="B668" s="46" t="s">
        <v>120</v>
      </c>
      <c r="C668" s="46" t="s">
        <v>4644</v>
      </c>
      <c r="D668" s="46">
        <v>6.1996547297153102</v>
      </c>
      <c r="E668" s="47">
        <f>SUMIF(Data!$E:$E,$C668,Data!$AI:$AI)</f>
        <v>0</v>
      </c>
      <c r="I668" s="13" t="s">
        <v>4645</v>
      </c>
      <c r="J668" s="13" t="s">
        <v>4646</v>
      </c>
      <c r="K668" s="13" t="s">
        <v>137</v>
      </c>
      <c r="L668" s="13" t="s">
        <v>4421</v>
      </c>
      <c r="M668" s="13" t="s">
        <v>4647</v>
      </c>
      <c r="N668" s="13">
        <v>556.197</v>
      </c>
      <c r="O668" s="13" t="s">
        <v>4648</v>
      </c>
      <c r="P668" s="13" t="s">
        <v>4649</v>
      </c>
      <c r="Q668" s="13" t="s">
        <v>190</v>
      </c>
      <c r="R668" s="13" t="s">
        <v>4650</v>
      </c>
      <c r="S668" s="13" t="s">
        <v>560</v>
      </c>
      <c r="T668" s="13" t="s">
        <v>561</v>
      </c>
      <c r="U668" s="13" t="s">
        <v>525</v>
      </c>
      <c r="V668" s="47">
        <f>SUMIF(Data!$E:$E,$I668,Data!$AI:$AI)</f>
        <v>0</v>
      </c>
    </row>
    <row r="669" spans="1:22" x14ac:dyDescent="0.25">
      <c r="A669" s="46" t="s">
        <v>4651</v>
      </c>
      <c r="B669" s="46" t="s">
        <v>120</v>
      </c>
      <c r="C669" s="46" t="s">
        <v>4575</v>
      </c>
      <c r="D669" s="46">
        <v>25.603232285431499</v>
      </c>
      <c r="E669" s="47">
        <f>SUMIF(Data!$E:$E,$C669,Data!$AI:$AI)</f>
        <v>0</v>
      </c>
      <c r="I669" s="13" t="s">
        <v>4652</v>
      </c>
      <c r="J669" s="13" t="s">
        <v>4653</v>
      </c>
      <c r="K669" s="13" t="s">
        <v>137</v>
      </c>
      <c r="L669" s="13" t="s">
        <v>4421</v>
      </c>
      <c r="M669" s="13" t="s">
        <v>4654</v>
      </c>
      <c r="N669" s="13">
        <v>26.635999999999999</v>
      </c>
      <c r="O669" s="13" t="s">
        <v>4655</v>
      </c>
      <c r="P669" s="13" t="s">
        <v>4656</v>
      </c>
      <c r="Q669" s="13" t="s">
        <v>416</v>
      </c>
      <c r="R669" s="13" t="s">
        <v>4657</v>
      </c>
      <c r="S669" s="13" t="s">
        <v>523</v>
      </c>
      <c r="T669" s="13" t="s">
        <v>524</v>
      </c>
      <c r="U669" s="13" t="s">
        <v>525</v>
      </c>
      <c r="V669" s="47">
        <f>SUMIF(Data!$E:$E,$I669,Data!$AI:$AI)</f>
        <v>0</v>
      </c>
    </row>
    <row r="670" spans="1:22" x14ac:dyDescent="0.25">
      <c r="A670" s="46" t="s">
        <v>4651</v>
      </c>
      <c r="B670" s="46" t="s">
        <v>120</v>
      </c>
      <c r="C670" s="46" t="s">
        <v>2014</v>
      </c>
      <c r="D670" s="46">
        <v>2.36639478538864</v>
      </c>
      <c r="E670" s="47">
        <f>SUMIF(Data!$E:$E,$C670,Data!$AI:$AI)</f>
        <v>0</v>
      </c>
      <c r="I670" s="13">
        <v>7011</v>
      </c>
      <c r="J670" s="13" t="s">
        <v>4658</v>
      </c>
      <c r="K670" s="13" t="s">
        <v>137</v>
      </c>
      <c r="L670" s="13" t="s">
        <v>4421</v>
      </c>
      <c r="M670" s="13" t="s">
        <v>4659</v>
      </c>
      <c r="N670" s="13">
        <v>202.13200000000001</v>
      </c>
      <c r="O670" s="13" t="s">
        <v>4660</v>
      </c>
      <c r="P670" s="13" t="s">
        <v>4661</v>
      </c>
      <c r="Q670" s="13" t="s">
        <v>416</v>
      </c>
      <c r="R670" s="13" t="s">
        <v>4662</v>
      </c>
      <c r="S670" s="13" t="s">
        <v>441</v>
      </c>
      <c r="T670" s="13" t="s">
        <v>442</v>
      </c>
      <c r="U670" s="13" t="s">
        <v>443</v>
      </c>
      <c r="V670" s="47">
        <f>SUMIF(Data!$E:$E,$I670,Data!$AI:$AI)</f>
        <v>0</v>
      </c>
    </row>
    <row r="671" spans="1:22" x14ac:dyDescent="0.25">
      <c r="A671" s="46" t="s">
        <v>4651</v>
      </c>
      <c r="B671" s="46" t="s">
        <v>120</v>
      </c>
      <c r="C671" s="46" t="s">
        <v>4489</v>
      </c>
      <c r="D671" s="46">
        <v>4.7857367758365399</v>
      </c>
      <c r="E671" s="47">
        <f>SUMIF(Data!$E:$E,$C671,Data!$AI:$AI)</f>
        <v>0</v>
      </c>
      <c r="I671" s="13" t="s">
        <v>4663</v>
      </c>
      <c r="J671" s="13" t="s">
        <v>4664</v>
      </c>
      <c r="K671" s="13" t="s">
        <v>137</v>
      </c>
      <c r="L671" s="13" t="s">
        <v>4421</v>
      </c>
      <c r="M671" s="13" t="s">
        <v>4665</v>
      </c>
      <c r="N671" s="13">
        <v>68.477999999999994</v>
      </c>
      <c r="O671" s="13" t="s">
        <v>4666</v>
      </c>
      <c r="P671" s="13" t="s">
        <v>4667</v>
      </c>
      <c r="Q671" s="13" t="s">
        <v>190</v>
      </c>
      <c r="R671" s="13" t="s">
        <v>4668</v>
      </c>
      <c r="S671" s="13" t="s">
        <v>4669</v>
      </c>
      <c r="T671" s="13" t="s">
        <v>146</v>
      </c>
      <c r="U671" s="13" t="s">
        <v>110</v>
      </c>
      <c r="V671" s="47">
        <f>SUMIF(Data!$E:$E,$I671,Data!$AI:$AI)</f>
        <v>0</v>
      </c>
    </row>
    <row r="672" spans="1:22" x14ac:dyDescent="0.25">
      <c r="A672" s="46" t="s">
        <v>4651</v>
      </c>
      <c r="B672" s="46" t="s">
        <v>120</v>
      </c>
      <c r="C672" s="46" t="s">
        <v>4582</v>
      </c>
      <c r="D672" s="46">
        <v>1.04385813202866</v>
      </c>
      <c r="E672" s="47">
        <f>SUMIF(Data!$E:$E,$C672,Data!$AI:$AI)</f>
        <v>0</v>
      </c>
      <c r="I672" s="13" t="s">
        <v>4670</v>
      </c>
      <c r="J672" s="13" t="s">
        <v>4671</v>
      </c>
      <c r="K672" s="13" t="s">
        <v>137</v>
      </c>
      <c r="L672" s="13" t="s">
        <v>4421</v>
      </c>
      <c r="M672" s="13" t="s">
        <v>4672</v>
      </c>
      <c r="N672" s="13">
        <v>74.245999999999995</v>
      </c>
      <c r="O672" s="13" t="s">
        <v>4673</v>
      </c>
      <c r="P672" s="13" t="s">
        <v>4674</v>
      </c>
      <c r="Q672" s="13" t="s">
        <v>208</v>
      </c>
      <c r="R672" s="13" t="s">
        <v>4675</v>
      </c>
      <c r="S672" s="13" t="s">
        <v>192</v>
      </c>
      <c r="T672" s="13" t="s">
        <v>146</v>
      </c>
      <c r="U672" s="13" t="s">
        <v>110</v>
      </c>
      <c r="V672" s="47">
        <f>SUMIF(Data!$E:$E,$I672,Data!$AI:$AI)</f>
        <v>0</v>
      </c>
    </row>
    <row r="673" spans="1:22" x14ac:dyDescent="0.25">
      <c r="A673" s="46" t="s">
        <v>4651</v>
      </c>
      <c r="B673" s="46" t="s">
        <v>120</v>
      </c>
      <c r="C673" s="46" t="s">
        <v>4589</v>
      </c>
      <c r="D673" s="46">
        <v>50.430115497840703</v>
      </c>
      <c r="E673" s="47">
        <f>SUMIF(Data!$E:$E,$C673,Data!$AI:$AI)</f>
        <v>0</v>
      </c>
      <c r="I673" s="13">
        <v>8309</v>
      </c>
      <c r="J673" s="13" t="s">
        <v>4676</v>
      </c>
      <c r="K673" s="13" t="s">
        <v>137</v>
      </c>
      <c r="L673" s="13" t="s">
        <v>4421</v>
      </c>
      <c r="M673" s="13" t="s">
        <v>4677</v>
      </c>
      <c r="N673" s="13">
        <v>202.97300000000001</v>
      </c>
      <c r="O673" s="13" t="s">
        <v>4678</v>
      </c>
      <c r="P673" s="13" t="s">
        <v>4679</v>
      </c>
      <c r="Q673" s="13" t="s">
        <v>190</v>
      </c>
      <c r="R673" s="13" t="s">
        <v>4680</v>
      </c>
      <c r="S673" s="13" t="s">
        <v>441</v>
      </c>
      <c r="T673" s="13" t="s">
        <v>442</v>
      </c>
      <c r="U673" s="13" t="s">
        <v>443</v>
      </c>
      <c r="V673" s="47">
        <f>SUMIF(Data!$E:$E,$I673,Data!$AI:$AI)</f>
        <v>0</v>
      </c>
    </row>
    <row r="674" spans="1:22" x14ac:dyDescent="0.25">
      <c r="A674" s="46" t="s">
        <v>4651</v>
      </c>
      <c r="B674" s="46" t="s">
        <v>120</v>
      </c>
      <c r="C674" s="46" t="s">
        <v>4524</v>
      </c>
      <c r="D674" s="46">
        <v>2.9777426772150299</v>
      </c>
      <c r="E674" s="47">
        <f>SUMIF(Data!$E:$E,$C674,Data!$AI:$AI)</f>
        <v>0</v>
      </c>
      <c r="I674" s="13" t="s">
        <v>4681</v>
      </c>
      <c r="J674" s="13" t="s">
        <v>4681</v>
      </c>
      <c r="K674" s="13" t="s">
        <v>137</v>
      </c>
      <c r="L674" s="13" t="s">
        <v>4421</v>
      </c>
      <c r="M674" s="13" t="s">
        <v>4682</v>
      </c>
      <c r="N674" s="13">
        <v>306.79700000000003</v>
      </c>
      <c r="O674" s="13" t="s">
        <v>4683</v>
      </c>
      <c r="P674" s="13" t="s">
        <v>4684</v>
      </c>
      <c r="Q674" s="13" t="s">
        <v>224</v>
      </c>
      <c r="R674" s="13" t="s">
        <v>4685</v>
      </c>
      <c r="S674" s="13" t="s">
        <v>3711</v>
      </c>
      <c r="T674" s="13" t="s">
        <v>3712</v>
      </c>
      <c r="U674" s="13" t="s">
        <v>3713</v>
      </c>
      <c r="V674" s="47">
        <f>SUMIF(Data!$E:$E,$I674,Data!$AI:$AI)</f>
        <v>0</v>
      </c>
    </row>
    <row r="675" spans="1:22" x14ac:dyDescent="0.25">
      <c r="A675" s="46" t="s">
        <v>4651</v>
      </c>
      <c r="B675" s="46" t="s">
        <v>120</v>
      </c>
      <c r="C675" s="46" t="s">
        <v>4496</v>
      </c>
      <c r="D675" s="46">
        <v>2.71714662272068</v>
      </c>
      <c r="E675" s="47">
        <f>SUMIF(Data!$E:$E,$C675,Data!$AI:$AI)</f>
        <v>0</v>
      </c>
      <c r="I675" s="13" t="s">
        <v>4686</v>
      </c>
      <c r="J675" s="13" t="s">
        <v>4687</v>
      </c>
      <c r="K675" s="13" t="s">
        <v>137</v>
      </c>
      <c r="L675" s="13" t="s">
        <v>4421</v>
      </c>
      <c r="M675" s="13" t="s">
        <v>4688</v>
      </c>
      <c r="N675" s="13" t="s">
        <v>4689</v>
      </c>
      <c r="O675" s="13" t="s">
        <v>4690</v>
      </c>
      <c r="P675" s="13" t="s">
        <v>4691</v>
      </c>
      <c r="Q675" s="13" t="s">
        <v>694</v>
      </c>
      <c r="R675" s="13" t="s">
        <v>4692</v>
      </c>
      <c r="S675" s="13" t="s">
        <v>1127</v>
      </c>
      <c r="T675" s="13" t="s">
        <v>1128</v>
      </c>
      <c r="U675" s="13" t="s">
        <v>525</v>
      </c>
      <c r="V675" s="47">
        <f>SUMIF(Data!$E:$E,$I675,Data!$AI:$AI)</f>
        <v>0</v>
      </c>
    </row>
    <row r="676" spans="1:22" x14ac:dyDescent="0.25">
      <c r="A676" s="46" t="s">
        <v>4651</v>
      </c>
      <c r="B676" s="46" t="s">
        <v>120</v>
      </c>
      <c r="C676" s="46" t="s">
        <v>4503</v>
      </c>
      <c r="D676" s="46">
        <v>1.1016951962344199</v>
      </c>
      <c r="E676" s="47">
        <f>SUMIF(Data!$E:$E,$C676,Data!$AI:$AI)</f>
        <v>0</v>
      </c>
      <c r="I676" s="13" t="s">
        <v>4693</v>
      </c>
      <c r="J676" s="13" t="s">
        <v>4694</v>
      </c>
      <c r="K676" s="13" t="s">
        <v>137</v>
      </c>
      <c r="L676" s="13" t="s">
        <v>4421</v>
      </c>
      <c r="M676" s="13" t="s">
        <v>4695</v>
      </c>
      <c r="N676" s="13">
        <v>691.29700000000003</v>
      </c>
      <c r="O676" s="13" t="s">
        <v>4696</v>
      </c>
      <c r="P676" s="13" t="s">
        <v>4697</v>
      </c>
      <c r="Q676" s="13" t="s">
        <v>806</v>
      </c>
      <c r="R676" s="13" t="s">
        <v>4698</v>
      </c>
      <c r="S676" s="13" t="s">
        <v>476</v>
      </c>
      <c r="T676" s="13" t="s">
        <v>477</v>
      </c>
      <c r="U676" s="13" t="s">
        <v>478</v>
      </c>
      <c r="V676" s="47">
        <f>SUMIF(Data!$E:$E,$I676,Data!$AI:$AI)</f>
        <v>0</v>
      </c>
    </row>
    <row r="677" spans="1:22" x14ac:dyDescent="0.25">
      <c r="A677" s="46" t="s">
        <v>4651</v>
      </c>
      <c r="B677" s="46" t="s">
        <v>120</v>
      </c>
      <c r="C677" s="46" t="s">
        <v>4546</v>
      </c>
      <c r="D677" s="46">
        <v>1.38440593948929</v>
      </c>
      <c r="E677" s="47">
        <f>SUMIF(Data!$E:$E,$C677,Data!$AI:$AI)</f>
        <v>0</v>
      </c>
      <c r="I677" s="13" t="s">
        <v>4699</v>
      </c>
      <c r="J677" s="13" t="s">
        <v>4700</v>
      </c>
      <c r="K677" s="13" t="s">
        <v>137</v>
      </c>
      <c r="L677" s="13" t="s">
        <v>4421</v>
      </c>
      <c r="M677" s="13" t="s">
        <v>4701</v>
      </c>
      <c r="N677" s="13">
        <v>261.50900000000001</v>
      </c>
      <c r="O677" s="13" t="s">
        <v>4702</v>
      </c>
      <c r="P677" s="13" t="s">
        <v>4703</v>
      </c>
      <c r="Q677" s="13" t="s">
        <v>190</v>
      </c>
      <c r="R677" s="13" t="s">
        <v>4704</v>
      </c>
      <c r="S677" s="13" t="s">
        <v>192</v>
      </c>
      <c r="T677" s="13" t="s">
        <v>146</v>
      </c>
      <c r="U677" s="13" t="s">
        <v>110</v>
      </c>
      <c r="V677" s="47">
        <f>SUMIF(Data!$E:$E,$I677,Data!$AI:$AI)</f>
        <v>0</v>
      </c>
    </row>
    <row r="678" spans="1:22" x14ac:dyDescent="0.25">
      <c r="A678" s="46" t="s">
        <v>4651</v>
      </c>
      <c r="B678" s="46" t="s">
        <v>120</v>
      </c>
      <c r="C678" s="46" t="s">
        <v>4553</v>
      </c>
      <c r="D678" s="46">
        <v>0.24027387964387401</v>
      </c>
      <c r="E678" s="47">
        <f>SUMIF(Data!$E:$E,$C678,Data!$AI:$AI)</f>
        <v>0</v>
      </c>
      <c r="I678" s="13" t="s">
        <v>4705</v>
      </c>
      <c r="J678" s="13" t="s">
        <v>4706</v>
      </c>
      <c r="K678" s="13" t="s">
        <v>137</v>
      </c>
      <c r="L678" s="13" t="s">
        <v>4421</v>
      </c>
      <c r="M678" s="13" t="s">
        <v>4707</v>
      </c>
      <c r="N678" s="13">
        <v>27.405999999999999</v>
      </c>
      <c r="O678" s="13" t="s">
        <v>4708</v>
      </c>
      <c r="P678" s="13" t="s">
        <v>4709</v>
      </c>
      <c r="Q678" s="13" t="s">
        <v>143</v>
      </c>
      <c r="R678" s="13" t="s">
        <v>4710</v>
      </c>
      <c r="S678" s="13" t="s">
        <v>192</v>
      </c>
      <c r="T678" s="13" t="s">
        <v>146</v>
      </c>
      <c r="U678" s="13" t="s">
        <v>110</v>
      </c>
      <c r="V678" s="47">
        <f>SUMIF(Data!$E:$E,$I678,Data!$AI:$AI)</f>
        <v>0</v>
      </c>
    </row>
    <row r="679" spans="1:22" x14ac:dyDescent="0.25">
      <c r="A679" s="46" t="s">
        <v>4651</v>
      </c>
      <c r="B679" s="46" t="s">
        <v>120</v>
      </c>
      <c r="C679" s="46" t="s">
        <v>4560</v>
      </c>
      <c r="D679" s="46">
        <v>1.1554735191944101</v>
      </c>
      <c r="E679" s="47">
        <f>SUMIF(Data!$E:$E,$C679,Data!$AI:$AI)</f>
        <v>0</v>
      </c>
      <c r="I679" s="13" t="s">
        <v>4711</v>
      </c>
      <c r="J679" s="13" t="s">
        <v>4712</v>
      </c>
      <c r="K679" s="13" t="s">
        <v>137</v>
      </c>
      <c r="L679" s="13" t="s">
        <v>4421</v>
      </c>
      <c r="M679" s="13" t="s">
        <v>4713</v>
      </c>
      <c r="N679" s="13">
        <v>147.08000000000001</v>
      </c>
      <c r="O679" s="13" t="s">
        <v>4714</v>
      </c>
      <c r="P679" s="13" t="s">
        <v>4715</v>
      </c>
      <c r="Q679" s="13" t="s">
        <v>208</v>
      </c>
      <c r="R679" s="13" t="s">
        <v>4716</v>
      </c>
      <c r="S679" s="13" t="s">
        <v>145</v>
      </c>
      <c r="T679" s="13" t="s">
        <v>146</v>
      </c>
      <c r="U679" s="13" t="s">
        <v>110</v>
      </c>
      <c r="V679" s="47">
        <f>SUMIF(Data!$E:$E,$I679,Data!$AI:$AI)</f>
        <v>0</v>
      </c>
    </row>
    <row r="680" spans="1:22" x14ac:dyDescent="0.25">
      <c r="A680" s="46" t="s">
        <v>4651</v>
      </c>
      <c r="B680" s="46" t="s">
        <v>120</v>
      </c>
      <c r="C680" s="46" t="s">
        <v>4595</v>
      </c>
      <c r="D680" s="46">
        <v>0.88745886050760203</v>
      </c>
      <c r="E680" s="47">
        <f>SUMIF(Data!$E:$E,$C680,Data!$AI:$AI)</f>
        <v>0</v>
      </c>
      <c r="I680" s="13">
        <v>8630</v>
      </c>
      <c r="J680" s="13" t="s">
        <v>4717</v>
      </c>
      <c r="K680" s="13" t="s">
        <v>137</v>
      </c>
      <c r="L680" s="13" t="s">
        <v>4421</v>
      </c>
      <c r="M680" s="13" t="s">
        <v>4718</v>
      </c>
      <c r="N680" s="13">
        <v>201.77</v>
      </c>
      <c r="O680" s="13" t="s">
        <v>4719</v>
      </c>
      <c r="P680" s="13" t="s">
        <v>4720</v>
      </c>
      <c r="Q680" s="13" t="s">
        <v>190</v>
      </c>
      <c r="R680" s="13" t="s">
        <v>4721</v>
      </c>
      <c r="S680" s="13" t="s">
        <v>441</v>
      </c>
      <c r="T680" s="13" t="s">
        <v>442</v>
      </c>
      <c r="U680" s="13" t="s">
        <v>443</v>
      </c>
      <c r="V680" s="47">
        <f>SUMIF(Data!$E:$E,$I680,Data!$AI:$AI)</f>
        <v>0</v>
      </c>
    </row>
    <row r="681" spans="1:22" x14ac:dyDescent="0.25">
      <c r="A681" s="46" t="s">
        <v>4651</v>
      </c>
      <c r="B681" s="46" t="s">
        <v>120</v>
      </c>
      <c r="C681" s="46" t="s">
        <v>4510</v>
      </c>
      <c r="D681" s="46">
        <v>0.22649213422748299</v>
      </c>
      <c r="E681" s="47">
        <f>SUMIF(Data!$E:$E,$C681,Data!$AI:$AI)</f>
        <v>0</v>
      </c>
      <c r="I681" s="13" t="s">
        <v>4722</v>
      </c>
      <c r="J681" s="13" t="s">
        <v>4723</v>
      </c>
      <c r="K681" s="13" t="s">
        <v>137</v>
      </c>
      <c r="L681" s="13" t="s">
        <v>4421</v>
      </c>
      <c r="M681" s="13" t="s">
        <v>4724</v>
      </c>
      <c r="N681" s="13">
        <v>130.12200000000001</v>
      </c>
      <c r="O681" s="13" t="s">
        <v>4725</v>
      </c>
      <c r="P681" s="13" t="s">
        <v>4726</v>
      </c>
      <c r="Q681" s="13" t="s">
        <v>143</v>
      </c>
      <c r="R681" s="13" t="s">
        <v>4727</v>
      </c>
      <c r="S681" s="13" t="s">
        <v>145</v>
      </c>
      <c r="T681" s="13" t="s">
        <v>146</v>
      </c>
      <c r="U681" s="13" t="s">
        <v>110</v>
      </c>
      <c r="V681" s="47">
        <f>SUMIF(Data!$E:$E,$I681,Data!$AI:$AI)</f>
        <v>0</v>
      </c>
    </row>
    <row r="682" spans="1:22" x14ac:dyDescent="0.25">
      <c r="A682" s="46" t="s">
        <v>4651</v>
      </c>
      <c r="B682" s="46" t="s">
        <v>120</v>
      </c>
      <c r="C682" s="46" t="s">
        <v>4567</v>
      </c>
      <c r="D682" s="46">
        <v>0.19327128809111299</v>
      </c>
      <c r="E682" s="47">
        <f>SUMIF(Data!$E:$E,$C682,Data!$AI:$AI)</f>
        <v>0</v>
      </c>
      <c r="I682" s="13" t="s">
        <v>4728</v>
      </c>
      <c r="J682" s="13" t="s">
        <v>4729</v>
      </c>
      <c r="K682" s="13" t="s">
        <v>137</v>
      </c>
      <c r="L682" s="13" t="s">
        <v>4421</v>
      </c>
      <c r="M682" s="13" t="s">
        <v>4730</v>
      </c>
      <c r="N682" s="13" t="s">
        <v>4731</v>
      </c>
      <c r="O682" s="13" t="s">
        <v>4732</v>
      </c>
      <c r="P682" s="13" t="s">
        <v>4733</v>
      </c>
      <c r="Q682" s="13" t="s">
        <v>416</v>
      </c>
      <c r="R682" s="13" t="s">
        <v>4734</v>
      </c>
      <c r="S682" s="13" t="s">
        <v>476</v>
      </c>
      <c r="T682" s="13" t="s">
        <v>477</v>
      </c>
      <c r="U682" s="13" t="s">
        <v>478</v>
      </c>
      <c r="V682" s="47">
        <f>SUMIF(Data!$E:$E,$I682,Data!$AI:$AI)</f>
        <v>0</v>
      </c>
    </row>
    <row r="683" spans="1:22" x14ac:dyDescent="0.25">
      <c r="A683" s="46" t="s">
        <v>4651</v>
      </c>
      <c r="B683" s="46" t="s">
        <v>120</v>
      </c>
      <c r="C683" s="46" t="s">
        <v>4517</v>
      </c>
      <c r="D683" s="46">
        <v>1.82047342270739</v>
      </c>
      <c r="E683" s="47">
        <f>SUMIF(Data!$E:$E,$C683,Data!$AI:$AI)</f>
        <v>0</v>
      </c>
      <c r="I683" s="13" t="s">
        <v>4735</v>
      </c>
      <c r="J683" s="13" t="s">
        <v>4736</v>
      </c>
      <c r="K683" s="13" t="s">
        <v>137</v>
      </c>
      <c r="L683" s="13" t="s">
        <v>4421</v>
      </c>
      <c r="M683" s="13" t="s">
        <v>4737</v>
      </c>
      <c r="N683" s="13">
        <v>61.036999999999999</v>
      </c>
      <c r="O683" s="13" t="s">
        <v>4738</v>
      </c>
      <c r="P683" s="13" t="s">
        <v>4739</v>
      </c>
      <c r="Q683" s="13" t="s">
        <v>143</v>
      </c>
      <c r="R683" s="13" t="s">
        <v>4740</v>
      </c>
      <c r="S683" s="13" t="s">
        <v>192</v>
      </c>
      <c r="T683" s="13" t="s">
        <v>146</v>
      </c>
      <c r="U683" s="13" t="s">
        <v>110</v>
      </c>
      <c r="V683" s="47">
        <f>SUMIF(Data!$E:$E,$I683,Data!$AI:$AI)</f>
        <v>0</v>
      </c>
    </row>
    <row r="684" spans="1:22" x14ac:dyDescent="0.25">
      <c r="A684" s="46" t="s">
        <v>4651</v>
      </c>
      <c r="B684" s="46" t="s">
        <v>120</v>
      </c>
      <c r="C684" s="46" t="s">
        <v>4602</v>
      </c>
      <c r="D684" s="46">
        <v>2.2352462644599802</v>
      </c>
      <c r="E684" s="47">
        <f>SUMIF(Data!$E:$E,$C684,Data!$AI:$AI)</f>
        <v>0</v>
      </c>
      <c r="I684" s="13" t="s">
        <v>4741</v>
      </c>
      <c r="J684" s="13" t="s">
        <v>4742</v>
      </c>
      <c r="K684" s="13" t="s">
        <v>137</v>
      </c>
      <c r="L684" s="13" t="s">
        <v>4421</v>
      </c>
      <c r="M684" s="13" t="s">
        <v>4743</v>
      </c>
      <c r="N684" s="13">
        <v>242.93899999999999</v>
      </c>
      <c r="O684" s="13" t="s">
        <v>4744</v>
      </c>
      <c r="P684" s="13" t="s">
        <v>4745</v>
      </c>
      <c r="Q684" s="13" t="s">
        <v>416</v>
      </c>
      <c r="R684" s="13" t="s">
        <v>4746</v>
      </c>
      <c r="S684" s="13" t="s">
        <v>476</v>
      </c>
      <c r="T684" s="13" t="s">
        <v>477</v>
      </c>
      <c r="U684" s="13" t="s">
        <v>478</v>
      </c>
      <c r="V684" s="47">
        <f>SUMIF(Data!$E:$E,$I684,Data!$AI:$AI)</f>
        <v>0</v>
      </c>
    </row>
    <row r="685" spans="1:22" x14ac:dyDescent="0.25">
      <c r="A685" s="46" t="s">
        <v>4651</v>
      </c>
      <c r="B685" s="46" t="s">
        <v>120</v>
      </c>
      <c r="C685" s="46" t="s">
        <v>4610</v>
      </c>
      <c r="D685" s="46">
        <v>0.83098271898264597</v>
      </c>
      <c r="E685" s="47">
        <f>SUMIF(Data!$E:$E,$C685,Data!$AI:$AI)</f>
        <v>0</v>
      </c>
      <c r="I685" s="13">
        <v>6762</v>
      </c>
      <c r="J685" s="13" t="s">
        <v>4747</v>
      </c>
      <c r="K685" s="13" t="s">
        <v>137</v>
      </c>
      <c r="L685" s="13" t="s">
        <v>4421</v>
      </c>
      <c r="M685" s="13" t="s">
        <v>4748</v>
      </c>
      <c r="N685" s="13">
        <v>67.900000000000006</v>
      </c>
      <c r="O685" s="13" t="s">
        <v>4749</v>
      </c>
      <c r="P685" s="13" t="s">
        <v>4750</v>
      </c>
      <c r="Q685" s="13" t="s">
        <v>143</v>
      </c>
      <c r="R685" s="13" t="s">
        <v>4751</v>
      </c>
      <c r="S685" s="13" t="s">
        <v>441</v>
      </c>
      <c r="T685" s="13" t="s">
        <v>442</v>
      </c>
      <c r="U685" s="13" t="s">
        <v>443</v>
      </c>
      <c r="V685" s="47">
        <f>SUMIF(Data!$E:$E,$I685,Data!$AI:$AI)</f>
        <v>0</v>
      </c>
    </row>
    <row r="686" spans="1:22" x14ac:dyDescent="0.25">
      <c r="A686" s="46" t="s">
        <v>4752</v>
      </c>
      <c r="B686" s="46" t="s">
        <v>120</v>
      </c>
      <c r="C686" s="46" t="s">
        <v>4575</v>
      </c>
      <c r="D686" s="46">
        <v>5.6704136110701002</v>
      </c>
      <c r="E686" s="47">
        <f>SUMIF(Data!$E:$E,$C686,Data!$AI:$AI)</f>
        <v>0</v>
      </c>
      <c r="I686" s="13">
        <v>1928</v>
      </c>
      <c r="J686" s="13" t="s">
        <v>4753</v>
      </c>
      <c r="K686" s="13" t="s">
        <v>137</v>
      </c>
      <c r="L686" s="13" t="s">
        <v>4421</v>
      </c>
      <c r="M686" s="13" t="s">
        <v>4754</v>
      </c>
      <c r="N686" s="13" t="s">
        <v>4755</v>
      </c>
      <c r="O686" s="13" t="s">
        <v>4756</v>
      </c>
      <c r="P686" s="13" t="s">
        <v>4757</v>
      </c>
      <c r="Q686" s="13" t="s">
        <v>162</v>
      </c>
      <c r="R686" s="13" t="s">
        <v>4758</v>
      </c>
      <c r="S686" s="13" t="s">
        <v>549</v>
      </c>
      <c r="T686" s="13" t="s">
        <v>550</v>
      </c>
      <c r="U686" s="13" t="s">
        <v>551</v>
      </c>
      <c r="V686" s="47">
        <f>SUMIF(Data!$E:$E,$I686,Data!$AI:$AI)</f>
        <v>0</v>
      </c>
    </row>
    <row r="687" spans="1:22" x14ac:dyDescent="0.25">
      <c r="A687" s="46" t="s">
        <v>4752</v>
      </c>
      <c r="B687" s="46" t="s">
        <v>120</v>
      </c>
      <c r="C687" s="46" t="s">
        <v>4489</v>
      </c>
      <c r="D687" s="46">
        <v>1.0599094149586501</v>
      </c>
      <c r="E687" s="47">
        <f>SUMIF(Data!$E:$E,$C687,Data!$AI:$AI)</f>
        <v>0</v>
      </c>
      <c r="I687" s="13" t="s">
        <v>4759</v>
      </c>
      <c r="J687" s="13" t="s">
        <v>4760</v>
      </c>
      <c r="K687" s="13" t="s">
        <v>137</v>
      </c>
      <c r="L687" s="13" t="s">
        <v>4421</v>
      </c>
      <c r="M687" s="13" t="s">
        <v>4761</v>
      </c>
      <c r="N687" s="13">
        <v>167.911</v>
      </c>
      <c r="O687" s="13" t="s">
        <v>4762</v>
      </c>
      <c r="P687" s="13" t="s">
        <v>4763</v>
      </c>
      <c r="Q687" s="13" t="s">
        <v>190</v>
      </c>
      <c r="R687" s="13" t="s">
        <v>4764</v>
      </c>
      <c r="S687" s="13" t="s">
        <v>192</v>
      </c>
      <c r="T687" s="13" t="s">
        <v>146</v>
      </c>
      <c r="U687" s="13" t="s">
        <v>110</v>
      </c>
      <c r="V687" s="47">
        <f>SUMIF(Data!$E:$E,$I687,Data!$AI:$AI)</f>
        <v>0</v>
      </c>
    </row>
    <row r="688" spans="1:22" x14ac:dyDescent="0.25">
      <c r="A688" s="46" t="s">
        <v>4752</v>
      </c>
      <c r="B688" s="46" t="s">
        <v>120</v>
      </c>
      <c r="C688" s="46" t="s">
        <v>4765</v>
      </c>
      <c r="D688" s="46">
        <v>1.07470315542714</v>
      </c>
      <c r="E688" s="47">
        <f>SUMIF(Data!$E:$E,$C688,Data!$AI:$AI)</f>
        <v>0</v>
      </c>
      <c r="I688" s="13" t="s">
        <v>4766</v>
      </c>
      <c r="J688" s="13" t="s">
        <v>4767</v>
      </c>
      <c r="K688" s="13" t="s">
        <v>137</v>
      </c>
      <c r="L688" s="13" t="s">
        <v>4421</v>
      </c>
      <c r="M688" s="13" t="s">
        <v>4768</v>
      </c>
      <c r="N688" s="13">
        <v>76.021000000000001</v>
      </c>
      <c r="O688" s="13" t="s">
        <v>4769</v>
      </c>
      <c r="P688" s="13" t="s">
        <v>4770</v>
      </c>
      <c r="Q688" s="13" t="s">
        <v>143</v>
      </c>
      <c r="R688" s="13" t="s">
        <v>4771</v>
      </c>
      <c r="S688" s="13" t="s">
        <v>192</v>
      </c>
      <c r="T688" s="13" t="s">
        <v>146</v>
      </c>
      <c r="U688" s="13" t="s">
        <v>110</v>
      </c>
      <c r="V688" s="47">
        <f>SUMIF(Data!$E:$E,$I688,Data!$AI:$AI)</f>
        <v>0</v>
      </c>
    </row>
    <row r="689" spans="1:22" x14ac:dyDescent="0.25">
      <c r="A689" s="46" t="s">
        <v>4752</v>
      </c>
      <c r="B689" s="46" t="s">
        <v>120</v>
      </c>
      <c r="C689" s="46" t="s">
        <v>4589</v>
      </c>
      <c r="D689" s="46">
        <v>11.168887199039601</v>
      </c>
      <c r="E689" s="47">
        <f>SUMIF(Data!$E:$E,$C689,Data!$AI:$AI)</f>
        <v>0</v>
      </c>
      <c r="I689" s="13" t="s">
        <v>4772</v>
      </c>
      <c r="J689" s="13" t="s">
        <v>4773</v>
      </c>
      <c r="K689" s="13" t="s">
        <v>137</v>
      </c>
      <c r="L689" s="13" t="s">
        <v>4421</v>
      </c>
      <c r="M689" s="13" t="s">
        <v>4774</v>
      </c>
      <c r="N689" s="13" t="s">
        <v>4775</v>
      </c>
      <c r="O689" s="13" t="s">
        <v>4776</v>
      </c>
      <c r="P689" s="13" t="s">
        <v>4777</v>
      </c>
      <c r="Q689" s="13" t="s">
        <v>190</v>
      </c>
      <c r="R689" s="13" t="s">
        <v>4778</v>
      </c>
      <c r="S689" s="13" t="s">
        <v>476</v>
      </c>
      <c r="T689" s="13" t="s">
        <v>477</v>
      </c>
      <c r="U689" s="13" t="s">
        <v>478</v>
      </c>
      <c r="V689" s="47">
        <f>SUMIF(Data!$E:$E,$I689,Data!$AI:$AI)</f>
        <v>0</v>
      </c>
    </row>
    <row r="690" spans="1:22" x14ac:dyDescent="0.25">
      <c r="A690" s="46" t="s">
        <v>4752</v>
      </c>
      <c r="B690" s="46" t="s">
        <v>120</v>
      </c>
      <c r="C690" s="46" t="s">
        <v>4779</v>
      </c>
      <c r="D690" s="46">
        <v>1.1258185279911801</v>
      </c>
      <c r="E690" s="47">
        <f>SUMIF(Data!$E:$E,$C690,Data!$AI:$AI)</f>
        <v>0</v>
      </c>
      <c r="I690" s="13" t="s">
        <v>4780</v>
      </c>
      <c r="J690" s="13" t="s">
        <v>4781</v>
      </c>
      <c r="K690" s="13" t="s">
        <v>137</v>
      </c>
      <c r="L690" s="13" t="s">
        <v>4421</v>
      </c>
      <c r="M690" s="13" t="s">
        <v>4782</v>
      </c>
      <c r="N690" s="13">
        <v>122.932</v>
      </c>
      <c r="O690" s="13" t="s">
        <v>4783</v>
      </c>
      <c r="P690" s="13" t="s">
        <v>4784</v>
      </c>
      <c r="Q690" s="13" t="s">
        <v>143</v>
      </c>
      <c r="R690" s="13" t="s">
        <v>4785</v>
      </c>
      <c r="S690" s="13" t="s">
        <v>145</v>
      </c>
      <c r="T690" s="13" t="s">
        <v>146</v>
      </c>
      <c r="U690" s="13" t="s">
        <v>110</v>
      </c>
      <c r="V690" s="47">
        <f>SUMIF(Data!$E:$E,$I690,Data!$AI:$AI)</f>
        <v>0</v>
      </c>
    </row>
    <row r="691" spans="1:22" x14ac:dyDescent="0.25">
      <c r="A691" s="46" t="s">
        <v>4752</v>
      </c>
      <c r="B691" s="46" t="s">
        <v>120</v>
      </c>
      <c r="C691" s="46" t="s">
        <v>4786</v>
      </c>
      <c r="D691" s="46">
        <v>0.91963755351936705</v>
      </c>
      <c r="E691" s="47">
        <f>SUMIF(Data!$E:$E,$C691,Data!$AI:$AI)</f>
        <v>0</v>
      </c>
      <c r="I691" s="13">
        <v>9021</v>
      </c>
      <c r="J691" s="13" t="s">
        <v>4787</v>
      </c>
      <c r="K691" s="13" t="s">
        <v>137</v>
      </c>
      <c r="L691" s="13" t="s">
        <v>4421</v>
      </c>
      <c r="M691" s="13" t="s">
        <v>4788</v>
      </c>
      <c r="N691" s="13">
        <v>88.438999999999993</v>
      </c>
      <c r="O691" s="13" t="s">
        <v>4789</v>
      </c>
      <c r="P691" s="13" t="s">
        <v>4790</v>
      </c>
      <c r="Q691" s="13" t="s">
        <v>416</v>
      </c>
      <c r="R691" s="13" t="s">
        <v>4791</v>
      </c>
      <c r="S691" s="13" t="s">
        <v>441</v>
      </c>
      <c r="T691" s="13" t="s">
        <v>442</v>
      </c>
      <c r="U691" s="13" t="s">
        <v>443</v>
      </c>
      <c r="V691" s="47">
        <f>SUMIF(Data!$E:$E,$I691,Data!$AI:$AI)</f>
        <v>0</v>
      </c>
    </row>
    <row r="692" spans="1:22" x14ac:dyDescent="0.25">
      <c r="A692" s="46" t="s">
        <v>4752</v>
      </c>
      <c r="B692" s="46" t="s">
        <v>120</v>
      </c>
      <c r="C692" s="46" t="s">
        <v>3202</v>
      </c>
      <c r="D692" s="46">
        <v>0.92496928305592896</v>
      </c>
      <c r="E692" s="47">
        <f>SUMIF(Data!$E:$E,$C692,Data!$AI:$AI)</f>
        <v>0</v>
      </c>
      <c r="I692" s="13" t="s">
        <v>4792</v>
      </c>
      <c r="J692" s="13" t="s">
        <v>4793</v>
      </c>
      <c r="K692" s="13" t="s">
        <v>137</v>
      </c>
      <c r="L692" s="13" t="s">
        <v>4421</v>
      </c>
      <c r="M692" s="13" t="s">
        <v>4794</v>
      </c>
      <c r="N692" s="13">
        <v>281.84899999999999</v>
      </c>
      <c r="O692" s="13" t="s">
        <v>4795</v>
      </c>
      <c r="P692" s="13" t="s">
        <v>4796</v>
      </c>
      <c r="Q692" s="13" t="s">
        <v>694</v>
      </c>
      <c r="R692" s="13" t="s">
        <v>4797</v>
      </c>
      <c r="S692" s="13" t="s">
        <v>560</v>
      </c>
      <c r="T692" s="13" t="s">
        <v>561</v>
      </c>
      <c r="U692" s="13" t="s">
        <v>525</v>
      </c>
      <c r="V692" s="47">
        <f>SUMIF(Data!$E:$E,$I692,Data!$AI:$AI)</f>
        <v>0</v>
      </c>
    </row>
    <row r="693" spans="1:22" x14ac:dyDescent="0.25">
      <c r="A693" s="46" t="s">
        <v>4752</v>
      </c>
      <c r="B693" s="46" t="s">
        <v>120</v>
      </c>
      <c r="C693" s="46" t="s">
        <v>4798</v>
      </c>
      <c r="D693" s="46">
        <v>3.4535463132471498</v>
      </c>
      <c r="E693" s="47">
        <f>SUMIF(Data!$E:$E,$C693,Data!$AI:$AI)</f>
        <v>0</v>
      </c>
      <c r="I693" s="13" t="s">
        <v>4799</v>
      </c>
      <c r="J693" s="13" t="s">
        <v>4800</v>
      </c>
      <c r="K693" s="13" t="s">
        <v>137</v>
      </c>
      <c r="L693" s="13" t="s">
        <v>4421</v>
      </c>
      <c r="M693" s="13" t="s">
        <v>4801</v>
      </c>
      <c r="N693" s="13">
        <v>82.543000000000006</v>
      </c>
      <c r="O693" s="13" t="s">
        <v>4802</v>
      </c>
      <c r="P693" s="13" t="s">
        <v>4803</v>
      </c>
      <c r="Q693" s="13" t="s">
        <v>260</v>
      </c>
      <c r="R693" s="13" t="s">
        <v>4804</v>
      </c>
      <c r="S693" s="13" t="s">
        <v>145</v>
      </c>
      <c r="T693" s="13" t="s">
        <v>146</v>
      </c>
      <c r="U693" s="13" t="s">
        <v>110</v>
      </c>
      <c r="V693" s="47">
        <f>SUMIF(Data!$E:$E,$I693,Data!$AI:$AI)</f>
        <v>0</v>
      </c>
    </row>
    <row r="694" spans="1:22" x14ac:dyDescent="0.25">
      <c r="A694" s="46" t="s">
        <v>4752</v>
      </c>
      <c r="B694" s="46" t="s">
        <v>120</v>
      </c>
      <c r="C694" s="46" t="s">
        <v>3142</v>
      </c>
      <c r="D694" s="46">
        <v>1.1944479959005301</v>
      </c>
      <c r="E694" s="47">
        <f>SUMIF(Data!$E:$E,$C694,Data!$AI:$AI)</f>
        <v>0</v>
      </c>
      <c r="I694" s="13" t="s">
        <v>4805</v>
      </c>
      <c r="J694" s="13" t="s">
        <v>4806</v>
      </c>
      <c r="K694" s="13" t="s">
        <v>137</v>
      </c>
      <c r="L694" s="13" t="s">
        <v>4421</v>
      </c>
      <c r="M694" s="13" t="s">
        <v>4807</v>
      </c>
      <c r="N694" s="13">
        <v>67.694000000000003</v>
      </c>
      <c r="O694" s="13" t="s">
        <v>4808</v>
      </c>
      <c r="P694" s="13" t="s">
        <v>4809</v>
      </c>
      <c r="Q694" s="13" t="s">
        <v>208</v>
      </c>
      <c r="R694" s="13" t="s">
        <v>4810</v>
      </c>
      <c r="S694" s="13" t="s">
        <v>145</v>
      </c>
      <c r="T694" s="13" t="s">
        <v>146</v>
      </c>
      <c r="U694" s="13" t="s">
        <v>110</v>
      </c>
      <c r="V694" s="47">
        <f>SUMIF(Data!$E:$E,$I694,Data!$AI:$AI)</f>
        <v>0</v>
      </c>
    </row>
    <row r="695" spans="1:22" x14ac:dyDescent="0.25">
      <c r="A695" s="46" t="s">
        <v>4752</v>
      </c>
      <c r="B695" s="46" t="s">
        <v>120</v>
      </c>
      <c r="C695" s="46" t="s">
        <v>4811</v>
      </c>
      <c r="D695" s="46">
        <v>0.48491513851293</v>
      </c>
      <c r="E695" s="47">
        <f>SUMIF(Data!$E:$E,$C695,Data!$AI:$AI)</f>
        <v>0</v>
      </c>
      <c r="I695" s="13" t="s">
        <v>4812</v>
      </c>
      <c r="J695" s="13" t="s">
        <v>4813</v>
      </c>
      <c r="K695" s="13" t="s">
        <v>137</v>
      </c>
      <c r="L695" s="13" t="s">
        <v>4421</v>
      </c>
      <c r="M695" s="13" t="s">
        <v>4814</v>
      </c>
      <c r="N695" s="13">
        <v>76.932000000000002</v>
      </c>
      <c r="O695" s="13" t="s">
        <v>4815</v>
      </c>
      <c r="P695" s="13" t="s">
        <v>4816</v>
      </c>
      <c r="Q695" s="13" t="s">
        <v>162</v>
      </c>
      <c r="R695" s="13" t="s">
        <v>4817</v>
      </c>
      <c r="S695" s="13" t="s">
        <v>192</v>
      </c>
      <c r="T695" s="13" t="s">
        <v>146</v>
      </c>
      <c r="U695" s="13" t="s">
        <v>110</v>
      </c>
      <c r="V695" s="47">
        <f>SUMIF(Data!$E:$E,$I695,Data!$AI:$AI)</f>
        <v>0</v>
      </c>
    </row>
    <row r="696" spans="1:22" x14ac:dyDescent="0.25">
      <c r="A696" s="46" t="s">
        <v>4752</v>
      </c>
      <c r="B696" s="46" t="s">
        <v>120</v>
      </c>
      <c r="C696" s="46" t="s">
        <v>4818</v>
      </c>
      <c r="D696" s="46">
        <v>1.05759426128939</v>
      </c>
      <c r="E696" s="47">
        <f>SUMIF(Data!$E:$E,$C696,Data!$AI:$AI)</f>
        <v>0</v>
      </c>
      <c r="I696" s="13" t="s">
        <v>4819</v>
      </c>
      <c r="J696" s="13" t="s">
        <v>4820</v>
      </c>
      <c r="K696" s="13" t="s">
        <v>137</v>
      </c>
      <c r="L696" s="13" t="s">
        <v>4421</v>
      </c>
      <c r="M696" s="13" t="s">
        <v>4821</v>
      </c>
      <c r="N696" s="13">
        <v>188.785</v>
      </c>
      <c r="O696" s="13" t="s">
        <v>4822</v>
      </c>
      <c r="P696" s="13" t="s">
        <v>4823</v>
      </c>
      <c r="Q696" s="13" t="s">
        <v>806</v>
      </c>
      <c r="R696" s="13" t="s">
        <v>4824</v>
      </c>
      <c r="S696" s="13" t="s">
        <v>523</v>
      </c>
      <c r="T696" s="13" t="s">
        <v>524</v>
      </c>
      <c r="U696" s="13" t="s">
        <v>525</v>
      </c>
      <c r="V696" s="47">
        <f>SUMIF(Data!$E:$E,$I696,Data!$AI:$AI)</f>
        <v>0</v>
      </c>
    </row>
    <row r="697" spans="1:22" x14ac:dyDescent="0.25">
      <c r="A697" s="46" t="s">
        <v>4752</v>
      </c>
      <c r="B697" s="46" t="s">
        <v>120</v>
      </c>
      <c r="C697" s="46" t="s">
        <v>4618</v>
      </c>
      <c r="D697" s="46">
        <v>0.71994304919851304</v>
      </c>
      <c r="E697" s="47">
        <f>SUMIF(Data!$E:$E,$C697,Data!$AI:$AI)</f>
        <v>0</v>
      </c>
      <c r="I697" s="13" t="s">
        <v>4825</v>
      </c>
      <c r="J697" s="13" t="s">
        <v>4826</v>
      </c>
      <c r="K697" s="13" t="s">
        <v>137</v>
      </c>
      <c r="L697" s="13" t="s">
        <v>4421</v>
      </c>
      <c r="M697" s="13" t="s">
        <v>4827</v>
      </c>
      <c r="N697" s="13">
        <v>67.47</v>
      </c>
      <c r="O697" s="13" t="s">
        <v>4828</v>
      </c>
      <c r="P697" s="13" t="s">
        <v>4829</v>
      </c>
      <c r="Q697" s="13" t="s">
        <v>143</v>
      </c>
      <c r="R697" s="13" t="s">
        <v>4830</v>
      </c>
      <c r="S697" s="13" t="s">
        <v>145</v>
      </c>
      <c r="T697" s="13" t="s">
        <v>4831</v>
      </c>
      <c r="U697" s="13" t="s">
        <v>110</v>
      </c>
      <c r="V697" s="47">
        <f>SUMIF(Data!$E:$E,$I697,Data!$AI:$AI)</f>
        <v>0</v>
      </c>
    </row>
    <row r="698" spans="1:22" x14ac:dyDescent="0.25">
      <c r="A698" s="46" t="s">
        <v>4752</v>
      </c>
      <c r="B698" s="46" t="s">
        <v>120</v>
      </c>
      <c r="C698" s="46" t="s">
        <v>4625</v>
      </c>
      <c r="D698" s="46">
        <v>2.22580524660777</v>
      </c>
      <c r="E698" s="47">
        <f>SUMIF(Data!$E:$E,$C698,Data!$AI:$AI)</f>
        <v>0</v>
      </c>
      <c r="I698" s="13" t="s">
        <v>4832</v>
      </c>
      <c r="J698" s="13" t="s">
        <v>4833</v>
      </c>
      <c r="K698" s="13" t="s">
        <v>137</v>
      </c>
      <c r="L698" s="13" t="s">
        <v>4421</v>
      </c>
      <c r="M698" s="13" t="s">
        <v>4834</v>
      </c>
      <c r="N698" s="13">
        <v>2.008</v>
      </c>
      <c r="O698" s="13" t="s">
        <v>4835</v>
      </c>
      <c r="P698" s="13" t="s">
        <v>4836</v>
      </c>
      <c r="Q698" s="13" t="s">
        <v>162</v>
      </c>
      <c r="R698" s="13" t="s">
        <v>4837</v>
      </c>
      <c r="S698" s="13" t="s">
        <v>192</v>
      </c>
      <c r="T698" s="13" t="s">
        <v>146</v>
      </c>
      <c r="U698" s="13" t="s">
        <v>110</v>
      </c>
      <c r="V698" s="47">
        <f>SUMIF(Data!$E:$E,$I698,Data!$AI:$AI)</f>
        <v>0</v>
      </c>
    </row>
    <row r="699" spans="1:22" x14ac:dyDescent="0.25">
      <c r="A699" s="46" t="s">
        <v>4752</v>
      </c>
      <c r="B699" s="46" t="s">
        <v>120</v>
      </c>
      <c r="C699" s="46" t="s">
        <v>4838</v>
      </c>
      <c r="D699" s="46">
        <v>2.67661398928339</v>
      </c>
      <c r="E699" s="47">
        <f>SUMIF(Data!$E:$E,$C699,Data!$AI:$AI)</f>
        <v>0</v>
      </c>
      <c r="I699" s="13" t="s">
        <v>4839</v>
      </c>
      <c r="J699" s="13" t="s">
        <v>4840</v>
      </c>
      <c r="K699" s="13" t="s">
        <v>137</v>
      </c>
      <c r="L699" s="13" t="s">
        <v>4421</v>
      </c>
      <c r="M699" s="13" t="s">
        <v>4841</v>
      </c>
      <c r="N699" s="13">
        <v>92.192999999999998</v>
      </c>
      <c r="O699" s="13" t="s">
        <v>4842</v>
      </c>
      <c r="P699" s="13" t="s">
        <v>4843</v>
      </c>
      <c r="Q699" s="13" t="s">
        <v>806</v>
      </c>
      <c r="R699" s="13" t="s">
        <v>4844</v>
      </c>
      <c r="S699" s="13" t="s">
        <v>192</v>
      </c>
      <c r="T699" s="13" t="s">
        <v>146</v>
      </c>
      <c r="U699" s="13" t="s">
        <v>110</v>
      </c>
      <c r="V699" s="47">
        <f>SUMIF(Data!$E:$E,$I699,Data!$AI:$AI)</f>
        <v>0</v>
      </c>
    </row>
    <row r="700" spans="1:22" x14ac:dyDescent="0.25">
      <c r="A700" s="46" t="s">
        <v>4752</v>
      </c>
      <c r="B700" s="46" t="s">
        <v>120</v>
      </c>
      <c r="C700" s="46" t="s">
        <v>4845</v>
      </c>
      <c r="D700" s="46">
        <v>1.5468748571325299</v>
      </c>
      <c r="E700" s="47">
        <f>SUMIF(Data!$E:$E,$C700,Data!$AI:$AI)</f>
        <v>0</v>
      </c>
      <c r="I700" s="13" t="s">
        <v>4846</v>
      </c>
      <c r="J700" s="13" t="s">
        <v>4847</v>
      </c>
      <c r="K700" s="13" t="s">
        <v>137</v>
      </c>
      <c r="L700" s="13" t="s">
        <v>4421</v>
      </c>
      <c r="M700" s="13" t="s">
        <v>4848</v>
      </c>
      <c r="N700" s="13">
        <v>50.106000000000002</v>
      </c>
      <c r="O700" s="13" t="s">
        <v>4849</v>
      </c>
      <c r="P700" s="13" t="s">
        <v>4850</v>
      </c>
      <c r="Q700" s="13" t="s">
        <v>208</v>
      </c>
      <c r="R700" s="13" t="s">
        <v>4851</v>
      </c>
      <c r="S700" s="13" t="s">
        <v>192</v>
      </c>
      <c r="T700" s="13" t="s">
        <v>146</v>
      </c>
      <c r="U700" s="13" t="s">
        <v>110</v>
      </c>
      <c r="V700" s="47">
        <f>SUMIF(Data!$E:$E,$I700,Data!$AI:$AI)</f>
        <v>0</v>
      </c>
    </row>
    <row r="701" spans="1:22" x14ac:dyDescent="0.25">
      <c r="A701" s="46" t="s">
        <v>4752</v>
      </c>
      <c r="B701" s="46" t="s">
        <v>120</v>
      </c>
      <c r="C701" s="46" t="s">
        <v>4852</v>
      </c>
      <c r="D701" s="46">
        <v>20.9348810819486</v>
      </c>
      <c r="E701" s="47">
        <f>SUMIF(Data!$E:$E,$C701,Data!$AI:$AI)</f>
        <v>0</v>
      </c>
      <c r="I701" s="13" t="s">
        <v>4853</v>
      </c>
      <c r="J701" s="13" t="s">
        <v>4854</v>
      </c>
      <c r="K701" s="13" t="s">
        <v>137</v>
      </c>
      <c r="L701" s="13" t="s">
        <v>4421</v>
      </c>
      <c r="M701" s="13" t="s">
        <v>4855</v>
      </c>
      <c r="N701" s="13">
        <v>97.228999999999999</v>
      </c>
      <c r="O701" s="13" t="s">
        <v>4856</v>
      </c>
      <c r="P701" s="13" t="s">
        <v>4857</v>
      </c>
      <c r="Q701" s="13" t="s">
        <v>416</v>
      </c>
      <c r="R701" s="13" t="s">
        <v>4858</v>
      </c>
      <c r="S701" s="13" t="s">
        <v>192</v>
      </c>
      <c r="T701" s="13" t="s">
        <v>146</v>
      </c>
      <c r="U701" s="13" t="s">
        <v>110</v>
      </c>
      <c r="V701" s="47">
        <f>SUMIF(Data!$E:$E,$I701,Data!$AI:$AI)</f>
        <v>0</v>
      </c>
    </row>
    <row r="702" spans="1:22" x14ac:dyDescent="0.25">
      <c r="A702" s="46" t="s">
        <v>4752</v>
      </c>
      <c r="B702" s="46" t="s">
        <v>120</v>
      </c>
      <c r="C702" s="46" t="s">
        <v>4859</v>
      </c>
      <c r="D702" s="46">
        <v>0.62607674275996195</v>
      </c>
      <c r="E702" s="47">
        <f>SUMIF(Data!$E:$E,$C702,Data!$AI:$AI)</f>
        <v>0</v>
      </c>
      <c r="I702" s="13">
        <v>11</v>
      </c>
      <c r="J702" s="13" t="s">
        <v>4860</v>
      </c>
      <c r="K702" s="13" t="s">
        <v>137</v>
      </c>
      <c r="L702" s="13" t="s">
        <v>4421</v>
      </c>
      <c r="M702" s="13" t="s">
        <v>4861</v>
      </c>
      <c r="N702" s="13">
        <v>355.11500000000001</v>
      </c>
      <c r="O702" s="13" t="s">
        <v>4862</v>
      </c>
      <c r="P702" s="13" t="s">
        <v>4863</v>
      </c>
      <c r="Q702" s="13" t="s">
        <v>190</v>
      </c>
      <c r="R702" s="13" t="s">
        <v>4864</v>
      </c>
      <c r="S702" s="13" t="s">
        <v>549</v>
      </c>
      <c r="T702" s="13" t="s">
        <v>550</v>
      </c>
      <c r="U702" s="13" t="s">
        <v>551</v>
      </c>
      <c r="V702" s="47">
        <f>SUMIF(Data!$E:$E,$I702,Data!$AI:$AI)</f>
        <v>0</v>
      </c>
    </row>
    <row r="703" spans="1:22" x14ac:dyDescent="0.25">
      <c r="A703" s="46" t="s">
        <v>4752</v>
      </c>
      <c r="B703" s="46" t="s">
        <v>120</v>
      </c>
      <c r="C703" s="46" t="s">
        <v>3157</v>
      </c>
      <c r="D703" s="46">
        <v>0.89986356290889502</v>
      </c>
      <c r="E703" s="47">
        <f>SUMIF(Data!$E:$E,$C703,Data!$AI:$AI)</f>
        <v>0</v>
      </c>
      <c r="I703" s="13" t="s">
        <v>4865</v>
      </c>
      <c r="J703" s="13" t="s">
        <v>4866</v>
      </c>
      <c r="K703" s="13" t="s">
        <v>137</v>
      </c>
      <c r="L703" s="13" t="s">
        <v>4421</v>
      </c>
      <c r="M703" s="13" t="s">
        <v>1383</v>
      </c>
      <c r="N703" s="13">
        <v>68.132999999999996</v>
      </c>
      <c r="O703" s="13" t="s">
        <v>4867</v>
      </c>
      <c r="P703" s="13" t="s">
        <v>4868</v>
      </c>
      <c r="Q703" s="13" t="s">
        <v>190</v>
      </c>
      <c r="R703" s="13" t="s">
        <v>4869</v>
      </c>
      <c r="S703" s="13" t="s">
        <v>725</v>
      </c>
      <c r="T703" s="13" t="s">
        <v>726</v>
      </c>
      <c r="U703" s="13" t="s">
        <v>727</v>
      </c>
      <c r="V703" s="47">
        <f>SUMIF(Data!$E:$E,$I703,Data!$AI:$AI)</f>
        <v>0</v>
      </c>
    </row>
    <row r="704" spans="1:22" x14ac:dyDescent="0.25">
      <c r="A704" s="46" t="s">
        <v>4752</v>
      </c>
      <c r="B704" s="46" t="s">
        <v>120</v>
      </c>
      <c r="C704" s="46" t="s">
        <v>4870</v>
      </c>
      <c r="D704" s="46">
        <v>1.72756039217831</v>
      </c>
      <c r="E704" s="47">
        <f>SUMIF(Data!$E:$E,$C704,Data!$AI:$AI)</f>
        <v>0</v>
      </c>
      <c r="I704" s="13">
        <v>6</v>
      </c>
      <c r="J704" s="13" t="s">
        <v>4871</v>
      </c>
      <c r="K704" s="13" t="s">
        <v>137</v>
      </c>
      <c r="L704" s="13" t="s">
        <v>4421</v>
      </c>
      <c r="M704" s="13" t="s">
        <v>4872</v>
      </c>
      <c r="N704" s="13" t="s">
        <v>4873</v>
      </c>
      <c r="O704" s="13" t="s">
        <v>4874</v>
      </c>
      <c r="P704" s="13" t="s">
        <v>4875</v>
      </c>
      <c r="Q704" s="13" t="s">
        <v>694</v>
      </c>
      <c r="R704" s="13" t="s">
        <v>4876</v>
      </c>
      <c r="S704" s="13" t="s">
        <v>549</v>
      </c>
      <c r="T704" s="13" t="s">
        <v>550</v>
      </c>
      <c r="U704" s="13" t="s">
        <v>551</v>
      </c>
      <c r="V704" s="47">
        <f>SUMIF(Data!$E:$E,$I704,Data!$AI:$AI)</f>
        <v>0</v>
      </c>
    </row>
    <row r="705" spans="1:22" x14ac:dyDescent="0.25">
      <c r="A705" s="46" t="s">
        <v>4752</v>
      </c>
      <c r="B705" s="46" t="s">
        <v>120</v>
      </c>
      <c r="C705" s="46" t="s">
        <v>4877</v>
      </c>
      <c r="D705" s="46">
        <v>0.81439383094113604</v>
      </c>
      <c r="E705" s="47">
        <f>SUMIF(Data!$E:$E,$C705,Data!$AI:$AI)</f>
        <v>0</v>
      </c>
      <c r="I705" s="13" t="s">
        <v>4878</v>
      </c>
      <c r="J705" s="13" t="s">
        <v>4879</v>
      </c>
      <c r="K705" s="13" t="s">
        <v>137</v>
      </c>
      <c r="L705" s="13" t="s">
        <v>4421</v>
      </c>
      <c r="M705" s="13" t="s">
        <v>4880</v>
      </c>
      <c r="N705" s="13">
        <v>33.604999999999997</v>
      </c>
      <c r="O705" s="13" t="s">
        <v>4881</v>
      </c>
      <c r="P705" s="13" t="s">
        <v>4882</v>
      </c>
      <c r="Q705" s="13" t="s">
        <v>143</v>
      </c>
      <c r="R705" s="13" t="s">
        <v>4883</v>
      </c>
      <c r="S705" s="13" t="s">
        <v>192</v>
      </c>
      <c r="T705" s="13" t="s">
        <v>146</v>
      </c>
      <c r="U705" s="13" t="s">
        <v>110</v>
      </c>
      <c r="V705" s="47">
        <f>SUMIF(Data!$E:$E,$I705,Data!$AI:$AI)</f>
        <v>0</v>
      </c>
    </row>
    <row r="706" spans="1:22" x14ac:dyDescent="0.25">
      <c r="A706" s="46" t="s">
        <v>4752</v>
      </c>
      <c r="B706" s="46" t="s">
        <v>120</v>
      </c>
      <c r="C706" s="46" t="s">
        <v>517</v>
      </c>
      <c r="D706" s="46">
        <v>0.80477134468328104</v>
      </c>
      <c r="E706" s="47">
        <f>SUMIF(Data!$E:$E,$C706,Data!$AI:$AI)</f>
        <v>0</v>
      </c>
      <c r="I706" s="13" t="s">
        <v>4884</v>
      </c>
      <c r="J706" s="13" t="s">
        <v>4885</v>
      </c>
      <c r="K706" s="13" t="s">
        <v>137</v>
      </c>
      <c r="L706" s="13" t="s">
        <v>4421</v>
      </c>
      <c r="M706" s="13" t="s">
        <v>4886</v>
      </c>
      <c r="N706" s="13">
        <v>69.156000000000006</v>
      </c>
      <c r="O706" s="13" t="s">
        <v>4887</v>
      </c>
      <c r="P706" s="13" t="s">
        <v>4888</v>
      </c>
      <c r="Q706" s="13" t="s">
        <v>806</v>
      </c>
      <c r="R706" s="13" t="s">
        <v>4889</v>
      </c>
      <c r="S706" s="13" t="s">
        <v>192</v>
      </c>
      <c r="T706" s="13" t="s">
        <v>146</v>
      </c>
      <c r="U706" s="13" t="s">
        <v>110</v>
      </c>
      <c r="V706" s="47">
        <f>SUMIF(Data!$E:$E,$I706,Data!$AI:$AI)</f>
        <v>0</v>
      </c>
    </row>
    <row r="707" spans="1:22" x14ac:dyDescent="0.25">
      <c r="A707" s="46" t="s">
        <v>4752</v>
      </c>
      <c r="B707" s="46" t="s">
        <v>120</v>
      </c>
      <c r="C707" s="46" t="s">
        <v>4890</v>
      </c>
      <c r="D707" s="46">
        <v>3.6661204455454599</v>
      </c>
      <c r="E707" s="47">
        <f>SUMIF(Data!$E:$E,$C707,Data!$AI:$AI)</f>
        <v>0</v>
      </c>
      <c r="I707" s="13" t="s">
        <v>4891</v>
      </c>
      <c r="J707" s="13" t="s">
        <v>4892</v>
      </c>
      <c r="K707" s="13" t="s">
        <v>137</v>
      </c>
      <c r="L707" s="13" t="s">
        <v>4421</v>
      </c>
      <c r="M707" s="13" t="s">
        <v>4893</v>
      </c>
      <c r="N707" s="13">
        <v>60.201999999999998</v>
      </c>
      <c r="O707" s="13" t="s">
        <v>4894</v>
      </c>
      <c r="P707" s="13" t="s">
        <v>4895</v>
      </c>
      <c r="Q707" s="13" t="s">
        <v>143</v>
      </c>
      <c r="R707" s="13" t="s">
        <v>4896</v>
      </c>
      <c r="S707" s="13" t="s">
        <v>523</v>
      </c>
      <c r="T707" s="13" t="s">
        <v>524</v>
      </c>
      <c r="U707" s="13" t="s">
        <v>525</v>
      </c>
      <c r="V707" s="47">
        <f>SUMIF(Data!$E:$E,$I707,Data!$AI:$AI)</f>
        <v>0</v>
      </c>
    </row>
    <row r="708" spans="1:22" x14ac:dyDescent="0.25">
      <c r="A708" s="46" t="s">
        <v>4752</v>
      </c>
      <c r="B708" s="46" t="s">
        <v>120</v>
      </c>
      <c r="C708" s="46" t="s">
        <v>4897</v>
      </c>
      <c r="D708" s="46">
        <v>1.4747568946879901</v>
      </c>
      <c r="E708" s="47">
        <f>SUMIF(Data!$E:$E,$C708,Data!$AI:$AI)</f>
        <v>0</v>
      </c>
      <c r="I708" s="13" t="s">
        <v>4898</v>
      </c>
      <c r="J708" s="13" t="s">
        <v>4899</v>
      </c>
      <c r="K708" s="13" t="s">
        <v>137</v>
      </c>
      <c r="L708" s="13" t="s">
        <v>4421</v>
      </c>
      <c r="M708" s="13" t="s">
        <v>4900</v>
      </c>
      <c r="N708" s="13">
        <v>61.344000000000001</v>
      </c>
      <c r="O708" s="13" t="s">
        <v>4901</v>
      </c>
      <c r="P708" s="13" t="s">
        <v>4902</v>
      </c>
      <c r="Q708" s="13" t="s">
        <v>208</v>
      </c>
      <c r="R708" s="13" t="s">
        <v>4903</v>
      </c>
      <c r="S708" s="13" t="s">
        <v>768</v>
      </c>
      <c r="T708" s="13" t="s">
        <v>769</v>
      </c>
      <c r="U708" s="13" t="s">
        <v>770</v>
      </c>
      <c r="V708" s="47">
        <f>SUMIF(Data!$E:$E,$I708,Data!$AI:$AI)</f>
        <v>0</v>
      </c>
    </row>
    <row r="709" spans="1:22" x14ac:dyDescent="0.25">
      <c r="A709" s="46" t="s">
        <v>4752</v>
      </c>
      <c r="B709" s="46" t="s">
        <v>120</v>
      </c>
      <c r="C709" s="46" t="s">
        <v>4904</v>
      </c>
      <c r="D709" s="46">
        <v>2.1797253530086902</v>
      </c>
      <c r="E709" s="47">
        <f>SUMIF(Data!$E:$E,$C709,Data!$AI:$AI)</f>
        <v>0</v>
      </c>
      <c r="I709" s="13" t="s">
        <v>4905</v>
      </c>
      <c r="J709" s="13" t="s">
        <v>4906</v>
      </c>
      <c r="K709" s="13" t="s">
        <v>137</v>
      </c>
      <c r="L709" s="13" t="s">
        <v>4421</v>
      </c>
      <c r="M709" s="13" t="s">
        <v>4748</v>
      </c>
      <c r="N709" s="13">
        <v>64.712000000000003</v>
      </c>
      <c r="O709" s="13" t="s">
        <v>4907</v>
      </c>
      <c r="P709" s="13" t="s">
        <v>4908</v>
      </c>
      <c r="Q709" s="13" t="s">
        <v>162</v>
      </c>
      <c r="R709" s="13" t="s">
        <v>4909</v>
      </c>
      <c r="S709" s="13" t="s">
        <v>192</v>
      </c>
      <c r="T709" s="13" t="s">
        <v>146</v>
      </c>
      <c r="U709" s="13" t="s">
        <v>110</v>
      </c>
      <c r="V709" s="47">
        <f>SUMIF(Data!$E:$E,$I709,Data!$AI:$AI)</f>
        <v>0</v>
      </c>
    </row>
    <row r="710" spans="1:22" x14ac:dyDescent="0.25">
      <c r="A710" s="46" t="s">
        <v>4752</v>
      </c>
      <c r="B710" s="46" t="s">
        <v>120</v>
      </c>
      <c r="C710" s="46" t="s">
        <v>4481</v>
      </c>
      <c r="D710" s="46">
        <v>4.9225342303140902</v>
      </c>
      <c r="E710" s="47">
        <f>SUMIF(Data!$E:$E,$C710,Data!$AI:$AI)</f>
        <v>0</v>
      </c>
      <c r="I710" s="13" t="s">
        <v>4910</v>
      </c>
      <c r="J710" s="13" t="s">
        <v>4911</v>
      </c>
      <c r="K710" s="13" t="s">
        <v>137</v>
      </c>
      <c r="L710" s="13" t="s">
        <v>4421</v>
      </c>
      <c r="M710" s="13" t="s">
        <v>4912</v>
      </c>
      <c r="N710" s="13">
        <v>141.56</v>
      </c>
      <c r="O710" s="13" t="s">
        <v>4913</v>
      </c>
      <c r="P710" s="13" t="s">
        <v>4914</v>
      </c>
      <c r="Q710" s="13" t="s">
        <v>416</v>
      </c>
      <c r="R710" s="13" t="s">
        <v>4915</v>
      </c>
      <c r="S710" s="13" t="s">
        <v>560</v>
      </c>
      <c r="T710" s="13" t="s">
        <v>561</v>
      </c>
      <c r="U710" s="13" t="s">
        <v>525</v>
      </c>
      <c r="V710" s="47">
        <f>SUMIF(Data!$E:$E,$I710,Data!$AI:$AI)</f>
        <v>0</v>
      </c>
    </row>
    <row r="711" spans="1:22" x14ac:dyDescent="0.25">
      <c r="A711" s="46" t="s">
        <v>4752</v>
      </c>
      <c r="B711" s="46" t="s">
        <v>120</v>
      </c>
      <c r="C711" s="46" t="s">
        <v>4916</v>
      </c>
      <c r="D711" s="46">
        <v>0.58414214117196805</v>
      </c>
      <c r="E711" s="47">
        <f>SUMIF(Data!$E:$E,$C711,Data!$AI:$AI)</f>
        <v>0</v>
      </c>
      <c r="I711" s="13" t="s">
        <v>4917</v>
      </c>
      <c r="J711" s="13" t="s">
        <v>4918</v>
      </c>
      <c r="K711" s="13" t="s">
        <v>137</v>
      </c>
      <c r="L711" s="13" t="s">
        <v>4421</v>
      </c>
      <c r="M711" s="13" t="s">
        <v>4919</v>
      </c>
      <c r="N711" s="13">
        <v>51.82</v>
      </c>
      <c r="O711" s="13" t="s">
        <v>4920</v>
      </c>
      <c r="P711" s="13" t="s">
        <v>4921</v>
      </c>
      <c r="Q711" s="13" t="s">
        <v>162</v>
      </c>
      <c r="R711" s="13" t="s">
        <v>4922</v>
      </c>
      <c r="S711" s="13" t="s">
        <v>145</v>
      </c>
      <c r="T711" s="13" t="s">
        <v>146</v>
      </c>
      <c r="U711" s="13" t="s">
        <v>110</v>
      </c>
      <c r="V711" s="47">
        <f>SUMIF(Data!$E:$E,$I711,Data!$AI:$AI)</f>
        <v>0</v>
      </c>
    </row>
    <row r="712" spans="1:22" x14ac:dyDescent="0.25">
      <c r="A712" s="46" t="s">
        <v>4752</v>
      </c>
      <c r="B712" s="46" t="s">
        <v>120</v>
      </c>
      <c r="C712" s="46" t="s">
        <v>4923</v>
      </c>
      <c r="D712" s="46">
        <v>0.72543802379524402</v>
      </c>
      <c r="E712" s="47">
        <f>SUMIF(Data!$E:$E,$C712,Data!$AI:$AI)</f>
        <v>0</v>
      </c>
      <c r="I712" s="13">
        <v>6178</v>
      </c>
      <c r="J712" s="13" t="s">
        <v>4924</v>
      </c>
      <c r="K712" s="13" t="s">
        <v>137</v>
      </c>
      <c r="L712" s="13" t="s">
        <v>4421</v>
      </c>
      <c r="M712" s="13" t="s">
        <v>4925</v>
      </c>
      <c r="N712" s="13">
        <v>794.8</v>
      </c>
      <c r="O712" s="13" t="s">
        <v>4926</v>
      </c>
      <c r="P712" s="13" t="s">
        <v>4927</v>
      </c>
      <c r="Q712" s="13" t="s">
        <v>190</v>
      </c>
      <c r="R712" s="13" t="s">
        <v>4928</v>
      </c>
      <c r="S712" s="13" t="s">
        <v>441</v>
      </c>
      <c r="T712" s="13" t="s">
        <v>442</v>
      </c>
      <c r="U712" s="13" t="s">
        <v>443</v>
      </c>
      <c r="V712" s="47">
        <f>SUMIF(Data!$E:$E,$I712,Data!$AI:$AI)</f>
        <v>0</v>
      </c>
    </row>
    <row r="713" spans="1:22" x14ac:dyDescent="0.25">
      <c r="A713" s="46" t="s">
        <v>4752</v>
      </c>
      <c r="B713" s="46" t="s">
        <v>120</v>
      </c>
      <c r="C713" s="46" t="s">
        <v>3898</v>
      </c>
      <c r="D713" s="46">
        <v>0.62040441526614598</v>
      </c>
      <c r="E713" s="47">
        <f>SUMIF(Data!$E:$E,$C713,Data!$AI:$AI)</f>
        <v>0</v>
      </c>
      <c r="I713" s="13" t="s">
        <v>4929</v>
      </c>
      <c r="J713" s="13" t="s">
        <v>4930</v>
      </c>
      <c r="K713" s="13" t="s">
        <v>137</v>
      </c>
      <c r="L713" s="13" t="s">
        <v>4421</v>
      </c>
      <c r="M713" s="13" t="s">
        <v>4931</v>
      </c>
      <c r="N713" s="13">
        <v>55.954999999999998</v>
      </c>
      <c r="O713" s="13" t="s">
        <v>4932</v>
      </c>
      <c r="P713" s="13" t="s">
        <v>4933</v>
      </c>
      <c r="Q713" s="13" t="s">
        <v>162</v>
      </c>
      <c r="R713" s="13" t="s">
        <v>4934</v>
      </c>
      <c r="S713" s="13" t="s">
        <v>523</v>
      </c>
      <c r="T713" s="13" t="s">
        <v>524</v>
      </c>
      <c r="U713" s="13" t="s">
        <v>525</v>
      </c>
      <c r="V713" s="47">
        <f>SUMIF(Data!$E:$E,$I713,Data!$AI:$AI)</f>
        <v>0</v>
      </c>
    </row>
    <row r="714" spans="1:22" x14ac:dyDescent="0.25">
      <c r="A714" s="46" t="s">
        <v>4752</v>
      </c>
      <c r="B714" s="46" t="s">
        <v>120</v>
      </c>
      <c r="C714" s="46" t="s">
        <v>4935</v>
      </c>
      <c r="D714" s="46">
        <v>0.82691395440027604</v>
      </c>
      <c r="E714" s="47">
        <f>SUMIF(Data!$E:$E,$C714,Data!$AI:$AI)</f>
        <v>0</v>
      </c>
      <c r="I714" s="13" t="s">
        <v>4936</v>
      </c>
      <c r="J714" s="13" t="s">
        <v>4937</v>
      </c>
      <c r="K714" s="13" t="s">
        <v>137</v>
      </c>
      <c r="L714" s="13" t="s">
        <v>4421</v>
      </c>
      <c r="M714" s="13" t="s">
        <v>4938</v>
      </c>
      <c r="N714" s="13">
        <v>265.90100000000001</v>
      </c>
      <c r="O714" s="13" t="s">
        <v>4939</v>
      </c>
      <c r="P714" s="13" t="s">
        <v>4940</v>
      </c>
      <c r="Q714" s="13" t="s">
        <v>734</v>
      </c>
      <c r="R714" s="13" t="s">
        <v>4941</v>
      </c>
      <c r="S714" s="13" t="s">
        <v>725</v>
      </c>
      <c r="T714" s="13" t="s">
        <v>726</v>
      </c>
      <c r="U714" s="13" t="s">
        <v>727</v>
      </c>
      <c r="V714" s="47">
        <f>SUMIF(Data!$E:$E,$I714,Data!$AI:$AI)</f>
        <v>0</v>
      </c>
    </row>
    <row r="715" spans="1:22" x14ac:dyDescent="0.25">
      <c r="A715" s="46" t="s">
        <v>4752</v>
      </c>
      <c r="B715" s="46" t="s">
        <v>120</v>
      </c>
      <c r="C715" s="46" t="s">
        <v>1939</v>
      </c>
      <c r="D715" s="46">
        <v>9.4877538421063292</v>
      </c>
      <c r="E715" s="47">
        <f>SUMIF(Data!$E:$E,$C715,Data!$AI:$AI)</f>
        <v>0</v>
      </c>
      <c r="I715" s="13" t="s">
        <v>4942</v>
      </c>
      <c r="J715" s="13" t="s">
        <v>4943</v>
      </c>
      <c r="K715" s="13" t="s">
        <v>137</v>
      </c>
      <c r="L715" s="13" t="s">
        <v>4421</v>
      </c>
      <c r="M715" s="13" t="s">
        <v>4944</v>
      </c>
      <c r="N715" s="13">
        <v>27.616</v>
      </c>
      <c r="O715" s="13" t="s">
        <v>4945</v>
      </c>
      <c r="P715" s="13" t="s">
        <v>4946</v>
      </c>
      <c r="Q715" s="13" t="s">
        <v>162</v>
      </c>
      <c r="R715" s="13" t="s">
        <v>4947</v>
      </c>
      <c r="S715" s="13" t="s">
        <v>145</v>
      </c>
      <c r="T715" s="13" t="s">
        <v>146</v>
      </c>
      <c r="U715" s="13" t="s">
        <v>110</v>
      </c>
      <c r="V715" s="47">
        <f>SUMIF(Data!$E:$E,$I715,Data!$AI:$AI)</f>
        <v>0</v>
      </c>
    </row>
    <row r="716" spans="1:22" x14ac:dyDescent="0.25">
      <c r="A716" s="46" t="s">
        <v>4752</v>
      </c>
      <c r="B716" s="46" t="s">
        <v>120</v>
      </c>
      <c r="C716" s="46" t="s">
        <v>4948</v>
      </c>
      <c r="D716" s="46">
        <v>2.8253882469545601</v>
      </c>
      <c r="E716" s="47">
        <f>SUMIF(Data!$E:$E,$C716,Data!$AI:$AI)</f>
        <v>0</v>
      </c>
      <c r="I716" s="13" t="s">
        <v>4949</v>
      </c>
      <c r="J716" s="13" t="s">
        <v>4950</v>
      </c>
      <c r="K716" s="13" t="s">
        <v>137</v>
      </c>
      <c r="L716" s="13" t="s">
        <v>4421</v>
      </c>
      <c r="M716" s="13" t="s">
        <v>4951</v>
      </c>
      <c r="N716" s="13">
        <v>92.275999999999996</v>
      </c>
      <c r="O716" s="13" t="s">
        <v>4952</v>
      </c>
      <c r="P716" s="13" t="s">
        <v>4953</v>
      </c>
      <c r="Q716" s="13" t="s">
        <v>416</v>
      </c>
      <c r="R716" s="13" t="s">
        <v>4954</v>
      </c>
      <c r="S716" s="13" t="s">
        <v>192</v>
      </c>
      <c r="T716" s="13" t="s">
        <v>146</v>
      </c>
      <c r="U716" s="13" t="s">
        <v>110</v>
      </c>
      <c r="V716" s="47">
        <f>SUMIF(Data!$E:$E,$I716,Data!$AI:$AI)</f>
        <v>0</v>
      </c>
    </row>
    <row r="717" spans="1:22" x14ac:dyDescent="0.25">
      <c r="A717" s="46" t="s">
        <v>4752</v>
      </c>
      <c r="B717" s="46" t="s">
        <v>120</v>
      </c>
      <c r="C717" s="46" t="s">
        <v>1466</v>
      </c>
      <c r="D717" s="46">
        <v>1.2663725953693199</v>
      </c>
      <c r="E717" s="47">
        <f>SUMIF(Data!$E:$E,$C717,Data!$AI:$AI)</f>
        <v>0</v>
      </c>
      <c r="I717" s="13" t="s">
        <v>4955</v>
      </c>
      <c r="J717" s="13" t="s">
        <v>4956</v>
      </c>
      <c r="K717" s="13" t="s">
        <v>137</v>
      </c>
      <c r="L717" s="13" t="s">
        <v>4421</v>
      </c>
      <c r="M717" s="13" t="s">
        <v>4957</v>
      </c>
      <c r="N717" s="13">
        <v>31.942</v>
      </c>
      <c r="O717" s="13" t="s">
        <v>4958</v>
      </c>
      <c r="P717" s="13" t="s">
        <v>4959</v>
      </c>
      <c r="Q717" s="13" t="s">
        <v>208</v>
      </c>
      <c r="R717" s="13" t="s">
        <v>4960</v>
      </c>
      <c r="S717" s="13" t="s">
        <v>192</v>
      </c>
      <c r="T717" s="13" t="s">
        <v>146</v>
      </c>
      <c r="U717" s="13" t="s">
        <v>110</v>
      </c>
      <c r="V717" s="47">
        <f>SUMIF(Data!$E:$E,$I717,Data!$AI:$AI)</f>
        <v>0</v>
      </c>
    </row>
    <row r="718" spans="1:22" x14ac:dyDescent="0.25">
      <c r="A718" s="46" t="s">
        <v>4752</v>
      </c>
      <c r="B718" s="46" t="s">
        <v>120</v>
      </c>
      <c r="C718" s="46" t="s">
        <v>4961</v>
      </c>
      <c r="D718" s="46">
        <v>0.68584277606434596</v>
      </c>
      <c r="E718" s="47">
        <f>SUMIF(Data!$E:$E,$C718,Data!$AI:$AI)</f>
        <v>0</v>
      </c>
      <c r="I718" s="13" t="s">
        <v>4962</v>
      </c>
      <c r="J718" s="13" t="s">
        <v>4963</v>
      </c>
      <c r="K718" s="13" t="s">
        <v>137</v>
      </c>
      <c r="L718" s="13" t="s">
        <v>4421</v>
      </c>
      <c r="M718" s="13" t="s">
        <v>4964</v>
      </c>
      <c r="N718" s="13">
        <v>58.465000000000003</v>
      </c>
      <c r="O718" s="13" t="s">
        <v>4965</v>
      </c>
      <c r="P718" s="13" t="s">
        <v>4966</v>
      </c>
      <c r="Q718" s="13" t="s">
        <v>734</v>
      </c>
      <c r="R718" s="13" t="s">
        <v>4967</v>
      </c>
      <c r="S718" s="13" t="s">
        <v>192</v>
      </c>
      <c r="T718" s="13" t="s">
        <v>146</v>
      </c>
      <c r="U718" s="13" t="s">
        <v>110</v>
      </c>
      <c r="V718" s="47">
        <f>SUMIF(Data!$E:$E,$I718,Data!$AI:$AI)</f>
        <v>0</v>
      </c>
    </row>
    <row r="719" spans="1:22" x14ac:dyDescent="0.25">
      <c r="A719" s="46" t="s">
        <v>4752</v>
      </c>
      <c r="B719" s="46" t="s">
        <v>120</v>
      </c>
      <c r="C719" s="46" t="s">
        <v>4968</v>
      </c>
      <c r="D719" s="46">
        <v>0.58967230468356202</v>
      </c>
      <c r="E719" s="47">
        <f>SUMIF(Data!$E:$E,$C719,Data!$AI:$AI)</f>
        <v>0</v>
      </c>
      <c r="I719" s="13" t="s">
        <v>4969</v>
      </c>
      <c r="J719" s="13" t="s">
        <v>4970</v>
      </c>
      <c r="K719" s="13" t="s">
        <v>137</v>
      </c>
      <c r="L719" s="13" t="s">
        <v>4421</v>
      </c>
      <c r="M719" s="13" t="s">
        <v>4971</v>
      </c>
      <c r="N719" s="13">
        <v>123.9</v>
      </c>
      <c r="O719" s="13" t="s">
        <v>4972</v>
      </c>
      <c r="P719" s="13" t="s">
        <v>4973</v>
      </c>
      <c r="Q719" s="13" t="s">
        <v>734</v>
      </c>
      <c r="R719" s="13" t="s">
        <v>4974</v>
      </c>
      <c r="S719" s="13" t="s">
        <v>725</v>
      </c>
      <c r="T719" s="13" t="s">
        <v>726</v>
      </c>
      <c r="U719" s="13" t="s">
        <v>727</v>
      </c>
      <c r="V719" s="47">
        <f>SUMIF(Data!$E:$E,$I719,Data!$AI:$AI)</f>
        <v>0</v>
      </c>
    </row>
    <row r="720" spans="1:22" x14ac:dyDescent="0.25">
      <c r="A720" s="46" t="s">
        <v>4752</v>
      </c>
      <c r="B720" s="46" t="s">
        <v>120</v>
      </c>
      <c r="C720" s="46" t="s">
        <v>4975</v>
      </c>
      <c r="D720" s="46">
        <v>0.68061184552435705</v>
      </c>
      <c r="E720" s="47">
        <f>SUMIF(Data!$E:$E,$C720,Data!$AI:$AI)</f>
        <v>0</v>
      </c>
      <c r="I720" s="13">
        <v>8113</v>
      </c>
      <c r="J720" s="13" t="s">
        <v>4976</v>
      </c>
      <c r="K720" s="13" t="s">
        <v>137</v>
      </c>
      <c r="L720" s="13" t="s">
        <v>4421</v>
      </c>
      <c r="M720" s="13" t="s">
        <v>4977</v>
      </c>
      <c r="N720" s="13">
        <v>213.9</v>
      </c>
      <c r="O720" s="13" t="s">
        <v>4978</v>
      </c>
      <c r="P720" s="13" t="s">
        <v>4979</v>
      </c>
      <c r="Q720" s="13" t="s">
        <v>224</v>
      </c>
      <c r="R720" s="13" t="s">
        <v>4980</v>
      </c>
      <c r="S720" s="13" t="s">
        <v>441</v>
      </c>
      <c r="T720" s="13" t="s">
        <v>442</v>
      </c>
      <c r="U720" s="13" t="s">
        <v>443</v>
      </c>
      <c r="V720" s="47">
        <f>SUMIF(Data!$E:$E,$I720,Data!$AI:$AI)</f>
        <v>0</v>
      </c>
    </row>
    <row r="721" spans="1:22" x14ac:dyDescent="0.25">
      <c r="A721" s="46" t="s">
        <v>4752</v>
      </c>
      <c r="B721" s="46" t="s">
        <v>120</v>
      </c>
      <c r="C721" s="46" t="s">
        <v>4981</v>
      </c>
      <c r="D721" s="46">
        <v>1.0218297570319499</v>
      </c>
      <c r="E721" s="47">
        <f>SUMIF(Data!$E:$E,$C721,Data!$AI:$AI)</f>
        <v>0</v>
      </c>
      <c r="I721" s="13" t="s">
        <v>4982</v>
      </c>
      <c r="J721" s="13" t="s">
        <v>4983</v>
      </c>
      <c r="K721" s="13" t="s">
        <v>137</v>
      </c>
      <c r="L721" s="13" t="s">
        <v>4421</v>
      </c>
      <c r="M721" s="13" t="s">
        <v>4984</v>
      </c>
      <c r="N721" s="13">
        <v>49.966999999999999</v>
      </c>
      <c r="O721" s="13" t="s">
        <v>4985</v>
      </c>
      <c r="P721" s="13" t="s">
        <v>4986</v>
      </c>
      <c r="Q721" s="13" t="s">
        <v>208</v>
      </c>
      <c r="R721" s="13" t="s">
        <v>4987</v>
      </c>
      <c r="S721" s="13" t="s">
        <v>192</v>
      </c>
      <c r="T721" s="13" t="s">
        <v>146</v>
      </c>
      <c r="U721" s="13" t="s">
        <v>110</v>
      </c>
      <c r="V721" s="47">
        <f>SUMIF(Data!$E:$E,$I721,Data!$AI:$AI)</f>
        <v>0</v>
      </c>
    </row>
    <row r="722" spans="1:22" x14ac:dyDescent="0.25">
      <c r="A722" s="46" t="s">
        <v>4752</v>
      </c>
      <c r="B722" s="46" t="s">
        <v>120</v>
      </c>
      <c r="C722" s="46" t="s">
        <v>4988</v>
      </c>
      <c r="D722" s="46">
        <v>0.58521174013050603</v>
      </c>
      <c r="E722" s="47">
        <f>SUMIF(Data!$E:$E,$C722,Data!$AI:$AI)</f>
        <v>0</v>
      </c>
      <c r="I722" s="13" t="s">
        <v>4989</v>
      </c>
      <c r="J722" s="13" t="s">
        <v>4990</v>
      </c>
      <c r="K722" s="13" t="s">
        <v>137</v>
      </c>
      <c r="L722" s="13" t="s">
        <v>4421</v>
      </c>
      <c r="M722" s="13" t="s">
        <v>4991</v>
      </c>
      <c r="N722" s="13">
        <v>168.446</v>
      </c>
      <c r="O722" s="13" t="s">
        <v>4992</v>
      </c>
      <c r="P722" s="13" t="s">
        <v>4993</v>
      </c>
      <c r="Q722" s="13" t="s">
        <v>694</v>
      </c>
      <c r="R722" s="13" t="s">
        <v>4994</v>
      </c>
      <c r="S722" s="13" t="s">
        <v>725</v>
      </c>
      <c r="T722" s="13" t="s">
        <v>726</v>
      </c>
      <c r="U722" s="13" t="s">
        <v>727</v>
      </c>
      <c r="V722" s="47">
        <f>SUMIF(Data!$E:$E,$I722,Data!$AI:$AI)</f>
        <v>0</v>
      </c>
    </row>
    <row r="723" spans="1:22" x14ac:dyDescent="0.25">
      <c r="A723" s="46" t="s">
        <v>4752</v>
      </c>
      <c r="B723" s="46" t="s">
        <v>120</v>
      </c>
      <c r="C723" s="46" t="s">
        <v>4995</v>
      </c>
      <c r="D723" s="46">
        <v>1.60583475194275</v>
      </c>
      <c r="E723" s="47">
        <f>SUMIF(Data!$E:$E,$C723,Data!$AI:$AI)</f>
        <v>0</v>
      </c>
      <c r="I723" s="13" t="s">
        <v>4996</v>
      </c>
      <c r="J723" s="13" t="s">
        <v>4997</v>
      </c>
      <c r="K723" s="13" t="s">
        <v>137</v>
      </c>
      <c r="L723" s="13" t="s">
        <v>4421</v>
      </c>
      <c r="M723" s="13" t="s">
        <v>4998</v>
      </c>
      <c r="N723" s="13">
        <v>158.58699999999999</v>
      </c>
      <c r="O723" s="13" t="s">
        <v>4999</v>
      </c>
      <c r="P723" s="13" t="s">
        <v>5000</v>
      </c>
      <c r="Q723" s="13" t="s">
        <v>806</v>
      </c>
      <c r="R723" s="13" t="s">
        <v>5001</v>
      </c>
      <c r="S723" s="13" t="s">
        <v>192</v>
      </c>
      <c r="T723" s="13" t="s">
        <v>146</v>
      </c>
      <c r="U723" s="13" t="s">
        <v>110</v>
      </c>
      <c r="V723" s="47">
        <f>SUMIF(Data!$E:$E,$I723,Data!$AI:$AI)</f>
        <v>0</v>
      </c>
    </row>
    <row r="724" spans="1:22" x14ac:dyDescent="0.25">
      <c r="A724" s="46" t="s">
        <v>4752</v>
      </c>
      <c r="B724" s="46" t="s">
        <v>120</v>
      </c>
      <c r="C724" s="46" t="s">
        <v>5002</v>
      </c>
      <c r="D724" s="46">
        <v>0.75931975497747894</v>
      </c>
      <c r="E724" s="47">
        <f>SUMIF(Data!$E:$E,$C724,Data!$AI:$AI)</f>
        <v>0</v>
      </c>
      <c r="I724" s="13" t="s">
        <v>5003</v>
      </c>
      <c r="J724" s="13" t="s">
        <v>5004</v>
      </c>
      <c r="K724" s="13" t="s">
        <v>137</v>
      </c>
      <c r="L724" s="13" t="s">
        <v>4421</v>
      </c>
      <c r="M724" s="13" t="s">
        <v>5005</v>
      </c>
      <c r="N724" s="13">
        <v>56.451999999999998</v>
      </c>
      <c r="O724" s="13" t="s">
        <v>5006</v>
      </c>
      <c r="P724" s="13" t="s">
        <v>5007</v>
      </c>
      <c r="Q724" s="13" t="s">
        <v>143</v>
      </c>
      <c r="R724" s="13" t="s">
        <v>5008</v>
      </c>
      <c r="S724" s="13" t="s">
        <v>145</v>
      </c>
      <c r="T724" s="13" t="s">
        <v>146</v>
      </c>
      <c r="U724" s="13" t="s">
        <v>110</v>
      </c>
      <c r="V724" s="47">
        <f>SUMIF(Data!$E:$E,$I724,Data!$AI:$AI)</f>
        <v>0</v>
      </c>
    </row>
    <row r="725" spans="1:22" x14ac:dyDescent="0.25">
      <c r="A725" s="46" t="s">
        <v>4752</v>
      </c>
      <c r="B725" s="46" t="s">
        <v>120</v>
      </c>
      <c r="C725" s="46" t="s">
        <v>5009</v>
      </c>
      <c r="D725" s="46">
        <v>0.61159385351012296</v>
      </c>
      <c r="E725" s="47">
        <f>SUMIF(Data!$E:$E,$C725,Data!$AI:$AI)</f>
        <v>0</v>
      </c>
      <c r="I725" s="13" t="s">
        <v>5010</v>
      </c>
      <c r="J725" s="13" t="s">
        <v>5011</v>
      </c>
      <c r="K725" s="13" t="s">
        <v>137</v>
      </c>
      <c r="L725" s="13" t="s">
        <v>4421</v>
      </c>
      <c r="M725" s="13" t="s">
        <v>5012</v>
      </c>
      <c r="N725" s="13">
        <v>29.009</v>
      </c>
      <c r="O725" s="13" t="s">
        <v>5013</v>
      </c>
      <c r="P725" s="13" t="s">
        <v>5014</v>
      </c>
      <c r="Q725" s="13" t="s">
        <v>416</v>
      </c>
      <c r="R725" s="13" t="s">
        <v>5015</v>
      </c>
      <c r="S725" s="13" t="s">
        <v>226</v>
      </c>
      <c r="T725" s="13" t="s">
        <v>227</v>
      </c>
      <c r="U725" s="13" t="s">
        <v>228</v>
      </c>
      <c r="V725" s="47">
        <f>SUMIF(Data!$E:$E,$I725,Data!$AI:$AI)</f>
        <v>0</v>
      </c>
    </row>
    <row r="726" spans="1:22" x14ac:dyDescent="0.25">
      <c r="A726" s="46" t="s">
        <v>4752</v>
      </c>
      <c r="B726" s="46" t="s">
        <v>120</v>
      </c>
      <c r="C726" s="46" t="s">
        <v>5016</v>
      </c>
      <c r="D726" s="46">
        <v>1.92712688828458</v>
      </c>
      <c r="E726" s="47">
        <f>SUMIF(Data!$E:$E,$C726,Data!$AI:$AI)</f>
        <v>0</v>
      </c>
      <c r="I726" s="13" t="s">
        <v>5017</v>
      </c>
      <c r="J726" s="13" t="s">
        <v>5018</v>
      </c>
      <c r="K726" s="13" t="s">
        <v>137</v>
      </c>
      <c r="L726" s="13" t="s">
        <v>4421</v>
      </c>
      <c r="M726" s="13" t="s">
        <v>5019</v>
      </c>
      <c r="N726" s="13">
        <v>2.7050000000000001</v>
      </c>
      <c r="O726" s="13" t="s">
        <v>5020</v>
      </c>
      <c r="P726" s="13" t="s">
        <v>5021</v>
      </c>
      <c r="Q726" s="13" t="s">
        <v>416</v>
      </c>
      <c r="R726" s="13" t="s">
        <v>5022</v>
      </c>
      <c r="S726" s="13" t="s">
        <v>226</v>
      </c>
      <c r="T726" s="13" t="s">
        <v>227</v>
      </c>
      <c r="U726" s="13" t="s">
        <v>228</v>
      </c>
      <c r="V726" s="47">
        <f>SUMIF(Data!$E:$E,$I726,Data!$AI:$AI)</f>
        <v>0</v>
      </c>
    </row>
    <row r="727" spans="1:22" x14ac:dyDescent="0.25">
      <c r="A727" s="46" t="s">
        <v>4752</v>
      </c>
      <c r="B727" s="46" t="s">
        <v>120</v>
      </c>
      <c r="C727" s="46" t="s">
        <v>5023</v>
      </c>
      <c r="D727" s="46">
        <v>1.8417796335759999</v>
      </c>
      <c r="E727" s="47">
        <f>SUMIF(Data!$E:$E,$C727,Data!$AI:$AI)</f>
        <v>0</v>
      </c>
      <c r="I727" s="13" t="s">
        <v>5024</v>
      </c>
      <c r="J727" s="13" t="s">
        <v>5025</v>
      </c>
      <c r="K727" s="13" t="s">
        <v>137</v>
      </c>
      <c r="L727" s="13" t="s">
        <v>4421</v>
      </c>
      <c r="M727" s="13" t="s">
        <v>5026</v>
      </c>
      <c r="N727" s="13">
        <v>197.99199999999999</v>
      </c>
      <c r="O727" s="13" t="s">
        <v>5027</v>
      </c>
      <c r="P727" s="13" t="s">
        <v>5028</v>
      </c>
      <c r="Q727" s="13" t="s">
        <v>172</v>
      </c>
      <c r="R727" s="13" t="s">
        <v>5029</v>
      </c>
      <c r="S727" s="13" t="s">
        <v>145</v>
      </c>
      <c r="T727" s="13" t="s">
        <v>146</v>
      </c>
      <c r="U727" s="13" t="s">
        <v>110</v>
      </c>
      <c r="V727" s="47">
        <f>SUMIF(Data!$E:$E,$I727,Data!$AI:$AI)</f>
        <v>0</v>
      </c>
    </row>
    <row r="728" spans="1:22" x14ac:dyDescent="0.25">
      <c r="A728" s="46" t="s">
        <v>5030</v>
      </c>
      <c r="B728" s="46" t="s">
        <v>120</v>
      </c>
      <c r="C728" s="46" t="s">
        <v>4461</v>
      </c>
      <c r="D728" s="46">
        <v>1.0843416638278001</v>
      </c>
      <c r="E728" s="47">
        <f>SUMIF(Data!$E:$E,$C728,Data!$AI:$AI)</f>
        <v>0</v>
      </c>
      <c r="I728" s="13" t="s">
        <v>5031</v>
      </c>
      <c r="J728" s="13" t="s">
        <v>5032</v>
      </c>
      <c r="K728" s="13" t="s">
        <v>137</v>
      </c>
      <c r="L728" s="13" t="s">
        <v>4421</v>
      </c>
      <c r="M728" s="13" t="s">
        <v>5033</v>
      </c>
      <c r="N728" s="13">
        <v>29.486000000000001</v>
      </c>
      <c r="O728" s="13" t="s">
        <v>5034</v>
      </c>
      <c r="P728" s="13" t="s">
        <v>5035</v>
      </c>
      <c r="Q728" s="13" t="s">
        <v>416</v>
      </c>
      <c r="R728" s="13" t="s">
        <v>5036</v>
      </c>
      <c r="S728" s="13" t="s">
        <v>560</v>
      </c>
      <c r="T728" s="13" t="s">
        <v>561</v>
      </c>
      <c r="U728" s="13" t="s">
        <v>525</v>
      </c>
      <c r="V728" s="47">
        <f>SUMIF(Data!$E:$E,$I728,Data!$AI:$AI)</f>
        <v>0</v>
      </c>
    </row>
    <row r="729" spans="1:22" x14ac:dyDescent="0.25">
      <c r="A729" s="46" t="s">
        <v>5030</v>
      </c>
      <c r="B729" s="46" t="s">
        <v>120</v>
      </c>
      <c r="C729" s="46" t="s">
        <v>4489</v>
      </c>
      <c r="D729" s="46">
        <v>6.0215772034873396</v>
      </c>
      <c r="E729" s="47">
        <f>SUMIF(Data!$E:$E,$C729,Data!$AI:$AI)</f>
        <v>0</v>
      </c>
      <c r="I729" s="13" t="s">
        <v>5037</v>
      </c>
      <c r="J729" s="13" t="s">
        <v>5038</v>
      </c>
      <c r="K729" s="13" t="s">
        <v>137</v>
      </c>
      <c r="L729" s="13" t="s">
        <v>4421</v>
      </c>
      <c r="M729" s="13" t="s">
        <v>5039</v>
      </c>
      <c r="N729" s="13">
        <v>208.07499999999999</v>
      </c>
      <c r="O729" s="13" t="s">
        <v>5040</v>
      </c>
      <c r="P729" s="13" t="s">
        <v>5041</v>
      </c>
      <c r="Q729" s="13" t="s">
        <v>806</v>
      </c>
      <c r="R729" s="13" t="s">
        <v>5042</v>
      </c>
      <c r="S729" s="13" t="s">
        <v>192</v>
      </c>
      <c r="T729" s="13" t="s">
        <v>146</v>
      </c>
      <c r="U729" s="13" t="s">
        <v>110</v>
      </c>
      <c r="V729" s="47">
        <f>SUMIF(Data!$E:$E,$I729,Data!$AI:$AI)</f>
        <v>0</v>
      </c>
    </row>
    <row r="730" spans="1:22" x14ac:dyDescent="0.25">
      <c r="A730" s="46" t="s">
        <v>5030</v>
      </c>
      <c r="B730" s="46" t="s">
        <v>120</v>
      </c>
      <c r="C730" s="46" t="s">
        <v>4582</v>
      </c>
      <c r="D730" s="46">
        <v>1.31341789695483</v>
      </c>
      <c r="E730" s="47">
        <f>SUMIF(Data!$E:$E,$C730,Data!$AI:$AI)</f>
        <v>0</v>
      </c>
      <c r="I730" s="13">
        <v>6506</v>
      </c>
      <c r="J730" s="13" t="s">
        <v>5043</v>
      </c>
      <c r="K730" s="13" t="s">
        <v>137</v>
      </c>
      <c r="L730" s="13" t="s">
        <v>4421</v>
      </c>
      <c r="M730" s="13" t="s">
        <v>5044</v>
      </c>
      <c r="N730" s="13">
        <v>180.2</v>
      </c>
      <c r="O730" s="13" t="s">
        <v>5045</v>
      </c>
      <c r="P730" s="13" t="s">
        <v>5046</v>
      </c>
      <c r="Q730" s="13" t="s">
        <v>416</v>
      </c>
      <c r="R730" s="13" t="s">
        <v>5047</v>
      </c>
      <c r="S730" s="13" t="s">
        <v>441</v>
      </c>
      <c r="T730" s="13" t="s">
        <v>442</v>
      </c>
      <c r="U730" s="13" t="s">
        <v>443</v>
      </c>
      <c r="V730" s="47">
        <f>SUMIF(Data!$E:$E,$I730,Data!$AI:$AI)</f>
        <v>0</v>
      </c>
    </row>
    <row r="731" spans="1:22" x14ac:dyDescent="0.25">
      <c r="A731" s="46" t="s">
        <v>5030</v>
      </c>
      <c r="B731" s="46" t="s">
        <v>120</v>
      </c>
      <c r="C731" s="46" t="s">
        <v>5048</v>
      </c>
      <c r="D731" s="46">
        <v>3.27192902587062</v>
      </c>
      <c r="E731" s="47">
        <f>SUMIF(Data!$E:$E,$C731,Data!$AI:$AI)</f>
        <v>0</v>
      </c>
      <c r="I731" s="13" t="s">
        <v>5049</v>
      </c>
      <c r="J731" s="13" t="s">
        <v>5050</v>
      </c>
      <c r="K731" s="13" t="s">
        <v>137</v>
      </c>
      <c r="L731" s="13" t="s">
        <v>4421</v>
      </c>
      <c r="M731" s="13" t="s">
        <v>5051</v>
      </c>
      <c r="N731" s="13">
        <v>19.986999999999998</v>
      </c>
      <c r="O731" s="13" t="s">
        <v>5052</v>
      </c>
      <c r="P731" s="13" t="s">
        <v>5053</v>
      </c>
      <c r="Q731" s="13" t="s">
        <v>190</v>
      </c>
      <c r="R731" s="13" t="s">
        <v>5054</v>
      </c>
      <c r="S731" s="13" t="s">
        <v>145</v>
      </c>
      <c r="T731" s="13" t="s">
        <v>146</v>
      </c>
      <c r="U731" s="13" t="s">
        <v>110</v>
      </c>
      <c r="V731" s="47">
        <f>SUMIF(Data!$E:$E,$I731,Data!$AI:$AI)</f>
        <v>0</v>
      </c>
    </row>
    <row r="732" spans="1:22" x14ac:dyDescent="0.25">
      <c r="A732" s="46" t="s">
        <v>5030</v>
      </c>
      <c r="B732" s="46" t="s">
        <v>120</v>
      </c>
      <c r="C732" s="46" t="s">
        <v>5055</v>
      </c>
      <c r="D732" s="46">
        <v>1.1805291967984699</v>
      </c>
      <c r="E732" s="47">
        <f>SUMIF(Data!$E:$E,$C732,Data!$AI:$AI)</f>
        <v>0</v>
      </c>
      <c r="I732" s="13" t="s">
        <v>5056</v>
      </c>
      <c r="J732" s="13" t="s">
        <v>5057</v>
      </c>
      <c r="K732" s="13" t="s">
        <v>137</v>
      </c>
      <c r="L732" s="13" t="s">
        <v>4421</v>
      </c>
      <c r="M732" s="13" t="s">
        <v>5058</v>
      </c>
      <c r="N732" s="13">
        <v>45.180999999999997</v>
      </c>
      <c r="O732" s="13" t="s">
        <v>5059</v>
      </c>
      <c r="P732" s="13" t="s">
        <v>5060</v>
      </c>
      <c r="Q732" s="13" t="s">
        <v>416</v>
      </c>
      <c r="R732" s="13" t="s">
        <v>5061</v>
      </c>
      <c r="S732" s="13" t="s">
        <v>192</v>
      </c>
      <c r="T732" s="13" t="s">
        <v>146</v>
      </c>
      <c r="U732" s="13" t="s">
        <v>110</v>
      </c>
      <c r="V732" s="47">
        <f>SUMIF(Data!$E:$E,$I732,Data!$AI:$AI)</f>
        <v>0</v>
      </c>
    </row>
    <row r="733" spans="1:22" x14ac:dyDescent="0.25">
      <c r="A733" s="46" t="s">
        <v>5030</v>
      </c>
      <c r="B733" s="46" t="s">
        <v>120</v>
      </c>
      <c r="C733" s="46" t="s">
        <v>5062</v>
      </c>
      <c r="D733" s="46">
        <v>2.5457246473661801</v>
      </c>
      <c r="E733" s="47">
        <f>SUMIF(Data!$E:$E,$C733,Data!$AI:$AI)</f>
        <v>0</v>
      </c>
      <c r="I733" s="13" t="s">
        <v>5063</v>
      </c>
      <c r="J733" s="13" t="s">
        <v>5064</v>
      </c>
      <c r="K733" s="13" t="s">
        <v>137</v>
      </c>
      <c r="L733" s="13" t="s">
        <v>4421</v>
      </c>
      <c r="M733" s="13" t="s">
        <v>5065</v>
      </c>
      <c r="N733" s="13">
        <v>501.18099999999998</v>
      </c>
      <c r="O733" s="13" t="s">
        <v>5066</v>
      </c>
      <c r="P733" s="13" t="s">
        <v>5067</v>
      </c>
      <c r="Q733" s="13" t="s">
        <v>190</v>
      </c>
      <c r="R733" s="13" t="s">
        <v>5068</v>
      </c>
      <c r="S733" s="13" t="s">
        <v>2928</v>
      </c>
      <c r="T733" s="13" t="s">
        <v>2929</v>
      </c>
      <c r="U733" s="13" t="s">
        <v>2930</v>
      </c>
      <c r="V733" s="47">
        <f>SUMIF(Data!$E:$E,$I733,Data!$AI:$AI)</f>
        <v>0</v>
      </c>
    </row>
    <row r="734" spans="1:22" x14ac:dyDescent="0.25">
      <c r="A734" s="46" t="s">
        <v>5030</v>
      </c>
      <c r="B734" s="46" t="s">
        <v>120</v>
      </c>
      <c r="C734" s="46" t="s">
        <v>5069</v>
      </c>
      <c r="D734" s="46">
        <v>1.2779912014155099</v>
      </c>
      <c r="E734" s="47">
        <f>SUMIF(Data!$E:$E,$C734,Data!$AI:$AI)</f>
        <v>0</v>
      </c>
      <c r="I734" s="13" t="s">
        <v>5070</v>
      </c>
      <c r="J734" s="13" t="s">
        <v>5071</v>
      </c>
      <c r="K734" s="13" t="s">
        <v>137</v>
      </c>
      <c r="L734" s="13" t="s">
        <v>4421</v>
      </c>
      <c r="M734" s="13" t="s">
        <v>5072</v>
      </c>
      <c r="N734" s="13">
        <v>108.209</v>
      </c>
      <c r="O734" s="13" t="s">
        <v>5073</v>
      </c>
      <c r="P734" s="13" t="s">
        <v>5074</v>
      </c>
      <c r="Q734" s="13" t="s">
        <v>806</v>
      </c>
      <c r="R734" s="13" t="s">
        <v>5075</v>
      </c>
      <c r="S734" s="13" t="s">
        <v>192</v>
      </c>
      <c r="T734" s="13" t="s">
        <v>146</v>
      </c>
      <c r="U734" s="13" t="s">
        <v>110</v>
      </c>
      <c r="V734" s="47">
        <f>SUMIF(Data!$E:$E,$I734,Data!$AI:$AI)</f>
        <v>0</v>
      </c>
    </row>
    <row r="735" spans="1:22" x14ac:dyDescent="0.25">
      <c r="A735" s="46" t="s">
        <v>5030</v>
      </c>
      <c r="B735" s="46" t="s">
        <v>120</v>
      </c>
      <c r="C735" s="46" t="s">
        <v>4524</v>
      </c>
      <c r="D735" s="46">
        <v>3.7466973765675</v>
      </c>
      <c r="E735" s="47">
        <f>SUMIF(Data!$E:$E,$C735,Data!$AI:$AI)</f>
        <v>0</v>
      </c>
      <c r="I735" s="13" t="s">
        <v>5076</v>
      </c>
      <c r="J735" s="13" t="s">
        <v>5077</v>
      </c>
      <c r="K735" s="13" t="s">
        <v>137</v>
      </c>
      <c r="L735" s="13" t="s">
        <v>4421</v>
      </c>
      <c r="M735" s="13" t="s">
        <v>5078</v>
      </c>
      <c r="N735" s="13">
        <v>284.31799999999998</v>
      </c>
      <c r="O735" s="13" t="s">
        <v>5079</v>
      </c>
      <c r="P735" s="13" t="s">
        <v>5080</v>
      </c>
      <c r="Q735" s="13" t="s">
        <v>260</v>
      </c>
      <c r="R735" s="13" t="s">
        <v>5081</v>
      </c>
      <c r="S735" s="13" t="s">
        <v>192</v>
      </c>
      <c r="T735" s="13" t="s">
        <v>146</v>
      </c>
      <c r="U735" s="13" t="s">
        <v>110</v>
      </c>
      <c r="V735" s="47">
        <f>SUMIF(Data!$E:$E,$I735,Data!$AI:$AI)</f>
        <v>0</v>
      </c>
    </row>
    <row r="736" spans="1:22" x14ac:dyDescent="0.25">
      <c r="A736" s="46" t="s">
        <v>5030</v>
      </c>
      <c r="B736" s="46" t="s">
        <v>120</v>
      </c>
      <c r="C736" s="46" t="s">
        <v>5082</v>
      </c>
      <c r="D736" s="46">
        <v>0.84346600863659404</v>
      </c>
      <c r="E736" s="47">
        <f>SUMIF(Data!$E:$E,$C736,Data!$AI:$AI)</f>
        <v>0</v>
      </c>
      <c r="I736" s="13" t="s">
        <v>5083</v>
      </c>
      <c r="J736" s="13" t="s">
        <v>5084</v>
      </c>
      <c r="K736" s="13" t="s">
        <v>137</v>
      </c>
      <c r="L736" s="13" t="s">
        <v>4421</v>
      </c>
      <c r="M736" s="13" t="s">
        <v>5085</v>
      </c>
      <c r="N736" s="13">
        <v>55.408999999999999</v>
      </c>
      <c r="O736" s="13" t="s">
        <v>5086</v>
      </c>
      <c r="P736" s="13" t="s">
        <v>5087</v>
      </c>
      <c r="Q736" s="13" t="s">
        <v>172</v>
      </c>
      <c r="R736" s="13" t="s">
        <v>5088</v>
      </c>
      <c r="S736" s="13" t="s">
        <v>145</v>
      </c>
      <c r="T736" s="13" t="s">
        <v>146</v>
      </c>
      <c r="U736" s="13" t="s">
        <v>110</v>
      </c>
      <c r="V736" s="47">
        <f>SUMIF(Data!$E:$E,$I736,Data!$AI:$AI)</f>
        <v>0</v>
      </c>
    </row>
    <row r="737" spans="1:22" x14ac:dyDescent="0.25">
      <c r="A737" s="46" t="s">
        <v>5030</v>
      </c>
      <c r="B737" s="46" t="s">
        <v>120</v>
      </c>
      <c r="C737" s="46" t="s">
        <v>4496</v>
      </c>
      <c r="D737" s="46">
        <v>3.41880653455862</v>
      </c>
      <c r="E737" s="47">
        <f>SUMIF(Data!$E:$E,$C737,Data!$AI:$AI)</f>
        <v>0</v>
      </c>
      <c r="I737" s="13">
        <v>8830</v>
      </c>
      <c r="J737" s="13" t="s">
        <v>5089</v>
      </c>
      <c r="K737" s="13" t="s">
        <v>137</v>
      </c>
      <c r="L737" s="13" t="s">
        <v>4421</v>
      </c>
      <c r="M737" s="13" t="s">
        <v>5090</v>
      </c>
      <c r="N737" s="13">
        <v>203.21299999999999</v>
      </c>
      <c r="O737" s="13" t="s">
        <v>5091</v>
      </c>
      <c r="P737" s="13" t="s">
        <v>5092</v>
      </c>
      <c r="Q737" s="13" t="s">
        <v>806</v>
      </c>
      <c r="R737" s="13" t="s">
        <v>5093</v>
      </c>
      <c r="S737" s="13" t="s">
        <v>441</v>
      </c>
      <c r="T737" s="13" t="s">
        <v>442</v>
      </c>
      <c r="U737" s="13" t="s">
        <v>443</v>
      </c>
      <c r="V737" s="47">
        <f>SUMIF(Data!$E:$E,$I737,Data!$AI:$AI)</f>
        <v>0</v>
      </c>
    </row>
    <row r="738" spans="1:22" x14ac:dyDescent="0.25">
      <c r="A738" s="46" t="s">
        <v>5030</v>
      </c>
      <c r="B738" s="46" t="s">
        <v>120</v>
      </c>
      <c r="C738" s="46" t="s">
        <v>4503</v>
      </c>
      <c r="D738" s="46">
        <v>1.38619046336435</v>
      </c>
      <c r="E738" s="47">
        <f>SUMIF(Data!$E:$E,$C738,Data!$AI:$AI)</f>
        <v>0</v>
      </c>
      <c r="I738" s="13" t="s">
        <v>5094</v>
      </c>
      <c r="J738" s="13" t="s">
        <v>5095</v>
      </c>
      <c r="K738" s="13" t="s">
        <v>137</v>
      </c>
      <c r="L738" s="13" t="s">
        <v>4421</v>
      </c>
      <c r="M738" s="13" t="s">
        <v>5096</v>
      </c>
      <c r="N738" s="13">
        <v>78.459999999999994</v>
      </c>
      <c r="O738" s="13" t="s">
        <v>5097</v>
      </c>
      <c r="P738" s="13" t="s">
        <v>5098</v>
      </c>
      <c r="Q738" s="13" t="s">
        <v>224</v>
      </c>
      <c r="R738" s="13" t="s">
        <v>5099</v>
      </c>
      <c r="S738" s="13" t="s">
        <v>192</v>
      </c>
      <c r="T738" s="13" t="s">
        <v>146</v>
      </c>
      <c r="U738" s="13" t="s">
        <v>110</v>
      </c>
      <c r="V738" s="47">
        <f>SUMIF(Data!$E:$E,$I738,Data!$AI:$AI)</f>
        <v>0</v>
      </c>
    </row>
    <row r="739" spans="1:22" x14ac:dyDescent="0.25">
      <c r="A739" s="46" t="s">
        <v>5030</v>
      </c>
      <c r="B739" s="46" t="s">
        <v>120</v>
      </c>
      <c r="C739" s="46" t="s">
        <v>3149</v>
      </c>
      <c r="D739" s="46">
        <v>2.3361900219857401</v>
      </c>
      <c r="E739" s="47">
        <f>SUMIF(Data!$E:$E,$C739,Data!$AI:$AI)</f>
        <v>0</v>
      </c>
      <c r="I739" s="13" t="s">
        <v>5100</v>
      </c>
      <c r="J739" s="13" t="s">
        <v>5101</v>
      </c>
      <c r="K739" s="13" t="s">
        <v>137</v>
      </c>
      <c r="L739" s="13" t="s">
        <v>4421</v>
      </c>
      <c r="M739" s="13" t="s">
        <v>5102</v>
      </c>
      <c r="N739" s="13" t="s">
        <v>5103</v>
      </c>
      <c r="O739" s="13" t="s">
        <v>5104</v>
      </c>
      <c r="P739" s="13" t="s">
        <v>5105</v>
      </c>
      <c r="Q739" s="13" t="s">
        <v>260</v>
      </c>
      <c r="R739" s="13" t="s">
        <v>5106</v>
      </c>
      <c r="S739" s="13" t="s">
        <v>847</v>
      </c>
      <c r="T739" s="13" t="s">
        <v>848</v>
      </c>
      <c r="U739" s="13" t="s">
        <v>849</v>
      </c>
      <c r="V739" s="47">
        <f>SUMIF(Data!$E:$E,$I739,Data!$AI:$AI)</f>
        <v>0</v>
      </c>
    </row>
    <row r="740" spans="1:22" x14ac:dyDescent="0.25">
      <c r="A740" s="46" t="s">
        <v>5030</v>
      </c>
      <c r="B740" s="46" t="s">
        <v>120</v>
      </c>
      <c r="C740" s="46" t="s">
        <v>4546</v>
      </c>
      <c r="D740" s="46">
        <v>1.7419067608757</v>
      </c>
      <c r="E740" s="47">
        <f>SUMIF(Data!$E:$E,$C740,Data!$AI:$AI)</f>
        <v>0</v>
      </c>
      <c r="I740" s="13">
        <v>8267</v>
      </c>
      <c r="J740" s="13" t="s">
        <v>5107</v>
      </c>
      <c r="K740" s="13" t="s">
        <v>137</v>
      </c>
      <c r="L740" s="13" t="s">
        <v>4421</v>
      </c>
      <c r="M740" s="13" t="s">
        <v>5108</v>
      </c>
      <c r="N740" s="13">
        <v>341</v>
      </c>
      <c r="O740" s="13" t="s">
        <v>5109</v>
      </c>
      <c r="P740" s="13" t="s">
        <v>5110</v>
      </c>
      <c r="Q740" s="13" t="s">
        <v>224</v>
      </c>
      <c r="R740" s="13" t="s">
        <v>5111</v>
      </c>
      <c r="S740" s="13" t="s">
        <v>441</v>
      </c>
      <c r="T740" s="13" t="s">
        <v>442</v>
      </c>
      <c r="U740" s="13" t="s">
        <v>443</v>
      </c>
      <c r="V740" s="47">
        <f>SUMIF(Data!$E:$E,$I740,Data!$AI:$AI)</f>
        <v>0</v>
      </c>
    </row>
    <row r="741" spans="1:22" x14ac:dyDescent="0.25">
      <c r="A741" s="46" t="s">
        <v>5030</v>
      </c>
      <c r="B741" s="46" t="s">
        <v>120</v>
      </c>
      <c r="C741" s="46" t="s">
        <v>5112</v>
      </c>
      <c r="D741" s="46">
        <v>2.6123896570583098</v>
      </c>
      <c r="E741" s="47">
        <f>SUMIF(Data!$E:$E,$C741,Data!$AI:$AI)</f>
        <v>0</v>
      </c>
      <c r="I741" s="13" t="s">
        <v>5113</v>
      </c>
      <c r="J741" s="13" t="s">
        <v>5114</v>
      </c>
      <c r="K741" s="13" t="s">
        <v>137</v>
      </c>
      <c r="L741" s="13" t="s">
        <v>4421</v>
      </c>
      <c r="M741" s="13" t="s">
        <v>4632</v>
      </c>
      <c r="N741" s="13">
        <v>649.14599999999996</v>
      </c>
      <c r="O741" s="13" t="s">
        <v>5115</v>
      </c>
      <c r="P741" s="13" t="s">
        <v>5116</v>
      </c>
      <c r="Q741" s="13" t="s">
        <v>172</v>
      </c>
      <c r="R741" s="13" t="s">
        <v>5117</v>
      </c>
      <c r="S741" s="13" t="s">
        <v>476</v>
      </c>
      <c r="T741" s="13" t="s">
        <v>477</v>
      </c>
      <c r="U741" s="13" t="s">
        <v>478</v>
      </c>
      <c r="V741" s="47">
        <f>SUMIF(Data!$E:$E,$I741,Data!$AI:$AI)</f>
        <v>0</v>
      </c>
    </row>
    <row r="742" spans="1:22" x14ac:dyDescent="0.25">
      <c r="A742" s="46" t="s">
        <v>5030</v>
      </c>
      <c r="B742" s="46" t="s">
        <v>120</v>
      </c>
      <c r="C742" s="46" t="s">
        <v>5118</v>
      </c>
      <c r="D742" s="46">
        <v>1.3362622607111201</v>
      </c>
      <c r="E742" s="47">
        <f>SUMIF(Data!$E:$E,$C742,Data!$AI:$AI)</f>
        <v>0</v>
      </c>
      <c r="I742" s="13">
        <v>9042</v>
      </c>
      <c r="J742" s="13" t="s">
        <v>5119</v>
      </c>
      <c r="K742" s="13" t="s">
        <v>137</v>
      </c>
      <c r="L742" s="13" t="s">
        <v>4421</v>
      </c>
      <c r="M742" s="13" t="s">
        <v>5120</v>
      </c>
      <c r="N742" s="13">
        <v>164</v>
      </c>
      <c r="O742" s="13" t="s">
        <v>5121</v>
      </c>
      <c r="P742" s="13" t="s">
        <v>5122</v>
      </c>
      <c r="Q742" s="13" t="s">
        <v>416</v>
      </c>
      <c r="R742" s="13" t="s">
        <v>5123</v>
      </c>
      <c r="S742" s="13" t="s">
        <v>441</v>
      </c>
      <c r="T742" s="13" t="s">
        <v>442</v>
      </c>
      <c r="U742" s="13" t="s">
        <v>443</v>
      </c>
      <c r="V742" s="47">
        <f>SUMIF(Data!$E:$E,$I742,Data!$AI:$AI)</f>
        <v>0</v>
      </c>
    </row>
    <row r="743" spans="1:22" x14ac:dyDescent="0.25">
      <c r="A743" s="46" t="s">
        <v>5030</v>
      </c>
      <c r="B743" s="46" t="s">
        <v>120</v>
      </c>
      <c r="C743" s="46" t="s">
        <v>5124</v>
      </c>
      <c r="D743" s="46">
        <v>1.41596079907261</v>
      </c>
      <c r="E743" s="47">
        <f>SUMIF(Data!$E:$E,$C743,Data!$AI:$AI)</f>
        <v>0</v>
      </c>
      <c r="I743" s="13" t="s">
        <v>5125</v>
      </c>
      <c r="J743" s="13" t="s">
        <v>5126</v>
      </c>
      <c r="K743" s="13" t="s">
        <v>137</v>
      </c>
      <c r="L743" s="13" t="s">
        <v>4421</v>
      </c>
      <c r="M743" s="13" t="s">
        <v>5127</v>
      </c>
      <c r="N743" s="13">
        <v>13.237</v>
      </c>
      <c r="O743" s="13" t="s">
        <v>5128</v>
      </c>
      <c r="P743" s="13" t="s">
        <v>5129</v>
      </c>
      <c r="Q743" s="13" t="s">
        <v>172</v>
      </c>
      <c r="R743" s="13" t="s">
        <v>5130</v>
      </c>
      <c r="S743" s="13" t="s">
        <v>226</v>
      </c>
      <c r="T743" s="13" t="s">
        <v>227</v>
      </c>
      <c r="U743" s="13" t="s">
        <v>228</v>
      </c>
      <c r="V743" s="47">
        <f>SUMIF(Data!$E:$E,$I743,Data!$AI:$AI)</f>
        <v>0</v>
      </c>
    </row>
    <row r="744" spans="1:22" x14ac:dyDescent="0.25">
      <c r="A744" s="46" t="s">
        <v>5030</v>
      </c>
      <c r="B744" s="46" t="s">
        <v>120</v>
      </c>
      <c r="C744" s="46" t="s">
        <v>5131</v>
      </c>
      <c r="D744" s="46">
        <v>1.2563041487851301</v>
      </c>
      <c r="E744" s="47">
        <f>SUMIF(Data!$E:$E,$C744,Data!$AI:$AI)</f>
        <v>0</v>
      </c>
      <c r="I744" s="13" t="s">
        <v>5132</v>
      </c>
      <c r="J744" s="13" t="s">
        <v>5133</v>
      </c>
      <c r="K744" s="13" t="s">
        <v>137</v>
      </c>
      <c r="L744" s="13" t="s">
        <v>4421</v>
      </c>
      <c r="M744" s="13" t="s">
        <v>5134</v>
      </c>
      <c r="N744" s="13">
        <v>52.661000000000001</v>
      </c>
      <c r="O744" s="13" t="s">
        <v>5135</v>
      </c>
      <c r="P744" s="13" t="s">
        <v>5136</v>
      </c>
      <c r="Q744" s="13" t="s">
        <v>162</v>
      </c>
      <c r="R744" s="13" t="s">
        <v>5137</v>
      </c>
      <c r="S744" s="13" t="s">
        <v>192</v>
      </c>
      <c r="T744" s="13" t="s">
        <v>146</v>
      </c>
      <c r="U744" s="13" t="s">
        <v>110</v>
      </c>
      <c r="V744" s="47">
        <f>SUMIF(Data!$E:$E,$I744,Data!$AI:$AI)</f>
        <v>0</v>
      </c>
    </row>
    <row r="745" spans="1:22" x14ac:dyDescent="0.25">
      <c r="A745" s="46" t="s">
        <v>5030</v>
      </c>
      <c r="B745" s="46" t="s">
        <v>120</v>
      </c>
      <c r="C745" s="46" t="s">
        <v>5138</v>
      </c>
      <c r="D745" s="46">
        <v>0.96017380822076404</v>
      </c>
      <c r="E745" s="47">
        <f>SUMIF(Data!$E:$E,$C745,Data!$AI:$AI)</f>
        <v>0</v>
      </c>
      <c r="I745" s="13" t="s">
        <v>5139</v>
      </c>
      <c r="J745" s="13" t="s">
        <v>5140</v>
      </c>
      <c r="K745" s="13" t="s">
        <v>137</v>
      </c>
      <c r="L745" s="13" t="s">
        <v>4421</v>
      </c>
      <c r="M745" s="13" t="s">
        <v>5141</v>
      </c>
      <c r="N745" s="13">
        <v>895.90800000000002</v>
      </c>
      <c r="O745" s="13" t="s">
        <v>5142</v>
      </c>
      <c r="P745" s="13" t="s">
        <v>5143</v>
      </c>
      <c r="Q745" s="13" t="s">
        <v>694</v>
      </c>
      <c r="R745" s="13" t="s">
        <v>5144</v>
      </c>
      <c r="S745" s="13" t="s">
        <v>847</v>
      </c>
      <c r="T745" s="13" t="s">
        <v>848</v>
      </c>
      <c r="U745" s="13" t="s">
        <v>849</v>
      </c>
      <c r="V745" s="47">
        <f>SUMIF(Data!$E:$E,$I745,Data!$AI:$AI)</f>
        <v>0</v>
      </c>
    </row>
    <row r="746" spans="1:22" x14ac:dyDescent="0.25">
      <c r="A746" s="46" t="s">
        <v>5030</v>
      </c>
      <c r="B746" s="46" t="s">
        <v>120</v>
      </c>
      <c r="C746" s="46" t="s">
        <v>4560</v>
      </c>
      <c r="D746" s="46">
        <v>1.4538561831366399</v>
      </c>
      <c r="E746" s="47">
        <f>SUMIF(Data!$E:$E,$C746,Data!$AI:$AI)</f>
        <v>0</v>
      </c>
      <c r="I746" s="13">
        <v>1928</v>
      </c>
      <c r="J746" s="13" t="s">
        <v>5145</v>
      </c>
      <c r="K746" s="13" t="s">
        <v>137</v>
      </c>
      <c r="L746" s="13" t="s">
        <v>4421</v>
      </c>
      <c r="M746" s="13" t="s">
        <v>5146</v>
      </c>
      <c r="N746" s="13">
        <v>323.81299999999999</v>
      </c>
      <c r="O746" s="13" t="s">
        <v>5147</v>
      </c>
      <c r="P746" s="13" t="s">
        <v>5148</v>
      </c>
      <c r="Q746" s="13" t="s">
        <v>162</v>
      </c>
      <c r="R746" s="13" t="s">
        <v>5149</v>
      </c>
      <c r="S746" s="13" t="s">
        <v>441</v>
      </c>
      <c r="T746" s="13" t="s">
        <v>442</v>
      </c>
      <c r="U746" s="13" t="s">
        <v>443</v>
      </c>
      <c r="V746" s="47">
        <f>SUMIF(Data!$E:$E,$I746,Data!$AI:$AI)</f>
        <v>0</v>
      </c>
    </row>
    <row r="747" spans="1:22" x14ac:dyDescent="0.25">
      <c r="A747" s="46" t="s">
        <v>5030</v>
      </c>
      <c r="B747" s="46" t="s">
        <v>120</v>
      </c>
      <c r="C747" s="46" t="s">
        <v>5150</v>
      </c>
      <c r="D747" s="46">
        <v>0.94330265466359098</v>
      </c>
      <c r="E747" s="47">
        <f>SUMIF(Data!$E:$E,$C747,Data!$AI:$AI)</f>
        <v>0</v>
      </c>
      <c r="I747" s="13" t="s">
        <v>5151</v>
      </c>
      <c r="J747" s="13" t="s">
        <v>5152</v>
      </c>
      <c r="K747" s="13" t="s">
        <v>137</v>
      </c>
      <c r="L747" s="13" t="s">
        <v>4421</v>
      </c>
      <c r="M747" s="13" t="s">
        <v>5153</v>
      </c>
      <c r="N747" s="13">
        <v>399.76499999999999</v>
      </c>
      <c r="O747" s="13" t="s">
        <v>5154</v>
      </c>
      <c r="P747" s="13" t="s">
        <v>5155</v>
      </c>
      <c r="Q747" s="13" t="s">
        <v>806</v>
      </c>
      <c r="R747" s="13" t="s">
        <v>5156</v>
      </c>
      <c r="S747" s="13" t="s">
        <v>192</v>
      </c>
      <c r="T747" s="13" t="s">
        <v>146</v>
      </c>
      <c r="U747" s="13" t="s">
        <v>110</v>
      </c>
      <c r="V747" s="47">
        <f>SUMIF(Data!$E:$E,$I747,Data!$AI:$AI)</f>
        <v>0</v>
      </c>
    </row>
    <row r="748" spans="1:22" x14ac:dyDescent="0.25">
      <c r="A748" s="46" t="s">
        <v>5030</v>
      </c>
      <c r="B748" s="46" t="s">
        <v>120</v>
      </c>
      <c r="C748" s="46" t="s">
        <v>4859</v>
      </c>
      <c r="D748" s="46">
        <v>3.5568789074149798</v>
      </c>
      <c r="E748" s="47">
        <f>SUMIF(Data!$E:$E,$C748,Data!$AI:$AI)</f>
        <v>0</v>
      </c>
      <c r="I748" s="13" t="s">
        <v>5157</v>
      </c>
      <c r="J748" s="13" t="s">
        <v>5158</v>
      </c>
      <c r="K748" s="13" t="s">
        <v>137</v>
      </c>
      <c r="L748" s="13" t="s">
        <v>4421</v>
      </c>
      <c r="M748" s="13" t="s">
        <v>5159</v>
      </c>
      <c r="N748" s="13">
        <v>71.305999999999997</v>
      </c>
      <c r="O748" s="13" t="s">
        <v>5160</v>
      </c>
      <c r="P748" s="13" t="s">
        <v>5161</v>
      </c>
      <c r="Q748" s="13" t="s">
        <v>734</v>
      </c>
      <c r="R748" s="13" t="s">
        <v>5162</v>
      </c>
      <c r="S748" s="13" t="s">
        <v>192</v>
      </c>
      <c r="T748" s="13" t="s">
        <v>146</v>
      </c>
      <c r="U748" s="13" t="s">
        <v>110</v>
      </c>
      <c r="V748" s="47">
        <f>SUMIF(Data!$E:$E,$I748,Data!$AI:$AI)</f>
        <v>0</v>
      </c>
    </row>
    <row r="749" spans="1:22" x14ac:dyDescent="0.25">
      <c r="A749" s="46" t="s">
        <v>5030</v>
      </c>
      <c r="B749" s="46" t="s">
        <v>120</v>
      </c>
      <c r="C749" s="46" t="s">
        <v>5163</v>
      </c>
      <c r="D749" s="46">
        <v>0.30999730178081703</v>
      </c>
      <c r="E749" s="47">
        <f>SUMIF(Data!$E:$E,$C749,Data!$AI:$AI)</f>
        <v>0</v>
      </c>
      <c r="I749" s="13" t="s">
        <v>5164</v>
      </c>
      <c r="J749" s="13" t="s">
        <v>5165</v>
      </c>
      <c r="K749" s="13" t="s">
        <v>137</v>
      </c>
      <c r="L749" s="13" t="s">
        <v>4421</v>
      </c>
      <c r="M749" s="13" t="s">
        <v>5166</v>
      </c>
      <c r="N749" s="13">
        <v>118.446</v>
      </c>
      <c r="O749" s="13" t="s">
        <v>5167</v>
      </c>
      <c r="P749" s="13" t="s">
        <v>5168</v>
      </c>
      <c r="Q749" s="13" t="s">
        <v>190</v>
      </c>
      <c r="R749" s="13" t="s">
        <v>5169</v>
      </c>
      <c r="S749" s="13" t="s">
        <v>192</v>
      </c>
      <c r="T749" s="13" t="s">
        <v>146</v>
      </c>
      <c r="U749" s="13" t="s">
        <v>110</v>
      </c>
      <c r="V749" s="47">
        <f>SUMIF(Data!$E:$E,$I749,Data!$AI:$AI)</f>
        <v>0</v>
      </c>
    </row>
    <row r="750" spans="1:22" x14ac:dyDescent="0.25">
      <c r="A750" s="46" t="s">
        <v>5030</v>
      </c>
      <c r="B750" s="46" t="s">
        <v>120</v>
      </c>
      <c r="C750" s="46" t="s">
        <v>5170</v>
      </c>
      <c r="D750" s="46">
        <v>2.2828077527149202</v>
      </c>
      <c r="E750" s="47">
        <f>SUMIF(Data!$E:$E,$C750,Data!$AI:$AI)</f>
        <v>0</v>
      </c>
      <c r="I750" s="13" t="s">
        <v>5171</v>
      </c>
      <c r="J750" s="13" t="s">
        <v>5172</v>
      </c>
      <c r="K750" s="13" t="s">
        <v>137</v>
      </c>
      <c r="L750" s="13" t="s">
        <v>4421</v>
      </c>
      <c r="M750" s="13" t="s">
        <v>5173</v>
      </c>
      <c r="N750" s="13">
        <v>136.76599999999999</v>
      </c>
      <c r="O750" s="13" t="s">
        <v>5174</v>
      </c>
      <c r="P750" s="13" t="s">
        <v>5175</v>
      </c>
      <c r="Q750" s="13" t="s">
        <v>224</v>
      </c>
      <c r="R750" s="13" t="s">
        <v>5176</v>
      </c>
      <c r="S750" s="13" t="s">
        <v>192</v>
      </c>
      <c r="T750" s="13" t="s">
        <v>643</v>
      </c>
      <c r="U750" s="13" t="s">
        <v>110</v>
      </c>
      <c r="V750" s="47">
        <f>SUMIF(Data!$E:$E,$I750,Data!$AI:$AI)</f>
        <v>0</v>
      </c>
    </row>
    <row r="751" spans="1:22" x14ac:dyDescent="0.25">
      <c r="A751" s="46" t="s">
        <v>5030</v>
      </c>
      <c r="B751" s="46" t="s">
        <v>120</v>
      </c>
      <c r="C751" s="46" t="s">
        <v>3164</v>
      </c>
      <c r="D751" s="46">
        <v>1.4522744390419899</v>
      </c>
      <c r="E751" s="47">
        <f>SUMIF(Data!$E:$E,$C751,Data!$AI:$AI)</f>
        <v>0</v>
      </c>
      <c r="I751" s="13" t="s">
        <v>5177</v>
      </c>
      <c r="J751" s="13" t="s">
        <v>5178</v>
      </c>
      <c r="K751" s="13" t="s">
        <v>137</v>
      </c>
      <c r="L751" s="13" t="s">
        <v>4421</v>
      </c>
      <c r="M751" s="13" t="s">
        <v>5179</v>
      </c>
      <c r="N751" s="13">
        <v>124.982</v>
      </c>
      <c r="O751" s="13" t="s">
        <v>5180</v>
      </c>
      <c r="P751" s="13" t="s">
        <v>5181</v>
      </c>
      <c r="Q751" s="13" t="s">
        <v>143</v>
      </c>
      <c r="R751" s="13" t="s">
        <v>5182</v>
      </c>
      <c r="S751" s="13" t="s">
        <v>2928</v>
      </c>
      <c r="T751" s="13" t="s">
        <v>2929</v>
      </c>
      <c r="U751" s="13" t="s">
        <v>2930</v>
      </c>
      <c r="V751" s="47">
        <f>SUMIF(Data!$E:$E,$I751,Data!$AI:$AI)</f>
        <v>0</v>
      </c>
    </row>
    <row r="752" spans="1:22" x14ac:dyDescent="0.25">
      <c r="A752" s="46" t="s">
        <v>5030</v>
      </c>
      <c r="B752" s="46" t="s">
        <v>120</v>
      </c>
      <c r="C752" s="46" t="s">
        <v>5183</v>
      </c>
      <c r="D752" s="46">
        <v>1.1535615895370099</v>
      </c>
      <c r="E752" s="47">
        <f>SUMIF(Data!$E:$E,$C752,Data!$AI:$AI)</f>
        <v>0</v>
      </c>
      <c r="I752" s="13" t="s">
        <v>5184</v>
      </c>
      <c r="J752" s="13" t="s">
        <v>5185</v>
      </c>
      <c r="K752" s="13" t="s">
        <v>137</v>
      </c>
      <c r="L752" s="13" t="s">
        <v>4421</v>
      </c>
      <c r="M752" s="13" t="s">
        <v>4367</v>
      </c>
      <c r="N752" s="13">
        <v>46.476999999999997</v>
      </c>
      <c r="O752" s="13" t="s">
        <v>5186</v>
      </c>
      <c r="P752" s="13" t="s">
        <v>5187</v>
      </c>
      <c r="Q752" s="13" t="s">
        <v>143</v>
      </c>
      <c r="R752" s="13" t="s">
        <v>5188</v>
      </c>
      <c r="S752" s="13" t="s">
        <v>192</v>
      </c>
      <c r="T752" s="13" t="s">
        <v>146</v>
      </c>
      <c r="U752" s="13" t="s">
        <v>110</v>
      </c>
      <c r="V752" s="47">
        <f>SUMIF(Data!$E:$E,$I752,Data!$AI:$AI)</f>
        <v>0</v>
      </c>
    </row>
    <row r="753" spans="1:22" x14ac:dyDescent="0.25">
      <c r="A753" s="46" t="s">
        <v>5030</v>
      </c>
      <c r="B753" s="46" t="s">
        <v>120</v>
      </c>
      <c r="C753" s="46" t="s">
        <v>5189</v>
      </c>
      <c r="D753" s="46">
        <v>0.99428792842277003</v>
      </c>
      <c r="E753" s="47">
        <f>SUMIF(Data!$E:$E,$C753,Data!$AI:$AI)</f>
        <v>0</v>
      </c>
      <c r="I753" s="13" t="s">
        <v>5190</v>
      </c>
      <c r="J753" s="13" t="s">
        <v>5191</v>
      </c>
      <c r="K753" s="13" t="s">
        <v>137</v>
      </c>
      <c r="L753" s="13" t="s">
        <v>4421</v>
      </c>
      <c r="M753" s="13" t="s">
        <v>5192</v>
      </c>
      <c r="N753" s="13">
        <v>343.88299999999998</v>
      </c>
      <c r="O753" s="13" t="s">
        <v>5193</v>
      </c>
      <c r="P753" s="13" t="s">
        <v>5194</v>
      </c>
      <c r="Q753" s="13" t="s">
        <v>694</v>
      </c>
      <c r="R753" s="13" t="s">
        <v>5195</v>
      </c>
      <c r="S753" s="13" t="s">
        <v>192</v>
      </c>
      <c r="T753" s="13" t="s">
        <v>146</v>
      </c>
      <c r="U753" s="13" t="s">
        <v>110</v>
      </c>
      <c r="V753" s="47">
        <f>SUMIF(Data!$E:$E,$I753,Data!$AI:$AI)</f>
        <v>0</v>
      </c>
    </row>
    <row r="754" spans="1:22" x14ac:dyDescent="0.25">
      <c r="A754" s="46" t="s">
        <v>5030</v>
      </c>
      <c r="B754" s="46" t="s">
        <v>120</v>
      </c>
      <c r="C754" s="46" t="s">
        <v>5196</v>
      </c>
      <c r="D754" s="46">
        <v>1.2311714381714201</v>
      </c>
      <c r="E754" s="47">
        <f>SUMIF(Data!$E:$E,$C754,Data!$AI:$AI)</f>
        <v>0</v>
      </c>
      <c r="I754" s="13" t="s">
        <v>5197</v>
      </c>
      <c r="J754" s="13" t="s">
        <v>5198</v>
      </c>
      <c r="K754" s="13" t="s">
        <v>137</v>
      </c>
      <c r="L754" s="13" t="s">
        <v>4421</v>
      </c>
      <c r="M754" s="13" t="s">
        <v>5199</v>
      </c>
      <c r="N754" s="13" t="s">
        <v>5200</v>
      </c>
      <c r="O754" s="13" t="s">
        <v>5201</v>
      </c>
      <c r="P754" s="13" t="s">
        <v>5202</v>
      </c>
      <c r="Q754" s="13" t="s">
        <v>694</v>
      </c>
      <c r="R754" s="13" t="s">
        <v>5203</v>
      </c>
      <c r="S754" s="13" t="s">
        <v>5204</v>
      </c>
      <c r="T754" s="13" t="s">
        <v>5205</v>
      </c>
      <c r="U754" s="13" t="s">
        <v>525</v>
      </c>
      <c r="V754" s="47">
        <f>SUMIF(Data!$E:$E,$I754,Data!$AI:$AI)</f>
        <v>0</v>
      </c>
    </row>
    <row r="755" spans="1:22" x14ac:dyDescent="0.25">
      <c r="A755" s="46" t="s">
        <v>5030</v>
      </c>
      <c r="B755" s="46" t="s">
        <v>120</v>
      </c>
      <c r="C755" s="46" t="s">
        <v>1783</v>
      </c>
      <c r="D755" s="46">
        <v>1.35808823234739</v>
      </c>
      <c r="E755" s="47">
        <f>SUMIF(Data!$E:$E,$C755,Data!$AI:$AI)</f>
        <v>0</v>
      </c>
      <c r="I755" s="13" t="s">
        <v>5206</v>
      </c>
      <c r="J755" s="13" t="s">
        <v>5207</v>
      </c>
      <c r="K755" s="13" t="s">
        <v>137</v>
      </c>
      <c r="L755" s="13" t="s">
        <v>4421</v>
      </c>
      <c r="M755" s="13" t="s">
        <v>5208</v>
      </c>
      <c r="N755" s="13">
        <v>262.58300000000003</v>
      </c>
      <c r="O755" s="13" t="s">
        <v>5209</v>
      </c>
      <c r="P755" s="13" t="s">
        <v>5210</v>
      </c>
      <c r="Q755" s="13" t="s">
        <v>694</v>
      </c>
      <c r="R755" s="13" t="s">
        <v>5211</v>
      </c>
      <c r="S755" s="13" t="s">
        <v>192</v>
      </c>
      <c r="T755" s="13" t="s">
        <v>146</v>
      </c>
      <c r="U755" s="13" t="s">
        <v>110</v>
      </c>
      <c r="V755" s="47">
        <f>SUMIF(Data!$E:$E,$I755,Data!$AI:$AI)</f>
        <v>0</v>
      </c>
    </row>
    <row r="756" spans="1:22" x14ac:dyDescent="0.25">
      <c r="A756" s="46" t="s">
        <v>5030</v>
      </c>
      <c r="B756" s="46" t="s">
        <v>120</v>
      </c>
      <c r="C756" s="46" t="s">
        <v>4916</v>
      </c>
      <c r="D756" s="46">
        <v>3.3186392641059999</v>
      </c>
      <c r="E756" s="47">
        <f>SUMIF(Data!$E:$E,$C756,Data!$AI:$AI)</f>
        <v>0</v>
      </c>
      <c r="I756" s="13" t="s">
        <v>5212</v>
      </c>
      <c r="J756" s="13" t="s">
        <v>5213</v>
      </c>
      <c r="K756" s="13" t="s">
        <v>137</v>
      </c>
      <c r="L756" s="13" t="s">
        <v>4421</v>
      </c>
      <c r="M756" s="13" t="s">
        <v>5214</v>
      </c>
      <c r="N756" s="13">
        <v>14.826000000000001</v>
      </c>
      <c r="O756" s="13" t="s">
        <v>5215</v>
      </c>
      <c r="P756" s="13" t="s">
        <v>5216</v>
      </c>
      <c r="Q756" s="13" t="s">
        <v>190</v>
      </c>
      <c r="R756" s="13" t="s">
        <v>5217</v>
      </c>
      <c r="S756" s="13" t="s">
        <v>725</v>
      </c>
      <c r="T756" s="13" t="s">
        <v>726</v>
      </c>
      <c r="U756" s="13" t="s">
        <v>727</v>
      </c>
      <c r="V756" s="47">
        <f>SUMIF(Data!$E:$E,$I756,Data!$AI:$AI)</f>
        <v>0</v>
      </c>
    </row>
    <row r="757" spans="1:22" x14ac:dyDescent="0.25">
      <c r="A757" s="46" t="s">
        <v>5030</v>
      </c>
      <c r="B757" s="46" t="s">
        <v>120</v>
      </c>
      <c r="C757" s="46" t="s">
        <v>5218</v>
      </c>
      <c r="D757" s="46">
        <v>1.5346739399065901</v>
      </c>
      <c r="E757" s="47">
        <f>SUMIF(Data!$E:$E,$C757,Data!$AI:$AI)</f>
        <v>0</v>
      </c>
      <c r="I757" s="13" t="s">
        <v>5219</v>
      </c>
      <c r="J757" s="13" t="s">
        <v>5220</v>
      </c>
      <c r="K757" s="13" t="s">
        <v>137</v>
      </c>
      <c r="L757" s="13" t="s">
        <v>4421</v>
      </c>
      <c r="M757" s="13" t="s">
        <v>5221</v>
      </c>
      <c r="N757" s="13">
        <v>90.14</v>
      </c>
      <c r="O757" s="13" t="s">
        <v>5222</v>
      </c>
      <c r="P757" s="13" t="s">
        <v>5223</v>
      </c>
      <c r="Q757" s="13" t="s">
        <v>208</v>
      </c>
      <c r="R757" s="13" t="s">
        <v>5224</v>
      </c>
      <c r="S757" s="13" t="s">
        <v>145</v>
      </c>
      <c r="T757" s="13" t="s">
        <v>146</v>
      </c>
      <c r="U757" s="13" t="s">
        <v>110</v>
      </c>
      <c r="V757" s="47">
        <f>SUMIF(Data!$E:$E,$I757,Data!$AI:$AI)</f>
        <v>0</v>
      </c>
    </row>
    <row r="758" spans="1:22" x14ac:dyDescent="0.25">
      <c r="A758" s="46" t="s">
        <v>5030</v>
      </c>
      <c r="B758" s="46" t="s">
        <v>120</v>
      </c>
      <c r="C758" s="46" t="s">
        <v>5225</v>
      </c>
      <c r="D758" s="46">
        <v>0.63018742496742497</v>
      </c>
      <c r="E758" s="47">
        <f>SUMIF(Data!$E:$E,$C758,Data!$AI:$AI)</f>
        <v>0</v>
      </c>
      <c r="I758" s="13" t="s">
        <v>5226</v>
      </c>
      <c r="J758" s="13" t="s">
        <v>5227</v>
      </c>
      <c r="K758" s="13" t="s">
        <v>137</v>
      </c>
      <c r="L758" s="13" t="s">
        <v>4421</v>
      </c>
      <c r="M758" s="13" t="s">
        <v>5228</v>
      </c>
      <c r="N758" s="13">
        <v>40.036000000000001</v>
      </c>
      <c r="O758" s="13" t="s">
        <v>5229</v>
      </c>
      <c r="P758" s="13" t="s">
        <v>5230</v>
      </c>
      <c r="Q758" s="13" t="s">
        <v>416</v>
      </c>
      <c r="R758" s="13" t="s">
        <v>5231</v>
      </c>
      <c r="S758" s="13" t="s">
        <v>192</v>
      </c>
      <c r="T758" s="13" t="s">
        <v>146</v>
      </c>
      <c r="U758" s="13" t="s">
        <v>110</v>
      </c>
      <c r="V758" s="47">
        <f>SUMIF(Data!$E:$E,$I758,Data!$AI:$AI)</f>
        <v>0</v>
      </c>
    </row>
    <row r="759" spans="1:22" x14ac:dyDescent="0.25">
      <c r="A759" s="46" t="s">
        <v>5030</v>
      </c>
      <c r="B759" s="46" t="s">
        <v>120</v>
      </c>
      <c r="C759" s="46" t="s">
        <v>3898</v>
      </c>
      <c r="D759" s="46">
        <v>3.5246531743047602</v>
      </c>
      <c r="E759" s="47">
        <f>SUMIF(Data!$E:$E,$C759,Data!$AI:$AI)</f>
        <v>0</v>
      </c>
      <c r="I759" s="13" t="s">
        <v>5232</v>
      </c>
      <c r="J759" s="13" t="s">
        <v>5233</v>
      </c>
      <c r="K759" s="13" t="s">
        <v>137</v>
      </c>
      <c r="L759" s="13" t="s">
        <v>4421</v>
      </c>
      <c r="M759" s="13" t="s">
        <v>5234</v>
      </c>
      <c r="N759" s="13">
        <v>27.361999999999998</v>
      </c>
      <c r="O759" s="13" t="s">
        <v>5235</v>
      </c>
      <c r="P759" s="13" t="s">
        <v>5236</v>
      </c>
      <c r="Q759" s="13" t="s">
        <v>190</v>
      </c>
      <c r="R759" s="13" t="s">
        <v>5237</v>
      </c>
      <c r="S759" s="13" t="s">
        <v>145</v>
      </c>
      <c r="T759" s="13" t="s">
        <v>146</v>
      </c>
      <c r="U759" s="13" t="s">
        <v>110</v>
      </c>
      <c r="V759" s="47">
        <f>SUMIF(Data!$E:$E,$I759,Data!$AI:$AI)</f>
        <v>0</v>
      </c>
    </row>
    <row r="760" spans="1:22" x14ac:dyDescent="0.25">
      <c r="A760" s="46" t="s">
        <v>5030</v>
      </c>
      <c r="B760" s="46" t="s">
        <v>120</v>
      </c>
      <c r="C760" s="46" t="s">
        <v>5238</v>
      </c>
      <c r="D760" s="46">
        <v>1.52040718698134</v>
      </c>
      <c r="E760" s="47">
        <f>SUMIF(Data!$E:$E,$C760,Data!$AI:$AI)</f>
        <v>0</v>
      </c>
      <c r="I760" s="13" t="s">
        <v>5239</v>
      </c>
      <c r="J760" s="13" t="s">
        <v>5240</v>
      </c>
      <c r="K760" s="13" t="s">
        <v>137</v>
      </c>
      <c r="L760" s="13" t="s">
        <v>4421</v>
      </c>
      <c r="M760" s="13" t="s">
        <v>5241</v>
      </c>
      <c r="N760" s="13">
        <v>137.494</v>
      </c>
      <c r="O760" s="13" t="s">
        <v>5242</v>
      </c>
      <c r="P760" s="13" t="s">
        <v>5243</v>
      </c>
      <c r="Q760" s="13" t="s">
        <v>190</v>
      </c>
      <c r="R760" s="13" t="s">
        <v>5244</v>
      </c>
      <c r="S760" s="13" t="s">
        <v>145</v>
      </c>
      <c r="T760" s="13" t="s">
        <v>146</v>
      </c>
      <c r="U760" s="13" t="s">
        <v>110</v>
      </c>
      <c r="V760" s="47">
        <f>SUMIF(Data!$E:$E,$I760,Data!$AI:$AI)</f>
        <v>0</v>
      </c>
    </row>
    <row r="761" spans="1:22" x14ac:dyDescent="0.25">
      <c r="A761" s="46" t="s">
        <v>5030</v>
      </c>
      <c r="B761" s="46" t="s">
        <v>120</v>
      </c>
      <c r="C761" s="46" t="s">
        <v>5245</v>
      </c>
      <c r="D761" s="46">
        <v>0.62034191072896705</v>
      </c>
      <c r="E761" s="47">
        <f>SUMIF(Data!$E:$E,$C761,Data!$AI:$AI)</f>
        <v>0</v>
      </c>
      <c r="I761" s="13" t="s">
        <v>4626</v>
      </c>
      <c r="J761" s="13" t="s">
        <v>5246</v>
      </c>
      <c r="K761" s="13" t="s">
        <v>137</v>
      </c>
      <c r="L761" s="13" t="s">
        <v>4421</v>
      </c>
      <c r="M761" s="13" t="s">
        <v>5247</v>
      </c>
      <c r="N761" s="13">
        <v>131.82900000000001</v>
      </c>
      <c r="O761" s="13" t="s">
        <v>5248</v>
      </c>
      <c r="P761" s="13" t="s">
        <v>5249</v>
      </c>
      <c r="Q761" s="13" t="s">
        <v>224</v>
      </c>
      <c r="R761" s="13" t="s">
        <v>5250</v>
      </c>
      <c r="S761" s="13" t="s">
        <v>725</v>
      </c>
      <c r="T761" s="13" t="s">
        <v>726</v>
      </c>
      <c r="U761" s="13" t="s">
        <v>727</v>
      </c>
      <c r="V761" s="47">
        <f>SUMIF(Data!$E:$E,$I761,Data!$AI:$AI)</f>
        <v>0</v>
      </c>
    </row>
    <row r="762" spans="1:22" x14ac:dyDescent="0.25">
      <c r="A762" s="46" t="s">
        <v>5030</v>
      </c>
      <c r="B762" s="46" t="s">
        <v>120</v>
      </c>
      <c r="C762" s="46" t="s">
        <v>4006</v>
      </c>
      <c r="D762" s="46">
        <v>1.19978625248924</v>
      </c>
      <c r="E762" s="47">
        <f>SUMIF(Data!$E:$E,$C762,Data!$AI:$AI)</f>
        <v>0</v>
      </c>
      <c r="I762" s="13" t="s">
        <v>5251</v>
      </c>
      <c r="J762" s="13" t="s">
        <v>5252</v>
      </c>
      <c r="K762" s="13" t="s">
        <v>137</v>
      </c>
      <c r="L762" s="13" t="s">
        <v>4421</v>
      </c>
      <c r="M762" s="13" t="s">
        <v>5253</v>
      </c>
      <c r="N762" s="13">
        <v>35.746000000000002</v>
      </c>
      <c r="O762" s="13" t="s">
        <v>5254</v>
      </c>
      <c r="P762" s="13" t="s">
        <v>5255</v>
      </c>
      <c r="Q762" s="13" t="s">
        <v>416</v>
      </c>
      <c r="R762" s="13" t="s">
        <v>5256</v>
      </c>
      <c r="S762" s="13" t="s">
        <v>1164</v>
      </c>
      <c r="T762" s="13" t="s">
        <v>1165</v>
      </c>
      <c r="U762" s="13" t="s">
        <v>525</v>
      </c>
      <c r="V762" s="47">
        <f>SUMIF(Data!$E:$E,$I762,Data!$AI:$AI)</f>
        <v>0</v>
      </c>
    </row>
    <row r="763" spans="1:22" x14ac:dyDescent="0.25">
      <c r="A763" s="46" t="s">
        <v>5030</v>
      </c>
      <c r="B763" s="46" t="s">
        <v>120</v>
      </c>
      <c r="C763" s="46" t="s">
        <v>4595</v>
      </c>
      <c r="D763" s="46">
        <v>1.11663100036072</v>
      </c>
      <c r="E763" s="47">
        <f>SUMIF(Data!$E:$E,$C763,Data!$AI:$AI)</f>
        <v>0</v>
      </c>
      <c r="I763" s="13" t="s">
        <v>2230</v>
      </c>
      <c r="J763" s="13" t="s">
        <v>5257</v>
      </c>
      <c r="K763" s="13" t="s">
        <v>137</v>
      </c>
      <c r="L763" s="13" t="s">
        <v>4421</v>
      </c>
      <c r="M763" s="13" t="s">
        <v>5258</v>
      </c>
      <c r="N763" s="13">
        <v>381.39600000000002</v>
      </c>
      <c r="O763" s="13" t="s">
        <v>5259</v>
      </c>
      <c r="P763" s="13" t="s">
        <v>5260</v>
      </c>
      <c r="Q763" s="13" t="s">
        <v>172</v>
      </c>
      <c r="R763" s="13" t="s">
        <v>5261</v>
      </c>
      <c r="S763" s="13" t="s">
        <v>3711</v>
      </c>
      <c r="T763" s="13" t="s">
        <v>3712</v>
      </c>
      <c r="U763" s="13" t="s">
        <v>3713</v>
      </c>
      <c r="V763" s="47">
        <f>SUMIF(Data!$E:$E,$I763,Data!$AI:$AI)</f>
        <v>0</v>
      </c>
    </row>
    <row r="764" spans="1:22" x14ac:dyDescent="0.25">
      <c r="A764" s="46" t="s">
        <v>5030</v>
      </c>
      <c r="B764" s="46" t="s">
        <v>120</v>
      </c>
      <c r="C764" s="46" t="s">
        <v>4961</v>
      </c>
      <c r="D764" s="46">
        <v>3.8964228142898798</v>
      </c>
      <c r="E764" s="47">
        <f>SUMIF(Data!$E:$E,$C764,Data!$AI:$AI)</f>
        <v>0</v>
      </c>
      <c r="I764" s="13" t="s">
        <v>5262</v>
      </c>
      <c r="J764" s="13" t="s">
        <v>5263</v>
      </c>
      <c r="K764" s="13" t="s">
        <v>137</v>
      </c>
      <c r="L764" s="13" t="s">
        <v>4421</v>
      </c>
      <c r="M764" s="13" t="s">
        <v>5264</v>
      </c>
      <c r="N764" s="13">
        <v>476.65800000000002</v>
      </c>
      <c r="O764" s="13" t="s">
        <v>5265</v>
      </c>
      <c r="P764" s="13" t="s">
        <v>5266</v>
      </c>
      <c r="Q764" s="13" t="s">
        <v>190</v>
      </c>
      <c r="R764" s="13" t="s">
        <v>5267</v>
      </c>
      <c r="S764" s="13" t="s">
        <v>476</v>
      </c>
      <c r="T764" s="13" t="s">
        <v>477</v>
      </c>
      <c r="U764" s="13" t="s">
        <v>478</v>
      </c>
      <c r="V764" s="47">
        <f>SUMIF(Data!$E:$E,$I764,Data!$AI:$AI)</f>
        <v>0</v>
      </c>
    </row>
    <row r="765" spans="1:22" x14ac:dyDescent="0.25">
      <c r="A765" s="46" t="s">
        <v>5030</v>
      </c>
      <c r="B765" s="46" t="s">
        <v>120</v>
      </c>
      <c r="C765" s="46" t="s">
        <v>5268</v>
      </c>
      <c r="D765" s="46">
        <v>0.56830777636575802</v>
      </c>
      <c r="E765" s="47">
        <f>SUMIF(Data!$E:$E,$C765,Data!$AI:$AI)</f>
        <v>0</v>
      </c>
      <c r="I765" s="13">
        <v>9843</v>
      </c>
      <c r="J765" s="13" t="s">
        <v>5269</v>
      </c>
      <c r="K765" s="13" t="s">
        <v>137</v>
      </c>
      <c r="L765" s="13" t="s">
        <v>4421</v>
      </c>
      <c r="M765" s="13" t="s">
        <v>5270</v>
      </c>
      <c r="N765" s="13">
        <v>42.524000000000001</v>
      </c>
      <c r="O765" s="13" t="s">
        <v>5271</v>
      </c>
      <c r="P765" s="13" t="s">
        <v>5272</v>
      </c>
      <c r="Q765" s="13" t="s">
        <v>162</v>
      </c>
      <c r="R765" s="13" t="s">
        <v>5273</v>
      </c>
      <c r="S765" s="13" t="s">
        <v>441</v>
      </c>
      <c r="T765" s="13" t="s">
        <v>442</v>
      </c>
      <c r="U765" s="13" t="s">
        <v>443</v>
      </c>
      <c r="V765" s="47">
        <f>SUMIF(Data!$E:$E,$I765,Data!$AI:$AI)</f>
        <v>0</v>
      </c>
    </row>
    <row r="766" spans="1:22" x14ac:dyDescent="0.25">
      <c r="A766" s="46" t="s">
        <v>5030</v>
      </c>
      <c r="B766" s="46" t="s">
        <v>120</v>
      </c>
      <c r="C766" s="46" t="s">
        <v>5274</v>
      </c>
      <c r="D766" s="46">
        <v>1.8150203734711099</v>
      </c>
      <c r="E766" s="47">
        <f>SUMIF(Data!$E:$E,$C766,Data!$AI:$AI)</f>
        <v>0</v>
      </c>
      <c r="I766" s="13" t="s">
        <v>5275</v>
      </c>
      <c r="J766" s="13" t="s">
        <v>5276</v>
      </c>
      <c r="K766" s="13" t="s">
        <v>137</v>
      </c>
      <c r="L766" s="13" t="s">
        <v>4421</v>
      </c>
      <c r="M766" s="13" t="s">
        <v>5277</v>
      </c>
      <c r="N766" s="13">
        <v>98.518000000000001</v>
      </c>
      <c r="O766" s="13" t="s">
        <v>5278</v>
      </c>
      <c r="P766" s="13" t="s">
        <v>5279</v>
      </c>
      <c r="Q766" s="13" t="s">
        <v>190</v>
      </c>
      <c r="R766" s="13" t="s">
        <v>5280</v>
      </c>
      <c r="S766" s="13" t="s">
        <v>192</v>
      </c>
      <c r="T766" s="13" t="s">
        <v>146</v>
      </c>
      <c r="U766" s="13" t="s">
        <v>110</v>
      </c>
      <c r="V766" s="47">
        <f>SUMIF(Data!$E:$E,$I766,Data!$AI:$AI)</f>
        <v>0</v>
      </c>
    </row>
    <row r="767" spans="1:22" x14ac:dyDescent="0.25">
      <c r="A767" s="46" t="s">
        <v>5030</v>
      </c>
      <c r="B767" s="46" t="s">
        <v>120</v>
      </c>
      <c r="C767" s="46" t="s">
        <v>5281</v>
      </c>
      <c r="D767" s="46">
        <v>1.6434273805066599</v>
      </c>
      <c r="E767" s="47">
        <f>SUMIF(Data!$E:$E,$C767,Data!$AI:$AI)</f>
        <v>0</v>
      </c>
      <c r="I767" s="13">
        <v>6701</v>
      </c>
      <c r="J767" s="13" t="s">
        <v>5282</v>
      </c>
      <c r="K767" s="13" t="s">
        <v>137</v>
      </c>
      <c r="L767" s="13" t="s">
        <v>4421</v>
      </c>
      <c r="M767" s="13" t="s">
        <v>5283</v>
      </c>
      <c r="N767" s="13">
        <v>146.19999999999999</v>
      </c>
      <c r="O767" s="13" t="s">
        <v>5284</v>
      </c>
      <c r="P767" s="13" t="s">
        <v>5285</v>
      </c>
      <c r="Q767" s="13" t="s">
        <v>143</v>
      </c>
      <c r="R767" s="13" t="s">
        <v>5286</v>
      </c>
      <c r="S767" s="13" t="s">
        <v>441</v>
      </c>
      <c r="T767" s="13" t="s">
        <v>442</v>
      </c>
      <c r="U767" s="13" t="s">
        <v>443</v>
      </c>
      <c r="V767" s="47">
        <f>SUMIF(Data!$E:$E,$I767,Data!$AI:$AI)</f>
        <v>0</v>
      </c>
    </row>
    <row r="768" spans="1:22" x14ac:dyDescent="0.25">
      <c r="A768" s="46" t="s">
        <v>5030</v>
      </c>
      <c r="B768" s="46" t="s">
        <v>120</v>
      </c>
      <c r="C768" s="46" t="s">
        <v>4968</v>
      </c>
      <c r="D768" s="46">
        <v>3.3500573325399601</v>
      </c>
      <c r="E768" s="47">
        <f>SUMIF(Data!$E:$E,$C768,Data!$AI:$AI)</f>
        <v>0</v>
      </c>
      <c r="I768" s="13" t="s">
        <v>5287</v>
      </c>
      <c r="J768" s="13" t="s">
        <v>5288</v>
      </c>
      <c r="K768" s="13" t="s">
        <v>137</v>
      </c>
      <c r="L768" s="13" t="s">
        <v>4421</v>
      </c>
      <c r="M768" s="13" t="s">
        <v>5289</v>
      </c>
      <c r="N768" s="13">
        <v>64.307000000000002</v>
      </c>
      <c r="O768" s="13" t="s">
        <v>5290</v>
      </c>
      <c r="P768" s="13" t="s">
        <v>5291</v>
      </c>
      <c r="Q768" s="13" t="s">
        <v>190</v>
      </c>
      <c r="R768" s="13" t="s">
        <v>5292</v>
      </c>
      <c r="S768" s="13" t="s">
        <v>192</v>
      </c>
      <c r="T768" s="13" t="s">
        <v>146</v>
      </c>
      <c r="U768" s="13" t="s">
        <v>110</v>
      </c>
      <c r="V768" s="47">
        <f>SUMIF(Data!$E:$E,$I768,Data!$AI:$AI)</f>
        <v>0</v>
      </c>
    </row>
    <row r="769" spans="1:22" x14ac:dyDescent="0.25">
      <c r="A769" s="46" t="s">
        <v>5030</v>
      </c>
      <c r="B769" s="46" t="s">
        <v>120</v>
      </c>
      <c r="C769" s="46" t="s">
        <v>4975</v>
      </c>
      <c r="D769" s="46">
        <v>3.8667047538140702</v>
      </c>
      <c r="E769" s="47">
        <f>SUMIF(Data!$E:$E,$C769,Data!$AI:$AI)</f>
        <v>0</v>
      </c>
      <c r="I769" s="13" t="s">
        <v>5293</v>
      </c>
      <c r="J769" s="13" t="s">
        <v>5294</v>
      </c>
      <c r="K769" s="13" t="s">
        <v>137</v>
      </c>
      <c r="L769" s="13" t="s">
        <v>4421</v>
      </c>
      <c r="M769" s="13" t="s">
        <v>5295</v>
      </c>
      <c r="N769" s="13">
        <v>144.405</v>
      </c>
      <c r="O769" s="13" t="s">
        <v>5296</v>
      </c>
      <c r="P769" s="13" t="s">
        <v>5297</v>
      </c>
      <c r="Q769" s="13" t="s">
        <v>190</v>
      </c>
      <c r="R769" s="13" t="s">
        <v>5298</v>
      </c>
      <c r="S769" s="13" t="s">
        <v>145</v>
      </c>
      <c r="T769" s="13" t="s">
        <v>146</v>
      </c>
      <c r="U769" s="13" t="s">
        <v>110</v>
      </c>
      <c r="V769" s="47">
        <f>SUMIF(Data!$E:$E,$I769,Data!$AI:$AI)</f>
        <v>0</v>
      </c>
    </row>
    <row r="770" spans="1:22" x14ac:dyDescent="0.25">
      <c r="A770" s="46" t="s">
        <v>5030</v>
      </c>
      <c r="B770" s="46" t="s">
        <v>120</v>
      </c>
      <c r="C770" s="46" t="s">
        <v>5299</v>
      </c>
      <c r="D770" s="46">
        <v>1.7736941661496901</v>
      </c>
      <c r="E770" s="47">
        <f>SUMIF(Data!$E:$E,$C770,Data!$AI:$AI)</f>
        <v>0</v>
      </c>
      <c r="I770" s="13" t="s">
        <v>5300</v>
      </c>
      <c r="J770" s="13" t="s">
        <v>5301</v>
      </c>
      <c r="K770" s="13" t="s">
        <v>137</v>
      </c>
      <c r="L770" s="13" t="s">
        <v>4421</v>
      </c>
      <c r="M770" s="13" t="s">
        <v>5302</v>
      </c>
      <c r="N770" s="13">
        <v>222.78399999999999</v>
      </c>
      <c r="O770" s="13" t="s">
        <v>5303</v>
      </c>
      <c r="P770" s="13" t="s">
        <v>5304</v>
      </c>
      <c r="Q770" s="13" t="s">
        <v>190</v>
      </c>
      <c r="R770" s="13" t="s">
        <v>5305</v>
      </c>
      <c r="S770" s="13" t="s">
        <v>192</v>
      </c>
      <c r="T770" s="13" t="s">
        <v>146</v>
      </c>
      <c r="U770" s="13" t="s">
        <v>110</v>
      </c>
      <c r="V770" s="47">
        <f>SUMIF(Data!$E:$E,$I770,Data!$AI:$AI)</f>
        <v>0</v>
      </c>
    </row>
    <row r="771" spans="1:22" x14ac:dyDescent="0.25">
      <c r="A771" s="46" t="s">
        <v>5030</v>
      </c>
      <c r="B771" s="46" t="s">
        <v>120</v>
      </c>
      <c r="C771" s="46" t="s">
        <v>5306</v>
      </c>
      <c r="D771" s="46">
        <v>1.0640558771675099</v>
      </c>
      <c r="E771" s="47">
        <f>SUMIF(Data!$E:$E,$C771,Data!$AI:$AI)</f>
        <v>0</v>
      </c>
      <c r="I771" s="13" t="s">
        <v>5307</v>
      </c>
      <c r="J771" s="13" t="s">
        <v>5308</v>
      </c>
      <c r="K771" s="13" t="s">
        <v>137</v>
      </c>
      <c r="L771" s="13" t="s">
        <v>4421</v>
      </c>
      <c r="M771" s="13" t="s">
        <v>5309</v>
      </c>
      <c r="N771" s="13">
        <v>36.320999999999998</v>
      </c>
      <c r="O771" s="13" t="s">
        <v>5310</v>
      </c>
      <c r="P771" s="13" t="s">
        <v>5311</v>
      </c>
      <c r="Q771" s="13" t="s">
        <v>143</v>
      </c>
      <c r="R771" s="13" t="s">
        <v>5312</v>
      </c>
      <c r="S771" s="13" t="s">
        <v>192</v>
      </c>
      <c r="T771" s="13" t="s">
        <v>146</v>
      </c>
      <c r="U771" s="13" t="s">
        <v>110</v>
      </c>
      <c r="V771" s="47">
        <f>SUMIF(Data!$E:$E,$I771,Data!$AI:$AI)</f>
        <v>0</v>
      </c>
    </row>
    <row r="772" spans="1:22" x14ac:dyDescent="0.25">
      <c r="A772" s="46" t="s">
        <v>5030</v>
      </c>
      <c r="B772" s="46" t="s">
        <v>120</v>
      </c>
      <c r="C772" s="46" t="s">
        <v>5313</v>
      </c>
      <c r="D772" s="46">
        <v>0.46948029650330197</v>
      </c>
      <c r="E772" s="47">
        <f>SUMIF(Data!$E:$E,$C772,Data!$AI:$AI)</f>
        <v>0</v>
      </c>
      <c r="I772" s="13" t="s">
        <v>5314</v>
      </c>
      <c r="J772" s="13" t="s">
        <v>5315</v>
      </c>
      <c r="K772" s="13" t="s">
        <v>137</v>
      </c>
      <c r="L772" s="13" t="s">
        <v>4421</v>
      </c>
      <c r="M772" s="13" t="s">
        <v>5316</v>
      </c>
      <c r="N772" s="13">
        <v>267.05700000000002</v>
      </c>
      <c r="O772" s="13" t="s">
        <v>5317</v>
      </c>
      <c r="P772" s="13" t="s">
        <v>5318</v>
      </c>
      <c r="Q772" s="13" t="s">
        <v>260</v>
      </c>
      <c r="R772" s="13" t="s">
        <v>5319</v>
      </c>
      <c r="S772" s="13" t="s">
        <v>192</v>
      </c>
      <c r="T772" s="13" t="s">
        <v>146</v>
      </c>
      <c r="U772" s="13" t="s">
        <v>110</v>
      </c>
      <c r="V772" s="47">
        <f>SUMIF(Data!$E:$E,$I772,Data!$AI:$AI)</f>
        <v>0</v>
      </c>
    </row>
    <row r="773" spans="1:22" x14ac:dyDescent="0.25">
      <c r="A773" s="46" t="s">
        <v>5030</v>
      </c>
      <c r="B773" s="46" t="s">
        <v>120</v>
      </c>
      <c r="C773" s="46" t="s">
        <v>3171</v>
      </c>
      <c r="D773" s="46">
        <v>1.2924317722726399</v>
      </c>
      <c r="E773" s="47">
        <f>SUMIF(Data!$E:$E,$C773,Data!$AI:$AI)</f>
        <v>0</v>
      </c>
      <c r="I773" s="13" t="s">
        <v>5320</v>
      </c>
      <c r="J773" s="13" t="s">
        <v>5321</v>
      </c>
      <c r="K773" s="13" t="s">
        <v>137</v>
      </c>
      <c r="L773" s="13" t="s">
        <v>4421</v>
      </c>
      <c r="M773" s="13" t="s">
        <v>5322</v>
      </c>
      <c r="N773" s="13">
        <v>67.325999999999993</v>
      </c>
      <c r="O773" s="13" t="s">
        <v>5323</v>
      </c>
      <c r="P773" s="13" t="s">
        <v>5324</v>
      </c>
      <c r="Q773" s="13" t="s">
        <v>224</v>
      </c>
      <c r="R773" s="13" t="s">
        <v>5325</v>
      </c>
      <c r="S773" s="13" t="s">
        <v>642</v>
      </c>
      <c r="T773" s="13" t="s">
        <v>643</v>
      </c>
      <c r="U773" s="13" t="s">
        <v>525</v>
      </c>
      <c r="V773" s="47">
        <f>SUMIF(Data!$E:$E,$I773,Data!$AI:$AI)</f>
        <v>0</v>
      </c>
    </row>
    <row r="774" spans="1:22" x14ac:dyDescent="0.25">
      <c r="A774" s="46" t="s">
        <v>5030</v>
      </c>
      <c r="B774" s="46" t="s">
        <v>120</v>
      </c>
      <c r="C774" s="46" t="s">
        <v>4517</v>
      </c>
      <c r="D774" s="46">
        <v>2.2905817380257401</v>
      </c>
      <c r="E774" s="47">
        <f>SUMIF(Data!$E:$E,$C774,Data!$AI:$AI)</f>
        <v>0</v>
      </c>
      <c r="I774" s="13">
        <v>7201</v>
      </c>
      <c r="J774" s="13" t="s">
        <v>5326</v>
      </c>
      <c r="K774" s="13" t="s">
        <v>137</v>
      </c>
      <c r="L774" s="13" t="s">
        <v>4421</v>
      </c>
      <c r="M774" s="13" t="s">
        <v>5327</v>
      </c>
      <c r="N774" s="13" t="s">
        <v>5328</v>
      </c>
      <c r="O774" s="13" t="s">
        <v>5329</v>
      </c>
      <c r="P774" s="13" t="s">
        <v>5330</v>
      </c>
      <c r="Q774" s="13" t="s">
        <v>162</v>
      </c>
      <c r="R774" s="13" t="s">
        <v>5331</v>
      </c>
      <c r="S774" s="13" t="s">
        <v>441</v>
      </c>
      <c r="T774" s="13" t="s">
        <v>442</v>
      </c>
      <c r="U774" s="13" t="s">
        <v>443</v>
      </c>
      <c r="V774" s="47">
        <f>SUMIF(Data!$E:$E,$I774,Data!$AI:$AI)</f>
        <v>0</v>
      </c>
    </row>
    <row r="775" spans="1:22" x14ac:dyDescent="0.25">
      <c r="A775" s="46" t="s">
        <v>5030</v>
      </c>
      <c r="B775" s="46" t="s">
        <v>120</v>
      </c>
      <c r="C775" s="46" t="s">
        <v>5332</v>
      </c>
      <c r="D775" s="46">
        <v>3.0235497430214799</v>
      </c>
      <c r="E775" s="47">
        <f>SUMIF(Data!$E:$E,$C775,Data!$AI:$AI)</f>
        <v>0</v>
      </c>
      <c r="I775" s="13" t="s">
        <v>5333</v>
      </c>
      <c r="J775" s="13" t="s">
        <v>5334</v>
      </c>
      <c r="K775" s="13" t="s">
        <v>137</v>
      </c>
      <c r="L775" s="13" t="s">
        <v>4421</v>
      </c>
      <c r="M775" s="13" t="s">
        <v>5335</v>
      </c>
      <c r="N775" s="13">
        <v>113.88200000000001</v>
      </c>
      <c r="O775" s="13" t="s">
        <v>5336</v>
      </c>
      <c r="P775" s="13" t="s">
        <v>5337</v>
      </c>
      <c r="Q775" s="13" t="s">
        <v>162</v>
      </c>
      <c r="R775" s="13" t="s">
        <v>5338</v>
      </c>
      <c r="S775" s="13" t="s">
        <v>192</v>
      </c>
      <c r="T775" s="13" t="s">
        <v>146</v>
      </c>
      <c r="U775" s="13" t="s">
        <v>110</v>
      </c>
      <c r="V775" s="47">
        <f>SUMIF(Data!$E:$E,$I775,Data!$AI:$AI)</f>
        <v>0</v>
      </c>
    </row>
    <row r="776" spans="1:22" x14ac:dyDescent="0.25">
      <c r="A776" s="46" t="s">
        <v>5030</v>
      </c>
      <c r="B776" s="46" t="s">
        <v>120</v>
      </c>
      <c r="C776" s="46" t="s">
        <v>3578</v>
      </c>
      <c r="D776" s="46">
        <v>0.37429844012971802</v>
      </c>
      <c r="E776" s="47">
        <f>SUMIF(Data!$E:$E,$C776,Data!$AI:$AI)</f>
        <v>0</v>
      </c>
      <c r="I776" s="13">
        <v>4689</v>
      </c>
      <c r="J776" s="13" t="s">
        <v>5339</v>
      </c>
      <c r="K776" s="13" t="s">
        <v>137</v>
      </c>
      <c r="L776" s="13" t="s">
        <v>4421</v>
      </c>
      <c r="M776" s="13" t="s">
        <v>5340</v>
      </c>
      <c r="N776" s="13" t="s">
        <v>5341</v>
      </c>
      <c r="O776" s="13" t="s">
        <v>5342</v>
      </c>
      <c r="P776" s="13" t="s">
        <v>5343</v>
      </c>
      <c r="Q776" s="13" t="s">
        <v>172</v>
      </c>
      <c r="R776" s="13" t="s">
        <v>5344</v>
      </c>
      <c r="S776" s="13" t="s">
        <v>441</v>
      </c>
      <c r="T776" s="13" t="s">
        <v>442</v>
      </c>
      <c r="U776" s="13" t="s">
        <v>443</v>
      </c>
      <c r="V776" s="47">
        <f>SUMIF(Data!$E:$E,$I776,Data!$AI:$AI)</f>
        <v>0</v>
      </c>
    </row>
    <row r="777" spans="1:22" x14ac:dyDescent="0.25">
      <c r="A777" s="46" t="s">
        <v>5030</v>
      </c>
      <c r="B777" s="46" t="s">
        <v>120</v>
      </c>
      <c r="C777" s="46" t="s">
        <v>5345</v>
      </c>
      <c r="D777" s="46">
        <v>1.0685022594558899</v>
      </c>
      <c r="E777" s="47">
        <f>SUMIF(Data!$E:$E,$C777,Data!$AI:$AI)</f>
        <v>0</v>
      </c>
      <c r="I777" s="13">
        <v>6869</v>
      </c>
      <c r="J777" s="13" t="s">
        <v>5346</v>
      </c>
      <c r="K777" s="13" t="s">
        <v>137</v>
      </c>
      <c r="L777" s="13" t="s">
        <v>4421</v>
      </c>
      <c r="M777" s="13" t="s">
        <v>5347</v>
      </c>
      <c r="N777" s="13">
        <v>94.307000000000002</v>
      </c>
      <c r="O777" s="13" t="s">
        <v>5348</v>
      </c>
      <c r="P777" s="13" t="s">
        <v>5349</v>
      </c>
      <c r="Q777" s="13" t="s">
        <v>208</v>
      </c>
      <c r="R777" s="13" t="s">
        <v>5350</v>
      </c>
      <c r="S777" s="13" t="s">
        <v>441</v>
      </c>
      <c r="T777" s="13" t="s">
        <v>442</v>
      </c>
      <c r="U777" s="13" t="s">
        <v>443</v>
      </c>
      <c r="V777" s="47">
        <f>SUMIF(Data!$E:$E,$I777,Data!$AI:$AI)</f>
        <v>0</v>
      </c>
    </row>
    <row r="778" spans="1:22" x14ac:dyDescent="0.25">
      <c r="A778" s="46" t="s">
        <v>5030</v>
      </c>
      <c r="B778" s="46" t="s">
        <v>120</v>
      </c>
      <c r="C778" s="46" t="s">
        <v>5351</v>
      </c>
      <c r="D778" s="46">
        <v>0.57439931413553003</v>
      </c>
      <c r="E778" s="47">
        <f>SUMIF(Data!$E:$E,$C778,Data!$AI:$AI)</f>
        <v>0</v>
      </c>
      <c r="I778" s="13" t="s">
        <v>5352</v>
      </c>
      <c r="J778" s="13" t="s">
        <v>5353</v>
      </c>
      <c r="K778" s="13" t="s">
        <v>137</v>
      </c>
      <c r="L778" s="13" t="s">
        <v>4421</v>
      </c>
      <c r="M778" s="13" t="s">
        <v>5354</v>
      </c>
      <c r="N778" s="13">
        <v>68.135999999999996</v>
      </c>
      <c r="O778" s="13" t="s">
        <v>5355</v>
      </c>
      <c r="P778" s="13" t="s">
        <v>5356</v>
      </c>
      <c r="Q778" s="13" t="s">
        <v>162</v>
      </c>
      <c r="R778" s="13" t="s">
        <v>5357</v>
      </c>
      <c r="S778" s="13" t="s">
        <v>145</v>
      </c>
      <c r="T778" s="13" t="s">
        <v>146</v>
      </c>
      <c r="U778" s="13" t="s">
        <v>110</v>
      </c>
      <c r="V778" s="47">
        <f>SUMIF(Data!$E:$E,$I778,Data!$AI:$AI)</f>
        <v>0</v>
      </c>
    </row>
    <row r="779" spans="1:22" x14ac:dyDescent="0.25">
      <c r="A779" s="46" t="s">
        <v>5030</v>
      </c>
      <c r="B779" s="46" t="s">
        <v>120</v>
      </c>
      <c r="C779" s="46" t="s">
        <v>5358</v>
      </c>
      <c r="D779" s="46">
        <v>0.38593810454459498</v>
      </c>
      <c r="E779" s="47">
        <f>SUMIF(Data!$E:$E,$C779,Data!$AI:$AI)</f>
        <v>0</v>
      </c>
      <c r="I779" s="13" t="s">
        <v>5359</v>
      </c>
      <c r="J779" s="13" t="s">
        <v>5360</v>
      </c>
      <c r="K779" s="13" t="s">
        <v>137</v>
      </c>
      <c r="L779" s="13" t="s">
        <v>4421</v>
      </c>
      <c r="M779" s="13" t="s">
        <v>5361</v>
      </c>
      <c r="N779" s="13">
        <v>172.62899999999999</v>
      </c>
      <c r="O779" s="13" t="s">
        <v>5362</v>
      </c>
      <c r="P779" s="13" t="s">
        <v>5363</v>
      </c>
      <c r="Q779" s="13" t="s">
        <v>416</v>
      </c>
      <c r="R779" s="13" t="s">
        <v>5364</v>
      </c>
      <c r="S779" s="13" t="s">
        <v>1164</v>
      </c>
      <c r="T779" s="13" t="s">
        <v>1165</v>
      </c>
      <c r="U779" s="13" t="s">
        <v>525</v>
      </c>
      <c r="V779" s="47">
        <f>SUMIF(Data!$E:$E,$I779,Data!$AI:$AI)</f>
        <v>0</v>
      </c>
    </row>
    <row r="780" spans="1:22" x14ac:dyDescent="0.25">
      <c r="A780" s="46" t="s">
        <v>5030</v>
      </c>
      <c r="B780" s="46" t="s">
        <v>120</v>
      </c>
      <c r="C780" s="46" t="s">
        <v>5365</v>
      </c>
      <c r="D780" s="46">
        <v>0.48563633908926801</v>
      </c>
      <c r="E780" s="47">
        <f>SUMIF(Data!$E:$E,$C780,Data!$AI:$AI)</f>
        <v>0</v>
      </c>
      <c r="I780" s="13" t="s">
        <v>5366</v>
      </c>
      <c r="J780" s="13" t="s">
        <v>5367</v>
      </c>
      <c r="K780" s="13" t="s">
        <v>137</v>
      </c>
      <c r="L780" s="13" t="s">
        <v>4421</v>
      </c>
      <c r="M780" s="13" t="s">
        <v>5368</v>
      </c>
      <c r="N780" s="13">
        <v>187.958</v>
      </c>
      <c r="O780" s="13" t="s">
        <v>5369</v>
      </c>
      <c r="P780" s="13" t="s">
        <v>5370</v>
      </c>
      <c r="Q780" s="13" t="s">
        <v>416</v>
      </c>
      <c r="R780" s="13" t="s">
        <v>5371</v>
      </c>
      <c r="S780" s="13" t="s">
        <v>2928</v>
      </c>
      <c r="T780" s="13" t="s">
        <v>2929</v>
      </c>
      <c r="U780" s="13" t="s">
        <v>2930</v>
      </c>
      <c r="V780" s="47">
        <f>SUMIF(Data!$E:$E,$I780,Data!$AI:$AI)</f>
        <v>0</v>
      </c>
    </row>
    <row r="781" spans="1:22" x14ac:dyDescent="0.25">
      <c r="A781" s="46" t="s">
        <v>5030</v>
      </c>
      <c r="B781" s="46" t="s">
        <v>120</v>
      </c>
      <c r="C781" s="46" t="s">
        <v>5372</v>
      </c>
      <c r="D781" s="46">
        <v>0.697819102354995</v>
      </c>
      <c r="E781" s="47">
        <f>SUMIF(Data!$E:$E,$C781,Data!$AI:$AI)</f>
        <v>0</v>
      </c>
      <c r="I781" s="13" t="s">
        <v>5373</v>
      </c>
      <c r="J781" s="13" t="s">
        <v>5374</v>
      </c>
      <c r="K781" s="13" t="s">
        <v>137</v>
      </c>
      <c r="L781" s="13" t="s">
        <v>4421</v>
      </c>
      <c r="M781" s="13" t="s">
        <v>5375</v>
      </c>
      <c r="N781" s="13">
        <v>24.146999999999998</v>
      </c>
      <c r="O781" s="13" t="s">
        <v>5376</v>
      </c>
      <c r="P781" s="13" t="s">
        <v>5377</v>
      </c>
      <c r="Q781" s="13" t="s">
        <v>416</v>
      </c>
      <c r="R781" s="13" t="s">
        <v>5378</v>
      </c>
      <c r="S781" s="13" t="s">
        <v>192</v>
      </c>
      <c r="T781" s="13" t="s">
        <v>146</v>
      </c>
      <c r="U781" s="13" t="s">
        <v>110</v>
      </c>
      <c r="V781" s="47">
        <f>SUMIF(Data!$E:$E,$I781,Data!$AI:$AI)</f>
        <v>0</v>
      </c>
    </row>
    <row r="782" spans="1:22" x14ac:dyDescent="0.25">
      <c r="A782" s="46" t="s">
        <v>5030</v>
      </c>
      <c r="B782" s="46" t="s">
        <v>120</v>
      </c>
      <c r="C782" s="46" t="s">
        <v>5379</v>
      </c>
      <c r="D782" s="46">
        <v>0.66929979954396901</v>
      </c>
      <c r="E782" s="47">
        <f>SUMIF(Data!$E:$E,$C782,Data!$AI:$AI)</f>
        <v>0</v>
      </c>
      <c r="I782" s="13" t="s">
        <v>5380</v>
      </c>
      <c r="J782" s="13" t="s">
        <v>5381</v>
      </c>
      <c r="K782" s="13" t="s">
        <v>137</v>
      </c>
      <c r="L782" s="13" t="s">
        <v>4421</v>
      </c>
      <c r="M782" s="13" t="s">
        <v>5382</v>
      </c>
      <c r="N782" s="13">
        <v>685.10599999999999</v>
      </c>
      <c r="O782" s="13" t="s">
        <v>5383</v>
      </c>
      <c r="P782" s="13" t="s">
        <v>5384</v>
      </c>
      <c r="Q782" s="13" t="s">
        <v>190</v>
      </c>
      <c r="R782" s="13" t="s">
        <v>5385</v>
      </c>
      <c r="S782" s="13" t="s">
        <v>192</v>
      </c>
      <c r="T782" s="13" t="s">
        <v>146</v>
      </c>
      <c r="U782" s="13" t="s">
        <v>110</v>
      </c>
      <c r="V782" s="47">
        <f>SUMIF(Data!$E:$E,$I782,Data!$AI:$AI)</f>
        <v>0</v>
      </c>
    </row>
    <row r="783" spans="1:22" x14ac:dyDescent="0.25">
      <c r="A783" s="46" t="s">
        <v>5030</v>
      </c>
      <c r="B783" s="46" t="s">
        <v>120</v>
      </c>
      <c r="C783" s="46" t="s">
        <v>5386</v>
      </c>
      <c r="D783" s="46">
        <v>1.15469025611396</v>
      </c>
      <c r="E783" s="47">
        <f>SUMIF(Data!$E:$E,$C783,Data!$AI:$AI)</f>
        <v>0</v>
      </c>
      <c r="I783" s="13" t="s">
        <v>5387</v>
      </c>
      <c r="J783" s="13" t="s">
        <v>5388</v>
      </c>
      <c r="K783" s="13" t="s">
        <v>137</v>
      </c>
      <c r="L783" s="13" t="s">
        <v>4421</v>
      </c>
      <c r="M783" s="13" t="s">
        <v>5389</v>
      </c>
      <c r="N783" s="13">
        <v>246.95400000000001</v>
      </c>
      <c r="O783" s="13" t="s">
        <v>5390</v>
      </c>
      <c r="P783" s="13" t="s">
        <v>5391</v>
      </c>
      <c r="Q783" s="13" t="s">
        <v>143</v>
      </c>
      <c r="R783" s="13" t="s">
        <v>5392</v>
      </c>
      <c r="S783" s="13" t="s">
        <v>192</v>
      </c>
      <c r="T783" s="13" t="s">
        <v>146</v>
      </c>
      <c r="U783" s="13" t="s">
        <v>110</v>
      </c>
      <c r="V783" s="47">
        <f>SUMIF(Data!$E:$E,$I783,Data!$AI:$AI)</f>
        <v>0</v>
      </c>
    </row>
    <row r="784" spans="1:22" x14ac:dyDescent="0.25">
      <c r="A784" s="46" t="s">
        <v>5030</v>
      </c>
      <c r="B784" s="46" t="s">
        <v>120</v>
      </c>
      <c r="C784" s="46" t="s">
        <v>5393</v>
      </c>
      <c r="D784" s="46">
        <v>7.9628397080134999E-2</v>
      </c>
      <c r="E784" s="47">
        <f>SUMIF(Data!$E:$E,$C784,Data!$AI:$AI)</f>
        <v>0</v>
      </c>
      <c r="I784" s="13" t="s">
        <v>5394</v>
      </c>
      <c r="J784" s="13" t="s">
        <v>5394</v>
      </c>
      <c r="K784" s="13" t="s">
        <v>137</v>
      </c>
      <c r="L784" s="13" t="s">
        <v>4421</v>
      </c>
      <c r="M784" s="13" t="s">
        <v>5395</v>
      </c>
      <c r="N784" s="13">
        <v>117.339</v>
      </c>
      <c r="O784" s="13" t="s">
        <v>5396</v>
      </c>
      <c r="P784" s="13" t="s">
        <v>5397</v>
      </c>
      <c r="Q784" s="13" t="s">
        <v>172</v>
      </c>
      <c r="R784" s="13" t="s">
        <v>5398</v>
      </c>
      <c r="S784" s="13" t="s">
        <v>3139</v>
      </c>
      <c r="T784" s="13" t="s">
        <v>3140</v>
      </c>
      <c r="U784" s="13" t="s">
        <v>525</v>
      </c>
      <c r="V784" s="47">
        <f>SUMIF(Data!$E:$E,$I784,Data!$AI:$AI)</f>
        <v>0</v>
      </c>
    </row>
    <row r="785" spans="1:22" x14ac:dyDescent="0.25">
      <c r="A785" s="46" t="s">
        <v>5030</v>
      </c>
      <c r="B785" s="46" t="s">
        <v>120</v>
      </c>
      <c r="C785" s="46" t="s">
        <v>5399</v>
      </c>
      <c r="D785" s="46">
        <v>0.83535314013523199</v>
      </c>
      <c r="E785" s="47">
        <f>SUMIF(Data!$E:$E,$C785,Data!$AI:$AI)</f>
        <v>0</v>
      </c>
      <c r="I785" s="13" t="s">
        <v>5400</v>
      </c>
      <c r="J785" s="13" t="s">
        <v>5401</v>
      </c>
      <c r="K785" s="13" t="s">
        <v>137</v>
      </c>
      <c r="L785" s="13" t="s">
        <v>4421</v>
      </c>
      <c r="M785" s="13" t="s">
        <v>5402</v>
      </c>
      <c r="N785" s="13">
        <v>32.838999999999999</v>
      </c>
      <c r="O785" s="13" t="s">
        <v>5403</v>
      </c>
      <c r="P785" s="13" t="s">
        <v>5404</v>
      </c>
      <c r="Q785" s="13" t="s">
        <v>416</v>
      </c>
      <c r="R785" s="13" t="s">
        <v>5405</v>
      </c>
      <c r="S785" s="13" t="s">
        <v>145</v>
      </c>
      <c r="T785" s="13" t="s">
        <v>146</v>
      </c>
      <c r="U785" s="13" t="s">
        <v>110</v>
      </c>
      <c r="V785" s="47">
        <f>SUMIF(Data!$E:$E,$I785,Data!$AI:$AI)</f>
        <v>0</v>
      </c>
    </row>
    <row r="786" spans="1:22" x14ac:dyDescent="0.25">
      <c r="A786" s="46" t="s">
        <v>5030</v>
      </c>
      <c r="B786" s="46" t="s">
        <v>120</v>
      </c>
      <c r="C786" s="46" t="s">
        <v>5406</v>
      </c>
      <c r="D786" s="46">
        <v>2.6692955666551499</v>
      </c>
      <c r="E786" s="47">
        <f>SUMIF(Data!$E:$E,$C786,Data!$AI:$AI)</f>
        <v>0</v>
      </c>
      <c r="I786" s="13" t="s">
        <v>5407</v>
      </c>
      <c r="J786" s="13" t="s">
        <v>5408</v>
      </c>
      <c r="K786" s="13" t="s">
        <v>137</v>
      </c>
      <c r="L786" s="13" t="s">
        <v>4421</v>
      </c>
      <c r="M786" s="13" t="s">
        <v>5409</v>
      </c>
      <c r="N786" s="13">
        <v>224.16499999999999</v>
      </c>
      <c r="O786" s="13" t="s">
        <v>5410</v>
      </c>
      <c r="P786" s="13" t="s">
        <v>5411</v>
      </c>
      <c r="Q786" s="13" t="s">
        <v>416</v>
      </c>
      <c r="R786" s="13" t="s">
        <v>5412</v>
      </c>
      <c r="S786" s="13" t="s">
        <v>192</v>
      </c>
      <c r="T786" s="13" t="s">
        <v>146</v>
      </c>
      <c r="U786" s="13" t="s">
        <v>110</v>
      </c>
      <c r="V786" s="47">
        <f>SUMIF(Data!$E:$E,$I786,Data!$AI:$AI)</f>
        <v>0</v>
      </c>
    </row>
    <row r="787" spans="1:22" x14ac:dyDescent="0.25">
      <c r="A787" s="46" t="s">
        <v>5413</v>
      </c>
      <c r="B787" s="46" t="s">
        <v>120</v>
      </c>
      <c r="C787" s="46" t="s">
        <v>5414</v>
      </c>
      <c r="D787" s="46">
        <v>0.46009578698698</v>
      </c>
      <c r="E787" s="47">
        <f>SUMIF(Data!$E:$E,$C787,Data!$AI:$AI)</f>
        <v>0</v>
      </c>
      <c r="I787" s="13" t="s">
        <v>5415</v>
      </c>
      <c r="J787" s="13" t="s">
        <v>5416</v>
      </c>
      <c r="K787" s="13" t="s">
        <v>137</v>
      </c>
      <c r="L787" s="13" t="s">
        <v>4421</v>
      </c>
      <c r="M787" s="13" t="s">
        <v>5417</v>
      </c>
      <c r="N787" s="13">
        <v>69.400000000000006</v>
      </c>
      <c r="O787" s="13" t="s">
        <v>5418</v>
      </c>
      <c r="P787" s="13" t="s">
        <v>5419</v>
      </c>
      <c r="Q787" s="13" t="s">
        <v>190</v>
      </c>
      <c r="R787" s="13" t="s">
        <v>5420</v>
      </c>
      <c r="S787" s="13" t="s">
        <v>192</v>
      </c>
      <c r="T787" s="13" t="s">
        <v>146</v>
      </c>
      <c r="U787" s="13" t="s">
        <v>110</v>
      </c>
      <c r="V787" s="47">
        <f>SUMIF(Data!$E:$E,$I787,Data!$AI:$AI)</f>
        <v>0</v>
      </c>
    </row>
    <row r="788" spans="1:22" x14ac:dyDescent="0.25">
      <c r="A788" s="46" t="s">
        <v>5413</v>
      </c>
      <c r="B788" s="46" t="s">
        <v>120</v>
      </c>
      <c r="C788" s="46" t="s">
        <v>5421</v>
      </c>
      <c r="D788" s="46">
        <v>3.1603989024639998</v>
      </c>
      <c r="E788" s="47">
        <f>SUMIF(Data!$E:$E,$C788,Data!$AI:$AI)</f>
        <v>0</v>
      </c>
      <c r="I788" s="13" t="s">
        <v>5422</v>
      </c>
      <c r="J788" s="13" t="s">
        <v>5423</v>
      </c>
      <c r="K788" s="13" t="s">
        <v>137</v>
      </c>
      <c r="L788" s="13" t="s">
        <v>4421</v>
      </c>
      <c r="M788" s="13" t="s">
        <v>5424</v>
      </c>
      <c r="N788" s="13">
        <v>140.374</v>
      </c>
      <c r="O788" s="13" t="s">
        <v>5425</v>
      </c>
      <c r="P788" s="13" t="s">
        <v>5426</v>
      </c>
      <c r="Q788" s="13" t="s">
        <v>143</v>
      </c>
      <c r="R788" s="13" t="s">
        <v>5427</v>
      </c>
      <c r="S788" s="13" t="s">
        <v>725</v>
      </c>
      <c r="T788" s="13" t="s">
        <v>726</v>
      </c>
      <c r="U788" s="13" t="s">
        <v>727</v>
      </c>
      <c r="V788" s="47">
        <f>SUMIF(Data!$E:$E,$I788,Data!$AI:$AI)</f>
        <v>0</v>
      </c>
    </row>
    <row r="789" spans="1:22" x14ac:dyDescent="0.25">
      <c r="A789" s="46" t="s">
        <v>5413</v>
      </c>
      <c r="B789" s="46" t="s">
        <v>120</v>
      </c>
      <c r="C789" s="46" t="s">
        <v>5428</v>
      </c>
      <c r="D789" s="46">
        <v>0.87884573430218504</v>
      </c>
      <c r="E789" s="47">
        <f>SUMIF(Data!$E:$E,$C789,Data!$AI:$AI)</f>
        <v>0</v>
      </c>
      <c r="I789" s="13" t="s">
        <v>5429</v>
      </c>
      <c r="J789" s="13" t="s">
        <v>5430</v>
      </c>
      <c r="K789" s="13" t="s">
        <v>137</v>
      </c>
      <c r="L789" s="13" t="s">
        <v>4421</v>
      </c>
      <c r="M789" s="13" t="s">
        <v>5431</v>
      </c>
      <c r="N789" s="13">
        <v>72.885000000000005</v>
      </c>
      <c r="O789" s="13" t="s">
        <v>5432</v>
      </c>
      <c r="P789" s="13" t="s">
        <v>5433</v>
      </c>
      <c r="Q789" s="13" t="s">
        <v>162</v>
      </c>
      <c r="R789" s="13" t="s">
        <v>5434</v>
      </c>
      <c r="S789" s="13" t="s">
        <v>476</v>
      </c>
      <c r="T789" s="13" t="s">
        <v>477</v>
      </c>
      <c r="U789" s="13" t="s">
        <v>478</v>
      </c>
      <c r="V789" s="47">
        <f>SUMIF(Data!$E:$E,$I789,Data!$AI:$AI)</f>
        <v>0</v>
      </c>
    </row>
    <row r="790" spans="1:22" x14ac:dyDescent="0.25">
      <c r="A790" s="46" t="s">
        <v>5413</v>
      </c>
      <c r="B790" s="46" t="s">
        <v>120</v>
      </c>
      <c r="C790" s="46" t="s">
        <v>4468</v>
      </c>
      <c r="D790" s="46">
        <v>1.68671657644735</v>
      </c>
      <c r="E790" s="47">
        <f>SUMIF(Data!$E:$E,$C790,Data!$AI:$AI)</f>
        <v>0</v>
      </c>
      <c r="I790" s="13" t="s">
        <v>5435</v>
      </c>
      <c r="J790" s="13" t="s">
        <v>5436</v>
      </c>
      <c r="K790" s="13" t="s">
        <v>137</v>
      </c>
      <c r="L790" s="13" t="s">
        <v>4421</v>
      </c>
      <c r="M790" s="13" t="s">
        <v>5437</v>
      </c>
      <c r="N790" s="13">
        <v>44.006999999999998</v>
      </c>
      <c r="O790" s="13" t="s">
        <v>5438</v>
      </c>
      <c r="P790" s="13" t="s">
        <v>5439</v>
      </c>
      <c r="Q790" s="13" t="s">
        <v>208</v>
      </c>
      <c r="R790" s="13" t="s">
        <v>5440</v>
      </c>
      <c r="S790" s="13" t="s">
        <v>192</v>
      </c>
      <c r="T790" s="13" t="s">
        <v>146</v>
      </c>
      <c r="U790" s="13" t="s">
        <v>110</v>
      </c>
      <c r="V790" s="47">
        <f>SUMIF(Data!$E:$E,$I790,Data!$AI:$AI)</f>
        <v>0</v>
      </c>
    </row>
    <row r="791" spans="1:22" x14ac:dyDescent="0.25">
      <c r="A791" s="46" t="s">
        <v>5413</v>
      </c>
      <c r="B791" s="46" t="s">
        <v>120</v>
      </c>
      <c r="C791" s="46" t="s">
        <v>5441</v>
      </c>
      <c r="D791" s="46">
        <v>3.5387541256197101</v>
      </c>
      <c r="E791" s="47">
        <f>SUMIF(Data!$E:$E,$C791,Data!$AI:$AI)</f>
        <v>0</v>
      </c>
      <c r="I791" s="13" t="s">
        <v>5442</v>
      </c>
      <c r="J791" s="13" t="s">
        <v>5443</v>
      </c>
      <c r="K791" s="13" t="s">
        <v>137</v>
      </c>
      <c r="L791" s="13" t="s">
        <v>4421</v>
      </c>
      <c r="M791" s="13" t="s">
        <v>5444</v>
      </c>
      <c r="N791" s="13">
        <v>102.02200000000001</v>
      </c>
      <c r="O791" s="13" t="s">
        <v>5445</v>
      </c>
      <c r="P791" s="13" t="s">
        <v>5446</v>
      </c>
      <c r="Q791" s="13" t="s">
        <v>416</v>
      </c>
      <c r="R791" s="13" t="s">
        <v>5447</v>
      </c>
      <c r="S791" s="13" t="s">
        <v>226</v>
      </c>
      <c r="T791" s="13" t="s">
        <v>227</v>
      </c>
      <c r="U791" s="13" t="s">
        <v>228</v>
      </c>
      <c r="V791" s="47">
        <f>SUMIF(Data!$E:$E,$I791,Data!$AI:$AI)</f>
        <v>0</v>
      </c>
    </row>
    <row r="792" spans="1:22" x14ac:dyDescent="0.25">
      <c r="A792" s="46" t="s">
        <v>5413</v>
      </c>
      <c r="B792" s="46" t="s">
        <v>120</v>
      </c>
      <c r="C792" s="46" t="s">
        <v>5448</v>
      </c>
      <c r="D792" s="46">
        <v>0.559415317752474</v>
      </c>
      <c r="E792" s="47">
        <f>SUMIF(Data!$E:$E,$C792,Data!$AI:$AI)</f>
        <v>0</v>
      </c>
      <c r="I792" s="13" t="s">
        <v>5139</v>
      </c>
      <c r="J792" s="13" t="s">
        <v>5449</v>
      </c>
      <c r="K792" s="13" t="s">
        <v>137</v>
      </c>
      <c r="L792" s="13" t="s">
        <v>4421</v>
      </c>
      <c r="M792" s="13" t="s">
        <v>5450</v>
      </c>
      <c r="N792" s="13">
        <v>198.42</v>
      </c>
      <c r="O792" s="13" t="s">
        <v>5451</v>
      </c>
      <c r="P792" s="13" t="s">
        <v>5452</v>
      </c>
      <c r="Q792" s="13" t="s">
        <v>260</v>
      </c>
      <c r="R792" s="13" t="s">
        <v>5453</v>
      </c>
      <c r="S792" s="13" t="s">
        <v>192</v>
      </c>
      <c r="T792" s="13" t="s">
        <v>146</v>
      </c>
      <c r="U792" s="13" t="s">
        <v>110</v>
      </c>
      <c r="V792" s="47">
        <f>SUMIF(Data!$E:$E,$I792,Data!$AI:$AI)</f>
        <v>0</v>
      </c>
    </row>
    <row r="793" spans="1:22" x14ac:dyDescent="0.25">
      <c r="A793" s="46" t="s">
        <v>5413</v>
      </c>
      <c r="B793" s="46" t="s">
        <v>120</v>
      </c>
      <c r="C793" s="46" t="s">
        <v>5454</v>
      </c>
      <c r="D793" s="46">
        <v>1.8223700109429799</v>
      </c>
      <c r="E793" s="47">
        <f>SUMIF(Data!$E:$E,$C793,Data!$AI:$AI)</f>
        <v>0</v>
      </c>
      <c r="I793" s="13" t="s">
        <v>5455</v>
      </c>
      <c r="J793" s="13" t="s">
        <v>5455</v>
      </c>
      <c r="K793" s="13" t="s">
        <v>137</v>
      </c>
      <c r="L793" s="13" t="s">
        <v>4421</v>
      </c>
      <c r="M793" s="13" t="s">
        <v>5456</v>
      </c>
      <c r="N793" s="13">
        <v>269.37799999999999</v>
      </c>
      <c r="O793" s="13" t="s">
        <v>5457</v>
      </c>
      <c r="P793" s="13" t="s">
        <v>5458</v>
      </c>
      <c r="Q793" s="13" t="s">
        <v>694</v>
      </c>
      <c r="R793" s="13" t="s">
        <v>5459</v>
      </c>
      <c r="S793" s="13" t="s">
        <v>3139</v>
      </c>
      <c r="T793" s="13" t="s">
        <v>3140</v>
      </c>
      <c r="U793" s="13" t="s">
        <v>525</v>
      </c>
      <c r="V793" s="47">
        <f>SUMIF(Data!$E:$E,$I793,Data!$AI:$AI)</f>
        <v>0</v>
      </c>
    </row>
    <row r="794" spans="1:22" x14ac:dyDescent="0.25">
      <c r="A794" s="46" t="s">
        <v>5413</v>
      </c>
      <c r="B794" s="46" t="s">
        <v>120</v>
      </c>
      <c r="C794" s="46" t="s">
        <v>5460</v>
      </c>
      <c r="D794" s="46">
        <v>2.4670661710143702</v>
      </c>
      <c r="E794" s="47">
        <f>SUMIF(Data!$E:$E,$C794,Data!$AI:$AI)</f>
        <v>0</v>
      </c>
      <c r="I794" s="13" t="s">
        <v>5461</v>
      </c>
      <c r="J794" s="13" t="s">
        <v>5462</v>
      </c>
      <c r="K794" s="13" t="s">
        <v>137</v>
      </c>
      <c r="L794" s="13" t="s">
        <v>4421</v>
      </c>
      <c r="M794" s="13" t="s">
        <v>5463</v>
      </c>
      <c r="N794" s="13">
        <v>765.56</v>
      </c>
      <c r="O794" s="13" t="s">
        <v>5464</v>
      </c>
      <c r="P794" s="13" t="s">
        <v>5465</v>
      </c>
      <c r="Q794" s="13" t="s">
        <v>416</v>
      </c>
      <c r="R794" s="13" t="s">
        <v>5466</v>
      </c>
      <c r="S794" s="13" t="s">
        <v>847</v>
      </c>
      <c r="T794" s="13" t="s">
        <v>848</v>
      </c>
      <c r="U794" s="13" t="s">
        <v>849</v>
      </c>
      <c r="V794" s="47">
        <f>SUMIF(Data!$E:$E,$I794,Data!$AI:$AI)</f>
        <v>0</v>
      </c>
    </row>
    <row r="795" spans="1:22" x14ac:dyDescent="0.25">
      <c r="A795" s="46" t="s">
        <v>5413</v>
      </c>
      <c r="B795" s="46" t="s">
        <v>120</v>
      </c>
      <c r="C795" s="46" t="s">
        <v>5467</v>
      </c>
      <c r="D795" s="46">
        <v>2.0612292273378698</v>
      </c>
      <c r="E795" s="47">
        <f>SUMIF(Data!$E:$E,$C795,Data!$AI:$AI)</f>
        <v>0</v>
      </c>
      <c r="I795" s="13" t="s">
        <v>5468</v>
      </c>
      <c r="J795" s="13" t="s">
        <v>5469</v>
      </c>
      <c r="K795" s="13" t="s">
        <v>137</v>
      </c>
      <c r="L795" s="13" t="s">
        <v>4421</v>
      </c>
      <c r="M795" s="13" t="s">
        <v>5199</v>
      </c>
      <c r="N795" s="13" t="s">
        <v>5470</v>
      </c>
      <c r="O795" s="13" t="s">
        <v>5471</v>
      </c>
      <c r="P795" s="13" t="s">
        <v>5472</v>
      </c>
      <c r="Q795" s="13" t="s">
        <v>172</v>
      </c>
      <c r="R795" s="13" t="s">
        <v>5473</v>
      </c>
      <c r="S795" s="13" t="s">
        <v>2928</v>
      </c>
      <c r="T795" s="13" t="s">
        <v>2929</v>
      </c>
      <c r="U795" s="13" t="s">
        <v>2930</v>
      </c>
      <c r="V795" s="47">
        <f>SUMIF(Data!$E:$E,$I795,Data!$AI:$AI)</f>
        <v>0</v>
      </c>
    </row>
    <row r="796" spans="1:22" x14ac:dyDescent="0.25">
      <c r="A796" s="46" t="s">
        <v>5413</v>
      </c>
      <c r="B796" s="46" t="s">
        <v>120</v>
      </c>
      <c r="C796" s="46" t="s">
        <v>5474</v>
      </c>
      <c r="D796" s="46">
        <v>3.0050524957137301</v>
      </c>
      <c r="E796" s="47">
        <f>SUMIF(Data!$E:$E,$C796,Data!$AI:$AI)</f>
        <v>0</v>
      </c>
      <c r="I796" s="13" t="s">
        <v>5475</v>
      </c>
      <c r="J796" s="13" t="s">
        <v>5476</v>
      </c>
      <c r="K796" s="13" t="s">
        <v>137</v>
      </c>
      <c r="L796" s="13" t="s">
        <v>4421</v>
      </c>
      <c r="M796" s="13" t="s">
        <v>5477</v>
      </c>
      <c r="N796" s="13">
        <v>70.128</v>
      </c>
      <c r="O796" s="13" t="s">
        <v>5478</v>
      </c>
      <c r="P796" s="13" t="s">
        <v>5479</v>
      </c>
      <c r="Q796" s="13" t="s">
        <v>416</v>
      </c>
      <c r="R796" s="13" t="s">
        <v>5480</v>
      </c>
      <c r="S796" s="13" t="s">
        <v>192</v>
      </c>
      <c r="T796" s="13" t="s">
        <v>146</v>
      </c>
      <c r="U796" s="13" t="s">
        <v>110</v>
      </c>
      <c r="V796" s="47">
        <f>SUMIF(Data!$E:$E,$I796,Data!$AI:$AI)</f>
        <v>0</v>
      </c>
    </row>
    <row r="797" spans="1:22" x14ac:dyDescent="0.25">
      <c r="A797" s="46" t="s">
        <v>5413</v>
      </c>
      <c r="B797" s="46" t="s">
        <v>120</v>
      </c>
      <c r="C797" s="46" t="s">
        <v>5481</v>
      </c>
      <c r="D797" s="46">
        <v>1.6911326758135501</v>
      </c>
      <c r="E797" s="47">
        <f>SUMIF(Data!$E:$E,$C797,Data!$AI:$AI)</f>
        <v>0</v>
      </c>
      <c r="I797" s="13" t="s">
        <v>5482</v>
      </c>
      <c r="J797" s="13" t="s">
        <v>5483</v>
      </c>
      <c r="K797" s="13" t="s">
        <v>137</v>
      </c>
      <c r="L797" s="13" t="s">
        <v>4421</v>
      </c>
      <c r="M797" s="13" t="s">
        <v>5484</v>
      </c>
      <c r="N797" s="13">
        <v>109.907</v>
      </c>
      <c r="O797" s="13" t="s">
        <v>5485</v>
      </c>
      <c r="P797" s="13" t="s">
        <v>5486</v>
      </c>
      <c r="Q797" s="13" t="s">
        <v>208</v>
      </c>
      <c r="R797" s="13" t="s">
        <v>5487</v>
      </c>
      <c r="S797" s="13" t="s">
        <v>145</v>
      </c>
      <c r="T797" s="13" t="s">
        <v>146</v>
      </c>
      <c r="U797" s="13" t="s">
        <v>110</v>
      </c>
      <c r="V797" s="47">
        <f>SUMIF(Data!$E:$E,$I797,Data!$AI:$AI)</f>
        <v>0</v>
      </c>
    </row>
    <row r="798" spans="1:22" x14ac:dyDescent="0.25">
      <c r="A798" s="46" t="s">
        <v>5413</v>
      </c>
      <c r="B798" s="46" t="s">
        <v>120</v>
      </c>
      <c r="C798" s="46" t="s">
        <v>5488</v>
      </c>
      <c r="D798" s="46">
        <v>1.3044321764456701</v>
      </c>
      <c r="E798" s="47">
        <f>SUMIF(Data!$E:$E,$C798,Data!$AI:$AI)</f>
        <v>0</v>
      </c>
      <c r="I798" s="13">
        <v>2388</v>
      </c>
      <c r="J798" s="13" t="s">
        <v>5489</v>
      </c>
      <c r="K798" s="13" t="s">
        <v>137</v>
      </c>
      <c r="L798" s="13" t="s">
        <v>4421</v>
      </c>
      <c r="M798" s="13" t="s">
        <v>5490</v>
      </c>
      <c r="N798" s="13" t="s">
        <v>5491</v>
      </c>
      <c r="O798" s="13" t="s">
        <v>5492</v>
      </c>
      <c r="P798" s="13" t="s">
        <v>5493</v>
      </c>
      <c r="Q798" s="13" t="s">
        <v>190</v>
      </c>
      <c r="R798" s="13" t="s">
        <v>5494</v>
      </c>
      <c r="S798" s="13" t="s">
        <v>549</v>
      </c>
      <c r="T798" s="13" t="s">
        <v>550</v>
      </c>
      <c r="U798" s="13" t="s">
        <v>551</v>
      </c>
      <c r="V798" s="47">
        <f>SUMIF(Data!$E:$E,$I798,Data!$AI:$AI)</f>
        <v>0</v>
      </c>
    </row>
    <row r="799" spans="1:22" x14ac:dyDescent="0.25">
      <c r="A799" s="46" t="s">
        <v>5413</v>
      </c>
      <c r="B799" s="46" t="s">
        <v>120</v>
      </c>
      <c r="C799" s="46" t="s">
        <v>5495</v>
      </c>
      <c r="D799" s="46">
        <v>1.7568946350519901</v>
      </c>
      <c r="E799" s="47">
        <f>SUMIF(Data!$E:$E,$C799,Data!$AI:$AI)</f>
        <v>0</v>
      </c>
      <c r="I799" s="13">
        <v>7309</v>
      </c>
      <c r="J799" s="13" t="s">
        <v>5496</v>
      </c>
      <c r="K799" s="13" t="s">
        <v>137</v>
      </c>
      <c r="L799" s="13" t="s">
        <v>4421</v>
      </c>
      <c r="M799" s="13" t="s">
        <v>5497</v>
      </c>
      <c r="N799" s="13">
        <v>39.895000000000003</v>
      </c>
      <c r="O799" s="13" t="s">
        <v>5498</v>
      </c>
      <c r="P799" s="13" t="s">
        <v>5499</v>
      </c>
      <c r="Q799" s="13" t="s">
        <v>162</v>
      </c>
      <c r="R799" s="13" t="s">
        <v>5500</v>
      </c>
      <c r="S799" s="13" t="s">
        <v>441</v>
      </c>
      <c r="T799" s="13" t="s">
        <v>442</v>
      </c>
      <c r="U799" s="13" t="s">
        <v>443</v>
      </c>
      <c r="V799" s="47">
        <f>SUMIF(Data!$E:$E,$I799,Data!$AI:$AI)</f>
        <v>0</v>
      </c>
    </row>
    <row r="800" spans="1:22" x14ac:dyDescent="0.25">
      <c r="A800" s="46" t="s">
        <v>5413</v>
      </c>
      <c r="B800" s="46" t="s">
        <v>120</v>
      </c>
      <c r="C800" s="46" t="s">
        <v>5501</v>
      </c>
      <c r="D800" s="46">
        <v>0.75087407382568105</v>
      </c>
      <c r="E800" s="47">
        <f>SUMIF(Data!$E:$E,$C800,Data!$AI:$AI)</f>
        <v>0</v>
      </c>
      <c r="I800" s="13" t="s">
        <v>5502</v>
      </c>
      <c r="J800" s="13" t="s">
        <v>5503</v>
      </c>
      <c r="K800" s="13" t="s">
        <v>137</v>
      </c>
      <c r="L800" s="13" t="s">
        <v>4421</v>
      </c>
      <c r="M800" s="13" t="s">
        <v>5504</v>
      </c>
      <c r="N800" s="13">
        <v>59.228999999999999</v>
      </c>
      <c r="O800" s="13" t="s">
        <v>5505</v>
      </c>
      <c r="P800" s="13" t="s">
        <v>5506</v>
      </c>
      <c r="Q800" s="13" t="s">
        <v>190</v>
      </c>
      <c r="R800" s="13" t="s">
        <v>5507</v>
      </c>
      <c r="S800" s="13" t="s">
        <v>145</v>
      </c>
      <c r="T800" s="13" t="s">
        <v>146</v>
      </c>
      <c r="U800" s="13" t="s">
        <v>110</v>
      </c>
      <c r="V800" s="47">
        <f>SUMIF(Data!$E:$E,$I800,Data!$AI:$AI)</f>
        <v>0</v>
      </c>
    </row>
    <row r="801" spans="1:22" x14ac:dyDescent="0.25">
      <c r="A801" s="46" t="s">
        <v>5413</v>
      </c>
      <c r="B801" s="46" t="s">
        <v>120</v>
      </c>
      <c r="C801" s="46" t="s">
        <v>5508</v>
      </c>
      <c r="D801" s="46">
        <v>0.67152127526155903</v>
      </c>
      <c r="E801" s="47">
        <f>SUMIF(Data!$E:$E,$C801,Data!$AI:$AI)</f>
        <v>0</v>
      </c>
      <c r="I801" s="13" t="s">
        <v>5509</v>
      </c>
      <c r="J801" s="13" t="s">
        <v>5510</v>
      </c>
      <c r="K801" s="13" t="s">
        <v>137</v>
      </c>
      <c r="L801" s="13" t="s">
        <v>4421</v>
      </c>
      <c r="M801" s="13" t="s">
        <v>5511</v>
      </c>
      <c r="N801" s="13">
        <v>140.66999999999999</v>
      </c>
      <c r="O801" s="13" t="s">
        <v>5512</v>
      </c>
      <c r="P801" s="13" t="s">
        <v>5513</v>
      </c>
      <c r="Q801" s="13" t="s">
        <v>224</v>
      </c>
      <c r="R801" s="13" t="s">
        <v>5514</v>
      </c>
      <c r="S801" s="13" t="s">
        <v>192</v>
      </c>
      <c r="T801" s="13" t="s">
        <v>146</v>
      </c>
      <c r="U801" s="13" t="s">
        <v>110</v>
      </c>
      <c r="V801" s="47">
        <f>SUMIF(Data!$E:$E,$I801,Data!$AI:$AI)</f>
        <v>0</v>
      </c>
    </row>
    <row r="802" spans="1:22" x14ac:dyDescent="0.25">
      <c r="A802" s="46" t="s">
        <v>5413</v>
      </c>
      <c r="B802" s="46" t="s">
        <v>120</v>
      </c>
      <c r="C802" s="46" t="s">
        <v>5515</v>
      </c>
      <c r="D802" s="46">
        <v>1.00605170443099</v>
      </c>
      <c r="E802" s="47">
        <f>SUMIF(Data!$E:$E,$C802,Data!$AI:$AI)</f>
        <v>0</v>
      </c>
      <c r="I802" s="13" t="s">
        <v>5516</v>
      </c>
      <c r="J802" s="13" t="s">
        <v>5517</v>
      </c>
      <c r="K802" s="13" t="s">
        <v>137</v>
      </c>
      <c r="L802" s="13" t="s">
        <v>4421</v>
      </c>
      <c r="M802" s="13" t="s">
        <v>5518</v>
      </c>
      <c r="N802" s="13">
        <v>90.436000000000007</v>
      </c>
      <c r="O802" s="13" t="s">
        <v>5519</v>
      </c>
      <c r="P802" s="13" t="s">
        <v>5520</v>
      </c>
      <c r="Q802" s="13" t="s">
        <v>806</v>
      </c>
      <c r="R802" s="13" t="s">
        <v>5521</v>
      </c>
      <c r="S802" s="13" t="s">
        <v>192</v>
      </c>
      <c r="T802" s="13" t="s">
        <v>146</v>
      </c>
      <c r="U802" s="13" t="s">
        <v>110</v>
      </c>
      <c r="V802" s="47">
        <f>SUMIF(Data!$E:$E,$I802,Data!$AI:$AI)</f>
        <v>0</v>
      </c>
    </row>
    <row r="803" spans="1:22" x14ac:dyDescent="0.25">
      <c r="A803" s="46" t="s">
        <v>5413</v>
      </c>
      <c r="B803" s="46" t="s">
        <v>120</v>
      </c>
      <c r="C803" s="46" t="s">
        <v>4553</v>
      </c>
      <c r="D803" s="46">
        <v>1.2498334663902899</v>
      </c>
      <c r="E803" s="47">
        <f>SUMIF(Data!$E:$E,$C803,Data!$AI:$AI)</f>
        <v>0</v>
      </c>
      <c r="I803" s="13" t="s">
        <v>5522</v>
      </c>
      <c r="J803" s="13" t="s">
        <v>5523</v>
      </c>
      <c r="K803" s="13" t="s">
        <v>137</v>
      </c>
      <c r="L803" s="13" t="s">
        <v>4421</v>
      </c>
      <c r="M803" s="13" t="s">
        <v>5524</v>
      </c>
      <c r="N803" s="13">
        <v>52.691000000000003</v>
      </c>
      <c r="O803" s="13" t="s">
        <v>5525</v>
      </c>
      <c r="P803" s="13" t="s">
        <v>5526</v>
      </c>
      <c r="Q803" s="13" t="s">
        <v>224</v>
      </c>
      <c r="R803" s="13" t="s">
        <v>5527</v>
      </c>
      <c r="S803" s="13" t="s">
        <v>523</v>
      </c>
      <c r="T803" s="13" t="s">
        <v>524</v>
      </c>
      <c r="U803" s="13" t="s">
        <v>525</v>
      </c>
      <c r="V803" s="47">
        <f>SUMIF(Data!$E:$E,$I803,Data!$AI:$AI)</f>
        <v>0</v>
      </c>
    </row>
    <row r="804" spans="1:22" x14ac:dyDescent="0.25">
      <c r="A804" s="46" t="s">
        <v>5413</v>
      </c>
      <c r="B804" s="46" t="s">
        <v>120</v>
      </c>
      <c r="C804" s="46" t="s">
        <v>5528</v>
      </c>
      <c r="D804" s="46">
        <v>1.3236809624480601</v>
      </c>
      <c r="E804" s="47">
        <f>SUMIF(Data!$E:$E,$C804,Data!$AI:$AI)</f>
        <v>0</v>
      </c>
      <c r="I804" s="13" t="s">
        <v>5529</v>
      </c>
      <c r="J804" s="13" t="s">
        <v>5530</v>
      </c>
      <c r="K804" s="13" t="s">
        <v>137</v>
      </c>
      <c r="L804" s="13" t="s">
        <v>4421</v>
      </c>
      <c r="M804" s="13" t="s">
        <v>5531</v>
      </c>
      <c r="N804" s="13">
        <v>636.53700000000003</v>
      </c>
      <c r="O804" s="13" t="s">
        <v>5532</v>
      </c>
      <c r="P804" s="13" t="s">
        <v>5533</v>
      </c>
      <c r="Q804" s="13" t="s">
        <v>260</v>
      </c>
      <c r="R804" s="13" t="s">
        <v>5534</v>
      </c>
      <c r="S804" s="13" t="s">
        <v>725</v>
      </c>
      <c r="T804" s="13" t="s">
        <v>726</v>
      </c>
      <c r="U804" s="13" t="s">
        <v>727</v>
      </c>
      <c r="V804" s="47">
        <f>SUMIF(Data!$E:$E,$I804,Data!$AI:$AI)</f>
        <v>0</v>
      </c>
    </row>
    <row r="805" spans="1:22" x14ac:dyDescent="0.25">
      <c r="A805" s="46" t="s">
        <v>5413</v>
      </c>
      <c r="B805" s="46" t="s">
        <v>120</v>
      </c>
      <c r="C805" s="46" t="s">
        <v>5535</v>
      </c>
      <c r="D805" s="46">
        <v>2.6839651385236198</v>
      </c>
      <c r="E805" s="47">
        <f>SUMIF(Data!$E:$E,$C805,Data!$AI:$AI)</f>
        <v>0</v>
      </c>
      <c r="I805" s="13" t="s">
        <v>5536</v>
      </c>
      <c r="J805" s="13" t="s">
        <v>5537</v>
      </c>
      <c r="K805" s="13" t="s">
        <v>137</v>
      </c>
      <c r="L805" s="13" t="s">
        <v>4421</v>
      </c>
      <c r="M805" s="13" t="s">
        <v>5538</v>
      </c>
      <c r="N805" s="13">
        <v>301.77100000000002</v>
      </c>
      <c r="O805" s="13" t="s">
        <v>5539</v>
      </c>
      <c r="P805" s="13" t="s">
        <v>5540</v>
      </c>
      <c r="Q805" s="13" t="s">
        <v>208</v>
      </c>
      <c r="R805" s="13" t="s">
        <v>5541</v>
      </c>
      <c r="S805" s="13" t="s">
        <v>145</v>
      </c>
      <c r="T805" s="13" t="s">
        <v>146</v>
      </c>
      <c r="U805" s="13" t="s">
        <v>110</v>
      </c>
      <c r="V805" s="47">
        <f>SUMIF(Data!$E:$E,$I805,Data!$AI:$AI)</f>
        <v>0</v>
      </c>
    </row>
    <row r="806" spans="1:22" x14ac:dyDescent="0.25">
      <c r="A806" s="46" t="s">
        <v>5413</v>
      </c>
      <c r="B806" s="46" t="s">
        <v>120</v>
      </c>
      <c r="C806" s="46" t="s">
        <v>5542</v>
      </c>
      <c r="D806" s="46">
        <v>1.36830121683102</v>
      </c>
      <c r="E806" s="47">
        <f>SUMIF(Data!$E:$E,$C806,Data!$AI:$AI)</f>
        <v>0</v>
      </c>
      <c r="I806" s="13" t="s">
        <v>5543</v>
      </c>
      <c r="J806" s="13" t="s">
        <v>5544</v>
      </c>
      <c r="K806" s="13" t="s">
        <v>137</v>
      </c>
      <c r="L806" s="13" t="s">
        <v>4421</v>
      </c>
      <c r="M806" s="13" t="s">
        <v>5545</v>
      </c>
      <c r="N806" s="13">
        <v>183.196</v>
      </c>
      <c r="O806" s="13" t="s">
        <v>5546</v>
      </c>
      <c r="P806" s="13" t="s">
        <v>5547</v>
      </c>
      <c r="Q806" s="13" t="s">
        <v>224</v>
      </c>
      <c r="R806" s="13" t="s">
        <v>5548</v>
      </c>
      <c r="S806" s="13" t="s">
        <v>476</v>
      </c>
      <c r="T806" s="13" t="s">
        <v>477</v>
      </c>
      <c r="U806" s="13" t="s">
        <v>478</v>
      </c>
      <c r="V806" s="47">
        <f>SUMIF(Data!$E:$E,$I806,Data!$AI:$AI)</f>
        <v>0</v>
      </c>
    </row>
    <row r="807" spans="1:22" x14ac:dyDescent="0.25">
      <c r="A807" s="46" t="s">
        <v>5413</v>
      </c>
      <c r="B807" s="46" t="s">
        <v>120</v>
      </c>
      <c r="C807" s="46" t="s">
        <v>4475</v>
      </c>
      <c r="D807" s="46">
        <v>3.48037779999015</v>
      </c>
      <c r="E807" s="47">
        <f>SUMIF(Data!$E:$E,$C807,Data!$AI:$AI)</f>
        <v>0</v>
      </c>
      <c r="I807" s="13" t="s">
        <v>5549</v>
      </c>
      <c r="J807" s="13" t="s">
        <v>5550</v>
      </c>
      <c r="K807" s="13" t="s">
        <v>137</v>
      </c>
      <c r="L807" s="13" t="s">
        <v>4421</v>
      </c>
      <c r="M807" s="13" t="s">
        <v>5551</v>
      </c>
      <c r="N807" s="13">
        <v>281.05200000000002</v>
      </c>
      <c r="O807" s="13" t="s">
        <v>5552</v>
      </c>
      <c r="P807" s="13" t="s">
        <v>5553</v>
      </c>
      <c r="Q807" s="13" t="s">
        <v>260</v>
      </c>
      <c r="R807" s="13" t="s">
        <v>5554</v>
      </c>
      <c r="S807" s="13" t="s">
        <v>145</v>
      </c>
      <c r="T807" s="13" t="s">
        <v>146</v>
      </c>
      <c r="U807" s="13" t="s">
        <v>110</v>
      </c>
      <c r="V807" s="47">
        <f>SUMIF(Data!$E:$E,$I807,Data!$AI:$AI)</f>
        <v>0</v>
      </c>
    </row>
    <row r="808" spans="1:22" x14ac:dyDescent="0.25">
      <c r="A808" s="46" t="s">
        <v>5413</v>
      </c>
      <c r="B808" s="46" t="s">
        <v>120</v>
      </c>
      <c r="C808" s="46" t="s">
        <v>1852</v>
      </c>
      <c r="D808" s="46">
        <v>1.52753697471169</v>
      </c>
      <c r="E808" s="47">
        <f>SUMIF(Data!$E:$E,$C808,Data!$AI:$AI)</f>
        <v>0</v>
      </c>
      <c r="I808" s="13" t="s">
        <v>5555</v>
      </c>
      <c r="J808" s="13" t="s">
        <v>5556</v>
      </c>
      <c r="K808" s="13" t="s">
        <v>5557</v>
      </c>
      <c r="L808" s="13" t="s">
        <v>4421</v>
      </c>
      <c r="M808" s="13" t="s">
        <v>756</v>
      </c>
      <c r="N808" s="13" t="s">
        <v>5558</v>
      </c>
      <c r="O808" s="13" t="s">
        <v>5558</v>
      </c>
      <c r="P808" s="13" t="s">
        <v>5559</v>
      </c>
      <c r="Q808" s="13" t="s">
        <v>759</v>
      </c>
      <c r="R808" s="13" t="s">
        <v>760</v>
      </c>
      <c r="S808" s="13" t="s">
        <v>760</v>
      </c>
      <c r="T808" s="13" t="s">
        <v>146</v>
      </c>
      <c r="U808" s="13" t="s">
        <v>110</v>
      </c>
      <c r="V808" s="47">
        <f>SUMIF(Data!$E:$E,$I808,Data!$AI:$AI)</f>
        <v>0</v>
      </c>
    </row>
    <row r="809" spans="1:22" x14ac:dyDescent="0.25">
      <c r="A809" s="46" t="s">
        <v>5413</v>
      </c>
      <c r="B809" s="46" t="s">
        <v>120</v>
      </c>
      <c r="C809" s="46" t="s">
        <v>5560</v>
      </c>
      <c r="D809" s="46">
        <v>3.5200684939111699</v>
      </c>
      <c r="E809" s="47">
        <f>SUMIF(Data!$E:$E,$C809,Data!$AI:$AI)</f>
        <v>0</v>
      </c>
      <c r="I809" s="13" t="s">
        <v>5561</v>
      </c>
      <c r="J809" s="13" t="s">
        <v>5562</v>
      </c>
      <c r="K809" s="13" t="s">
        <v>137</v>
      </c>
      <c r="L809" s="13" t="s">
        <v>4421</v>
      </c>
      <c r="M809" s="13" t="s">
        <v>5563</v>
      </c>
      <c r="N809" s="13">
        <v>101.114</v>
      </c>
      <c r="O809" s="13" t="s">
        <v>5564</v>
      </c>
      <c r="P809" s="13" t="s">
        <v>5565</v>
      </c>
      <c r="Q809" s="13" t="s">
        <v>190</v>
      </c>
      <c r="R809" s="13" t="s">
        <v>5566</v>
      </c>
      <c r="S809" s="13" t="s">
        <v>192</v>
      </c>
      <c r="T809" s="13" t="s">
        <v>146</v>
      </c>
      <c r="U809" s="13" t="s">
        <v>110</v>
      </c>
      <c r="V809" s="47">
        <f>SUMIF(Data!$E:$E,$I809,Data!$AI:$AI)</f>
        <v>0</v>
      </c>
    </row>
    <row r="810" spans="1:22" x14ac:dyDescent="0.25">
      <c r="A810" s="46" t="s">
        <v>5413</v>
      </c>
      <c r="B810" s="46" t="s">
        <v>120</v>
      </c>
      <c r="C810" s="46" t="s">
        <v>5567</v>
      </c>
      <c r="D810" s="46">
        <v>1.1989093402865201</v>
      </c>
      <c r="E810" s="47">
        <f>SUMIF(Data!$E:$E,$C810,Data!$AI:$AI)</f>
        <v>0</v>
      </c>
      <c r="I810" s="13" t="s">
        <v>5568</v>
      </c>
      <c r="J810" s="13" t="s">
        <v>5569</v>
      </c>
      <c r="K810" s="13" t="s">
        <v>137</v>
      </c>
      <c r="L810" s="13" t="s">
        <v>4421</v>
      </c>
      <c r="M810" s="13" t="s">
        <v>138</v>
      </c>
      <c r="N810" s="13" t="s">
        <v>5570</v>
      </c>
      <c r="O810" s="13" t="s">
        <v>5571</v>
      </c>
      <c r="P810" s="13" t="s">
        <v>5572</v>
      </c>
      <c r="Q810" s="13" t="s">
        <v>190</v>
      </c>
      <c r="R810" s="13" t="s">
        <v>5573</v>
      </c>
      <c r="S810" s="13" t="s">
        <v>1164</v>
      </c>
      <c r="T810" s="13" t="s">
        <v>1165</v>
      </c>
      <c r="U810" s="13" t="s">
        <v>525</v>
      </c>
      <c r="V810" s="47">
        <f>SUMIF(Data!$E:$E,$I810,Data!$AI:$AI)</f>
        <v>0</v>
      </c>
    </row>
    <row r="811" spans="1:22" x14ac:dyDescent="0.25">
      <c r="A811" s="46" t="s">
        <v>5413</v>
      </c>
      <c r="B811" s="46" t="s">
        <v>120</v>
      </c>
      <c r="C811" s="46" t="s">
        <v>4365</v>
      </c>
      <c r="D811" s="46">
        <v>3.0519236748755398</v>
      </c>
      <c r="E811" s="47">
        <f>SUMIF(Data!$E:$E,$C811,Data!$AI:$AI)</f>
        <v>0</v>
      </c>
      <c r="I811" s="13" t="s">
        <v>5574</v>
      </c>
      <c r="J811" s="13" t="s">
        <v>5575</v>
      </c>
      <c r="K811" s="13" t="s">
        <v>137</v>
      </c>
      <c r="L811" s="13" t="s">
        <v>4421</v>
      </c>
      <c r="M811" s="13" t="s">
        <v>5576</v>
      </c>
      <c r="N811" s="13">
        <v>147.91</v>
      </c>
      <c r="O811" s="13" t="s">
        <v>5577</v>
      </c>
      <c r="P811" s="13" t="s">
        <v>5578</v>
      </c>
      <c r="Q811" s="13" t="s">
        <v>143</v>
      </c>
      <c r="R811" s="13" t="s">
        <v>5579</v>
      </c>
      <c r="S811" s="13" t="s">
        <v>145</v>
      </c>
      <c r="T811" s="13" t="s">
        <v>146</v>
      </c>
      <c r="U811" s="13" t="s">
        <v>110</v>
      </c>
      <c r="V811" s="47">
        <f>SUMIF(Data!$E:$E,$I811,Data!$AI:$AI)</f>
        <v>0</v>
      </c>
    </row>
    <row r="812" spans="1:22" x14ac:dyDescent="0.25">
      <c r="A812" s="46" t="s">
        <v>5413</v>
      </c>
      <c r="B812" s="46" t="s">
        <v>120</v>
      </c>
      <c r="C812" s="46" t="s">
        <v>5580</v>
      </c>
      <c r="D812" s="46">
        <v>0.74849322096295201</v>
      </c>
      <c r="E812" s="47">
        <f>SUMIF(Data!$E:$E,$C812,Data!$AI:$AI)</f>
        <v>0</v>
      </c>
      <c r="I812" s="13" t="s">
        <v>5581</v>
      </c>
      <c r="J812" s="13" t="s">
        <v>5582</v>
      </c>
      <c r="K812" s="13" t="s">
        <v>137</v>
      </c>
      <c r="L812" s="13" t="s">
        <v>4421</v>
      </c>
      <c r="M812" s="13" t="s">
        <v>5583</v>
      </c>
      <c r="N812" s="13">
        <v>7.867</v>
      </c>
      <c r="O812" s="13" t="s">
        <v>5584</v>
      </c>
      <c r="P812" s="13" t="s">
        <v>5585</v>
      </c>
      <c r="Q812" s="13" t="s">
        <v>190</v>
      </c>
      <c r="R812" s="13" t="s">
        <v>5586</v>
      </c>
      <c r="S812" s="13" t="s">
        <v>192</v>
      </c>
      <c r="T812" s="13" t="s">
        <v>146</v>
      </c>
      <c r="U812" s="13" t="s">
        <v>110</v>
      </c>
      <c r="V812" s="47">
        <f>SUMIF(Data!$E:$E,$I812,Data!$AI:$AI)</f>
        <v>0</v>
      </c>
    </row>
    <row r="813" spans="1:22" x14ac:dyDescent="0.25">
      <c r="A813" s="46" t="s">
        <v>5413</v>
      </c>
      <c r="B813" s="46" t="s">
        <v>120</v>
      </c>
      <c r="C813" s="46" t="s">
        <v>5587</v>
      </c>
      <c r="D813" s="46">
        <v>0.22573750611281199</v>
      </c>
      <c r="E813" s="47">
        <f>SUMIF(Data!$E:$E,$C813,Data!$AI:$AI)</f>
        <v>0</v>
      </c>
      <c r="I813" s="13" t="s">
        <v>5588</v>
      </c>
      <c r="J813" s="13" t="s">
        <v>5589</v>
      </c>
      <c r="K813" s="13" t="s">
        <v>137</v>
      </c>
      <c r="L813" s="13" t="s">
        <v>4421</v>
      </c>
      <c r="M813" s="13" t="s">
        <v>5590</v>
      </c>
      <c r="N813" s="13" t="s">
        <v>5591</v>
      </c>
      <c r="O813" s="13" t="s">
        <v>5592</v>
      </c>
      <c r="P813" s="13" t="s">
        <v>5593</v>
      </c>
      <c r="Q813" s="13" t="s">
        <v>260</v>
      </c>
      <c r="R813" s="13" t="s">
        <v>5594</v>
      </c>
      <c r="S813" s="13" t="s">
        <v>847</v>
      </c>
      <c r="T813" s="13" t="s">
        <v>848</v>
      </c>
      <c r="U813" s="13" t="s">
        <v>849</v>
      </c>
      <c r="V813" s="47">
        <f>SUMIF(Data!$E:$E,$I813,Data!$AI:$AI)</f>
        <v>0</v>
      </c>
    </row>
    <row r="814" spans="1:22" x14ac:dyDescent="0.25">
      <c r="A814" s="46" t="s">
        <v>5413</v>
      </c>
      <c r="B814" s="46" t="s">
        <v>120</v>
      </c>
      <c r="C814" s="46" t="s">
        <v>5595</v>
      </c>
      <c r="D814" s="46">
        <v>2.1099081615563202</v>
      </c>
      <c r="E814" s="47">
        <f>SUMIF(Data!$E:$E,$C814,Data!$AI:$AI)</f>
        <v>0</v>
      </c>
      <c r="I814" s="13" t="s">
        <v>5596</v>
      </c>
      <c r="J814" s="13" t="s">
        <v>5597</v>
      </c>
      <c r="K814" s="13" t="s">
        <v>137</v>
      </c>
      <c r="L814" s="13" t="s">
        <v>4421</v>
      </c>
      <c r="M814" s="13" t="s">
        <v>5598</v>
      </c>
      <c r="N814" s="13">
        <v>139.80799999999999</v>
      </c>
      <c r="O814" s="13" t="s">
        <v>5599</v>
      </c>
      <c r="P814" s="13" t="s">
        <v>5600</v>
      </c>
      <c r="Q814" s="13" t="s">
        <v>416</v>
      </c>
      <c r="R814" s="13" t="s">
        <v>5601</v>
      </c>
      <c r="S814" s="13" t="s">
        <v>192</v>
      </c>
      <c r="T814" s="13" t="s">
        <v>146</v>
      </c>
      <c r="U814" s="13" t="s">
        <v>110</v>
      </c>
      <c r="V814" s="47">
        <f>SUMIF(Data!$E:$E,$I814,Data!$AI:$AI)</f>
        <v>0</v>
      </c>
    </row>
    <row r="815" spans="1:22" x14ac:dyDescent="0.25">
      <c r="A815" s="46" t="s">
        <v>5413</v>
      </c>
      <c r="B815" s="46" t="s">
        <v>120</v>
      </c>
      <c r="C815" s="46" t="s">
        <v>5602</v>
      </c>
      <c r="D815" s="46">
        <v>3.1808305073043899</v>
      </c>
      <c r="E815" s="47">
        <f>SUMIF(Data!$E:$E,$C815,Data!$AI:$AI)</f>
        <v>0</v>
      </c>
      <c r="I815" s="13" t="s">
        <v>5603</v>
      </c>
      <c r="J815" s="13" t="s">
        <v>5604</v>
      </c>
      <c r="K815" s="13" t="s">
        <v>137</v>
      </c>
      <c r="L815" s="13" t="s">
        <v>4421</v>
      </c>
      <c r="M815" s="13" t="s">
        <v>5605</v>
      </c>
      <c r="N815" s="13">
        <v>29.835999999999999</v>
      </c>
      <c r="O815" s="13" t="s">
        <v>5606</v>
      </c>
      <c r="P815" s="13" t="s">
        <v>5607</v>
      </c>
      <c r="Q815" s="13" t="s">
        <v>143</v>
      </c>
      <c r="R815" s="13" t="s">
        <v>5608</v>
      </c>
      <c r="S815" s="13" t="s">
        <v>192</v>
      </c>
      <c r="T815" s="13" t="s">
        <v>146</v>
      </c>
      <c r="U815" s="13" t="s">
        <v>110</v>
      </c>
      <c r="V815" s="47">
        <f>SUMIF(Data!$E:$E,$I815,Data!$AI:$AI)</f>
        <v>0</v>
      </c>
    </row>
    <row r="816" spans="1:22" x14ac:dyDescent="0.25">
      <c r="A816" s="46" t="s">
        <v>5413</v>
      </c>
      <c r="B816" s="46" t="s">
        <v>120</v>
      </c>
      <c r="C816" s="46" t="s">
        <v>5609</v>
      </c>
      <c r="D816" s="46">
        <v>1.8819686320614499</v>
      </c>
      <c r="E816" s="47">
        <f>SUMIF(Data!$E:$E,$C816,Data!$AI:$AI)</f>
        <v>0</v>
      </c>
      <c r="I816" s="13" t="s">
        <v>5610</v>
      </c>
      <c r="J816" s="13" t="s">
        <v>5611</v>
      </c>
      <c r="K816" s="13" t="s">
        <v>137</v>
      </c>
      <c r="L816" s="13" t="s">
        <v>4421</v>
      </c>
      <c r="M816" s="13" t="s">
        <v>5612</v>
      </c>
      <c r="N816" s="13">
        <v>132.89500000000001</v>
      </c>
      <c r="O816" s="13" t="s">
        <v>5613</v>
      </c>
      <c r="P816" s="13" t="s">
        <v>5614</v>
      </c>
      <c r="Q816" s="13" t="s">
        <v>172</v>
      </c>
      <c r="R816" s="13" t="s">
        <v>5615</v>
      </c>
      <c r="S816" s="13" t="s">
        <v>1164</v>
      </c>
      <c r="T816" s="13" t="s">
        <v>1165</v>
      </c>
      <c r="U816" s="13" t="s">
        <v>525</v>
      </c>
      <c r="V816" s="47">
        <f>SUMIF(Data!$E:$E,$I816,Data!$AI:$AI)</f>
        <v>0</v>
      </c>
    </row>
    <row r="817" spans="1:22" x14ac:dyDescent="0.25">
      <c r="A817" s="46" t="s">
        <v>5413</v>
      </c>
      <c r="B817" s="46" t="s">
        <v>120</v>
      </c>
      <c r="C817" s="46" t="s">
        <v>4644</v>
      </c>
      <c r="D817" s="46">
        <v>0.41933892273278101</v>
      </c>
      <c r="E817" s="47">
        <f>SUMIF(Data!$E:$E,$C817,Data!$AI:$AI)</f>
        <v>0</v>
      </c>
      <c r="I817" s="13" t="s">
        <v>5616</v>
      </c>
      <c r="J817" s="13" t="s">
        <v>5617</v>
      </c>
      <c r="K817" s="13" t="s">
        <v>137</v>
      </c>
      <c r="L817" s="13" t="s">
        <v>4421</v>
      </c>
      <c r="M817" s="13" t="s">
        <v>5618</v>
      </c>
      <c r="N817" s="13">
        <v>49.451999999999998</v>
      </c>
      <c r="O817" s="13" t="s">
        <v>5619</v>
      </c>
      <c r="P817" s="13" t="s">
        <v>5620</v>
      </c>
      <c r="Q817" s="13" t="s">
        <v>416</v>
      </c>
      <c r="R817" s="13" t="s">
        <v>5621</v>
      </c>
      <c r="S817" s="13" t="s">
        <v>192</v>
      </c>
      <c r="T817" s="13" t="s">
        <v>146</v>
      </c>
      <c r="U817" s="13" t="s">
        <v>110</v>
      </c>
      <c r="V817" s="47">
        <f>SUMIF(Data!$E:$E,$I817,Data!$AI:$AI)</f>
        <v>0</v>
      </c>
    </row>
    <row r="818" spans="1:22" x14ac:dyDescent="0.25">
      <c r="A818" s="46" t="s">
        <v>5413</v>
      </c>
      <c r="B818" s="46" t="s">
        <v>120</v>
      </c>
      <c r="C818" s="46" t="s">
        <v>5622</v>
      </c>
      <c r="D818" s="46">
        <v>1.04458925085036</v>
      </c>
      <c r="E818" s="47">
        <f>SUMIF(Data!$E:$E,$C818,Data!$AI:$AI)</f>
        <v>0</v>
      </c>
      <c r="I818" s="13" t="s">
        <v>5623</v>
      </c>
      <c r="J818" s="13" t="s">
        <v>5624</v>
      </c>
      <c r="K818" s="13" t="s">
        <v>137</v>
      </c>
      <c r="L818" s="13" t="s">
        <v>4421</v>
      </c>
      <c r="M818" s="13" t="s">
        <v>5625</v>
      </c>
      <c r="N818" s="13">
        <v>118.84399999999999</v>
      </c>
      <c r="O818" s="13" t="s">
        <v>5626</v>
      </c>
      <c r="P818" s="13" t="s">
        <v>5627</v>
      </c>
      <c r="Q818" s="13" t="s">
        <v>190</v>
      </c>
      <c r="R818" s="13" t="s">
        <v>5628</v>
      </c>
      <c r="S818" s="13" t="s">
        <v>226</v>
      </c>
      <c r="T818" s="13" t="s">
        <v>227</v>
      </c>
      <c r="U818" s="13" t="s">
        <v>228</v>
      </c>
      <c r="V818" s="47">
        <f>SUMIF(Data!$E:$E,$I818,Data!$AI:$AI)</f>
        <v>0</v>
      </c>
    </row>
    <row r="819" spans="1:22" x14ac:dyDescent="0.25">
      <c r="A819" s="46" t="s">
        <v>5413</v>
      </c>
      <c r="B819" s="46" t="s">
        <v>120</v>
      </c>
      <c r="C819" s="46" t="s">
        <v>5629</v>
      </c>
      <c r="D819" s="46">
        <v>1.2449655525958401</v>
      </c>
      <c r="E819" s="47">
        <f>SUMIF(Data!$E:$E,$C819,Data!$AI:$AI)</f>
        <v>0</v>
      </c>
      <c r="I819" s="13" t="s">
        <v>5630</v>
      </c>
      <c r="J819" s="13" t="s">
        <v>5631</v>
      </c>
      <c r="K819" s="13" t="s">
        <v>137</v>
      </c>
      <c r="L819" s="13" t="s">
        <v>4421</v>
      </c>
      <c r="M819" s="13" t="s">
        <v>5632</v>
      </c>
      <c r="N819" s="13">
        <v>92.914000000000001</v>
      </c>
      <c r="O819" s="13" t="s">
        <v>5633</v>
      </c>
      <c r="P819" s="13" t="s">
        <v>5634</v>
      </c>
      <c r="Q819" s="13" t="s">
        <v>162</v>
      </c>
      <c r="R819" s="13" t="s">
        <v>5635</v>
      </c>
      <c r="S819" s="13" t="s">
        <v>476</v>
      </c>
      <c r="T819" s="13" t="s">
        <v>477</v>
      </c>
      <c r="U819" s="13" t="s">
        <v>478</v>
      </c>
      <c r="V819" s="47">
        <f>SUMIF(Data!$E:$E,$I819,Data!$AI:$AI)</f>
        <v>0</v>
      </c>
    </row>
    <row r="820" spans="1:22" x14ac:dyDescent="0.25">
      <c r="A820" s="46" t="s">
        <v>5413</v>
      </c>
      <c r="B820" s="46" t="s">
        <v>120</v>
      </c>
      <c r="C820" s="46" t="s">
        <v>5636</v>
      </c>
      <c r="D820" s="46">
        <v>1.8967575852220799</v>
      </c>
      <c r="E820" s="47">
        <f>SUMIF(Data!$E:$E,$C820,Data!$AI:$AI)</f>
        <v>0</v>
      </c>
      <c r="I820" s="13" t="s">
        <v>5637</v>
      </c>
      <c r="J820" s="13" t="s">
        <v>5638</v>
      </c>
      <c r="K820" s="13" t="s">
        <v>137</v>
      </c>
      <c r="L820" s="13" t="s">
        <v>5639</v>
      </c>
      <c r="M820" s="13" t="s">
        <v>5640</v>
      </c>
      <c r="N820" s="13">
        <v>467.27699999999999</v>
      </c>
      <c r="O820" s="13" t="s">
        <v>5641</v>
      </c>
      <c r="P820" s="13" t="s">
        <v>5642</v>
      </c>
      <c r="Q820" s="13" t="s">
        <v>172</v>
      </c>
      <c r="R820" s="13" t="s">
        <v>5643</v>
      </c>
      <c r="S820" s="13" t="s">
        <v>192</v>
      </c>
      <c r="T820" s="13" t="s">
        <v>146</v>
      </c>
      <c r="U820" s="13" t="s">
        <v>110</v>
      </c>
      <c r="V820" s="47">
        <f>SUMIF(Data!$E:$E,$I820,Data!$AI:$AI)</f>
        <v>0</v>
      </c>
    </row>
    <row r="821" spans="1:22" x14ac:dyDescent="0.25">
      <c r="A821" s="46" t="s">
        <v>5413</v>
      </c>
      <c r="B821" s="46" t="s">
        <v>120</v>
      </c>
      <c r="C821" s="46" t="s">
        <v>5644</v>
      </c>
      <c r="D821" s="46">
        <v>0.21845904291605101</v>
      </c>
      <c r="E821" s="47">
        <f>SUMIF(Data!$E:$E,$C821,Data!$AI:$AI)</f>
        <v>0</v>
      </c>
      <c r="I821" s="13">
        <v>8697</v>
      </c>
      <c r="J821" s="13" t="s">
        <v>5645</v>
      </c>
      <c r="K821" s="13" t="s">
        <v>137</v>
      </c>
      <c r="L821" s="13" t="s">
        <v>5639</v>
      </c>
      <c r="M821" s="13" t="s">
        <v>5646</v>
      </c>
      <c r="N821" s="13">
        <v>333.7</v>
      </c>
      <c r="O821" s="13" t="s">
        <v>5647</v>
      </c>
      <c r="P821" s="13" t="s">
        <v>5648</v>
      </c>
      <c r="Q821" s="13" t="s">
        <v>190</v>
      </c>
      <c r="R821" s="13" t="s">
        <v>5649</v>
      </c>
      <c r="S821" s="13" t="s">
        <v>441</v>
      </c>
      <c r="T821" s="13" t="s">
        <v>442</v>
      </c>
      <c r="U821" s="13" t="s">
        <v>443</v>
      </c>
      <c r="V821" s="47">
        <f>SUMIF(Data!$E:$E,$I821,Data!$AI:$AI)</f>
        <v>0</v>
      </c>
    </row>
    <row r="822" spans="1:22" x14ac:dyDescent="0.25">
      <c r="A822" s="46" t="s">
        <v>5413</v>
      </c>
      <c r="B822" s="46" t="s">
        <v>120</v>
      </c>
      <c r="C822" s="46" t="s">
        <v>4510</v>
      </c>
      <c r="D822" s="46">
        <v>1.1781449138426401</v>
      </c>
      <c r="E822" s="47">
        <f>SUMIF(Data!$E:$E,$C822,Data!$AI:$AI)</f>
        <v>0</v>
      </c>
      <c r="I822" s="13" t="s">
        <v>5650</v>
      </c>
      <c r="J822" s="13" t="s">
        <v>5651</v>
      </c>
      <c r="K822" s="13" t="s">
        <v>137</v>
      </c>
      <c r="L822" s="13" t="s">
        <v>5639</v>
      </c>
      <c r="M822" s="13" t="s">
        <v>5652</v>
      </c>
      <c r="N822" s="13">
        <v>160.334</v>
      </c>
      <c r="O822" s="13" t="s">
        <v>5653</v>
      </c>
      <c r="P822" s="13" t="s">
        <v>5654</v>
      </c>
      <c r="Q822" s="13" t="s">
        <v>190</v>
      </c>
      <c r="R822" s="13" t="s">
        <v>5655</v>
      </c>
      <c r="S822" s="13" t="s">
        <v>642</v>
      </c>
      <c r="T822" s="13" t="s">
        <v>643</v>
      </c>
      <c r="U822" s="13" t="s">
        <v>525</v>
      </c>
      <c r="V822" s="47">
        <f>SUMIF(Data!$E:$E,$I822,Data!$AI:$AI)</f>
        <v>0</v>
      </c>
    </row>
    <row r="823" spans="1:22" x14ac:dyDescent="0.25">
      <c r="A823" s="46" t="s">
        <v>5413</v>
      </c>
      <c r="B823" s="46" t="s">
        <v>120</v>
      </c>
      <c r="C823" s="46" t="s">
        <v>4567</v>
      </c>
      <c r="D823" s="46">
        <v>1.00533992420092</v>
      </c>
      <c r="E823" s="47">
        <f>SUMIF(Data!$E:$E,$C823,Data!$AI:$AI)</f>
        <v>0</v>
      </c>
      <c r="I823" s="13" t="s">
        <v>5656</v>
      </c>
      <c r="J823" s="13" t="s">
        <v>5657</v>
      </c>
      <c r="K823" s="13" t="s">
        <v>137</v>
      </c>
      <c r="L823" s="13" t="s">
        <v>5639</v>
      </c>
      <c r="M823" s="13" t="s">
        <v>5658</v>
      </c>
      <c r="N823" s="13">
        <v>208.827</v>
      </c>
      <c r="O823" s="13" t="s">
        <v>5659</v>
      </c>
      <c r="P823" s="13" t="s">
        <v>5660</v>
      </c>
      <c r="Q823" s="13" t="s">
        <v>162</v>
      </c>
      <c r="R823" s="13" t="s">
        <v>5661</v>
      </c>
      <c r="S823" s="13" t="s">
        <v>476</v>
      </c>
      <c r="T823" s="13" t="s">
        <v>477</v>
      </c>
      <c r="U823" s="13" t="s">
        <v>478</v>
      </c>
      <c r="V823" s="47">
        <f>SUMIF(Data!$E:$E,$I823,Data!$AI:$AI)</f>
        <v>0</v>
      </c>
    </row>
    <row r="824" spans="1:22" x14ac:dyDescent="0.25">
      <c r="A824" s="46" t="s">
        <v>5413</v>
      </c>
      <c r="B824" s="46" t="s">
        <v>120</v>
      </c>
      <c r="C824" s="46" t="s">
        <v>5662</v>
      </c>
      <c r="D824" s="46">
        <v>0.927571457047078</v>
      </c>
      <c r="E824" s="47">
        <f>SUMIF(Data!$E:$E,$C824,Data!$AI:$AI)</f>
        <v>0</v>
      </c>
      <c r="I824" s="13" t="s">
        <v>5663</v>
      </c>
      <c r="J824" s="13" t="s">
        <v>5663</v>
      </c>
      <c r="K824" s="13" t="s">
        <v>137</v>
      </c>
      <c r="L824" s="13" t="s">
        <v>5639</v>
      </c>
      <c r="M824" s="13" t="s">
        <v>5664</v>
      </c>
      <c r="N824" s="13">
        <v>308.19400000000002</v>
      </c>
      <c r="O824" s="13" t="s">
        <v>5665</v>
      </c>
      <c r="P824" s="13" t="s">
        <v>5666</v>
      </c>
      <c r="Q824" s="13" t="s">
        <v>416</v>
      </c>
      <c r="R824" s="13" t="s">
        <v>5667</v>
      </c>
      <c r="S824" s="13" t="s">
        <v>2928</v>
      </c>
      <c r="T824" s="13" t="s">
        <v>2929</v>
      </c>
      <c r="U824" s="13" t="s">
        <v>2930</v>
      </c>
      <c r="V824" s="47">
        <f>SUMIF(Data!$E:$E,$I824,Data!$AI:$AI)</f>
        <v>0</v>
      </c>
    </row>
    <row r="825" spans="1:22" x14ac:dyDescent="0.25">
      <c r="A825" s="46" t="s">
        <v>5413</v>
      </c>
      <c r="B825" s="46" t="s">
        <v>120</v>
      </c>
      <c r="C825" s="46" t="s">
        <v>5668</v>
      </c>
      <c r="D825" s="46">
        <v>3.1871780104276999</v>
      </c>
      <c r="E825" s="47">
        <f>SUMIF(Data!$E:$E,$C825,Data!$AI:$AI)</f>
        <v>0</v>
      </c>
      <c r="I825" s="13" t="s">
        <v>5669</v>
      </c>
      <c r="J825" s="13" t="s">
        <v>5670</v>
      </c>
      <c r="K825" s="13" t="s">
        <v>137</v>
      </c>
      <c r="L825" s="13" t="s">
        <v>5639</v>
      </c>
      <c r="M825" s="13" t="s">
        <v>1211</v>
      </c>
      <c r="N825" s="13" t="s">
        <v>5671</v>
      </c>
      <c r="O825" s="13" t="s">
        <v>5672</v>
      </c>
      <c r="P825" s="13" t="s">
        <v>5673</v>
      </c>
      <c r="Q825" s="13" t="s">
        <v>190</v>
      </c>
      <c r="R825" s="13" t="s">
        <v>5674</v>
      </c>
      <c r="S825" s="13" t="s">
        <v>847</v>
      </c>
      <c r="T825" s="13" t="s">
        <v>848</v>
      </c>
      <c r="U825" s="13" t="s">
        <v>849</v>
      </c>
      <c r="V825" s="47">
        <f>SUMIF(Data!$E:$E,$I825,Data!$AI:$AI)</f>
        <v>0</v>
      </c>
    </row>
    <row r="826" spans="1:22" x14ac:dyDescent="0.25">
      <c r="A826" s="46" t="s">
        <v>5413</v>
      </c>
      <c r="B826" s="46" t="s">
        <v>120</v>
      </c>
      <c r="C826" s="46" t="s">
        <v>5675</v>
      </c>
      <c r="D826" s="46">
        <v>1.2478089467993001</v>
      </c>
      <c r="E826" s="47">
        <f>SUMIF(Data!$E:$E,$C826,Data!$AI:$AI)</f>
        <v>0</v>
      </c>
      <c r="I826" s="13" t="s">
        <v>5676</v>
      </c>
      <c r="J826" s="13" t="s">
        <v>5677</v>
      </c>
      <c r="K826" s="13" t="s">
        <v>137</v>
      </c>
      <c r="L826" s="13" t="s">
        <v>5639</v>
      </c>
      <c r="M826" s="13" t="s">
        <v>5678</v>
      </c>
      <c r="N826" s="13">
        <v>344.95299999999997</v>
      </c>
      <c r="O826" s="13" t="s">
        <v>5679</v>
      </c>
      <c r="P826" s="13" t="s">
        <v>5680</v>
      </c>
      <c r="Q826" s="13" t="s">
        <v>172</v>
      </c>
      <c r="R826" s="13" t="s">
        <v>5681</v>
      </c>
      <c r="S826" s="13" t="s">
        <v>192</v>
      </c>
      <c r="T826" s="13" t="s">
        <v>146</v>
      </c>
      <c r="U826" s="13" t="s">
        <v>110</v>
      </c>
      <c r="V826" s="47">
        <f>SUMIF(Data!$E:$E,$I826,Data!$AI:$AI)</f>
        <v>0</v>
      </c>
    </row>
    <row r="827" spans="1:22" x14ac:dyDescent="0.25">
      <c r="A827" s="46" t="s">
        <v>5413</v>
      </c>
      <c r="B827" s="46" t="s">
        <v>120</v>
      </c>
      <c r="C827" s="46" t="s">
        <v>5682</v>
      </c>
      <c r="D827" s="46">
        <v>1.51657461539186</v>
      </c>
      <c r="E827" s="47">
        <f>SUMIF(Data!$E:$E,$C827,Data!$AI:$AI)</f>
        <v>0</v>
      </c>
      <c r="I827" s="13" t="s">
        <v>5683</v>
      </c>
      <c r="J827" s="13" t="s">
        <v>5684</v>
      </c>
      <c r="K827" s="13" t="s">
        <v>137</v>
      </c>
      <c r="L827" s="13" t="s">
        <v>5639</v>
      </c>
      <c r="M827" s="13" t="s">
        <v>5685</v>
      </c>
      <c r="N827" s="13">
        <v>59.854999999999997</v>
      </c>
      <c r="O827" s="13" t="s">
        <v>5686</v>
      </c>
      <c r="P827" s="13" t="s">
        <v>5687</v>
      </c>
      <c r="Q827" s="13" t="s">
        <v>734</v>
      </c>
      <c r="R827" s="13" t="s">
        <v>5688</v>
      </c>
      <c r="S827" s="13" t="s">
        <v>523</v>
      </c>
      <c r="T827" s="13" t="s">
        <v>524</v>
      </c>
      <c r="U827" s="13" t="s">
        <v>525</v>
      </c>
      <c r="V827" s="47">
        <f>SUMIF(Data!$E:$E,$I827,Data!$AI:$AI)</f>
        <v>0</v>
      </c>
    </row>
    <row r="828" spans="1:22" x14ac:dyDescent="0.25">
      <c r="A828" s="46" t="s">
        <v>5413</v>
      </c>
      <c r="B828" s="46" t="s">
        <v>120</v>
      </c>
      <c r="C828" s="46" t="s">
        <v>5689</v>
      </c>
      <c r="D828" s="46">
        <v>2.3461510148156699</v>
      </c>
      <c r="E828" s="47">
        <f>SUMIF(Data!$E:$E,$C828,Data!$AI:$AI)</f>
        <v>0</v>
      </c>
      <c r="I828" s="13" t="s">
        <v>5690</v>
      </c>
      <c r="J828" s="13" t="s">
        <v>5691</v>
      </c>
      <c r="K828" s="13" t="s">
        <v>137</v>
      </c>
      <c r="L828" s="13" t="s">
        <v>5639</v>
      </c>
      <c r="M828" s="13" t="s">
        <v>5692</v>
      </c>
      <c r="N828" s="13">
        <v>74.524000000000001</v>
      </c>
      <c r="O828" s="13" t="s">
        <v>5693</v>
      </c>
      <c r="P828" s="13" t="s">
        <v>5694</v>
      </c>
      <c r="Q828" s="13" t="s">
        <v>416</v>
      </c>
      <c r="R828" s="13" t="s">
        <v>5695</v>
      </c>
      <c r="S828" s="13" t="s">
        <v>145</v>
      </c>
      <c r="T828" s="13" t="s">
        <v>146</v>
      </c>
      <c r="U828" s="13" t="s">
        <v>110</v>
      </c>
      <c r="V828" s="47">
        <f>SUMIF(Data!$E:$E,$I828,Data!$AI:$AI)</f>
        <v>0</v>
      </c>
    </row>
    <row r="829" spans="1:22" x14ac:dyDescent="0.25">
      <c r="A829" s="46" t="s">
        <v>5413</v>
      </c>
      <c r="B829" s="46" t="s">
        <v>120</v>
      </c>
      <c r="C829" s="46" t="s">
        <v>5696</v>
      </c>
      <c r="D829" s="46">
        <v>3.0893519135424299</v>
      </c>
      <c r="E829" s="47">
        <f>SUMIF(Data!$E:$E,$C829,Data!$AI:$AI)</f>
        <v>0</v>
      </c>
      <c r="I829" s="13" t="s">
        <v>5697</v>
      </c>
      <c r="J829" s="13" t="s">
        <v>5698</v>
      </c>
      <c r="K829" s="13" t="s">
        <v>137</v>
      </c>
      <c r="L829" s="13" t="s">
        <v>5639</v>
      </c>
      <c r="M829" s="13" t="s">
        <v>5699</v>
      </c>
      <c r="N829" s="13">
        <v>163.28299999999999</v>
      </c>
      <c r="O829" s="13" t="s">
        <v>5700</v>
      </c>
      <c r="P829" s="13" t="s">
        <v>5701</v>
      </c>
      <c r="Q829" s="13" t="s">
        <v>208</v>
      </c>
      <c r="R829" s="13" t="s">
        <v>5702</v>
      </c>
      <c r="S829" s="13" t="s">
        <v>1164</v>
      </c>
      <c r="T829" s="13" t="s">
        <v>1165</v>
      </c>
      <c r="U829" s="13" t="s">
        <v>525</v>
      </c>
      <c r="V829" s="47">
        <f>SUMIF(Data!$E:$E,$I829,Data!$AI:$AI)</f>
        <v>0</v>
      </c>
    </row>
    <row r="830" spans="1:22" x14ac:dyDescent="0.25">
      <c r="A830" s="46" t="s">
        <v>5413</v>
      </c>
      <c r="B830" s="46" t="s">
        <v>120</v>
      </c>
      <c r="C830" s="46" t="s">
        <v>5703</v>
      </c>
      <c r="D830" s="46">
        <v>3.0962011128962099</v>
      </c>
      <c r="E830" s="47">
        <f>SUMIF(Data!$E:$E,$C830,Data!$AI:$AI)</f>
        <v>0</v>
      </c>
      <c r="I830" s="13">
        <v>66</v>
      </c>
      <c r="J830" s="13" t="s">
        <v>5704</v>
      </c>
      <c r="K830" s="13" t="s">
        <v>137</v>
      </c>
      <c r="L830" s="13" t="s">
        <v>5639</v>
      </c>
      <c r="M830" s="13" t="s">
        <v>5705</v>
      </c>
      <c r="N830" s="13">
        <v>995</v>
      </c>
      <c r="O830" s="13" t="s">
        <v>5706</v>
      </c>
      <c r="P830" s="13" t="s">
        <v>5707</v>
      </c>
      <c r="Q830" s="13" t="s">
        <v>416</v>
      </c>
      <c r="R830" s="13" t="s">
        <v>5708</v>
      </c>
      <c r="S830" s="13" t="s">
        <v>549</v>
      </c>
      <c r="T830" s="13" t="s">
        <v>550</v>
      </c>
      <c r="U830" s="13" t="s">
        <v>551</v>
      </c>
      <c r="V830" s="47">
        <f>SUMIF(Data!$E:$E,$I830,Data!$AI:$AI)</f>
        <v>0</v>
      </c>
    </row>
    <row r="831" spans="1:22" x14ac:dyDescent="0.25">
      <c r="A831" s="46" t="s">
        <v>5413</v>
      </c>
      <c r="B831" s="46" t="s">
        <v>120</v>
      </c>
      <c r="C831" s="46" t="s">
        <v>5709</v>
      </c>
      <c r="D831" s="46">
        <v>1.3037948028557</v>
      </c>
      <c r="E831" s="47">
        <f>SUMIF(Data!$E:$E,$C831,Data!$AI:$AI)</f>
        <v>0</v>
      </c>
      <c r="I831" s="13" t="s">
        <v>5710</v>
      </c>
      <c r="J831" s="13" t="s">
        <v>5711</v>
      </c>
      <c r="K831" s="13" t="s">
        <v>137</v>
      </c>
      <c r="L831" s="13" t="s">
        <v>5639</v>
      </c>
      <c r="M831" s="13" t="s">
        <v>5712</v>
      </c>
      <c r="N831" s="13">
        <v>96.593999999999994</v>
      </c>
      <c r="O831" s="13" t="s">
        <v>5713</v>
      </c>
      <c r="P831" s="13" t="s">
        <v>5714</v>
      </c>
      <c r="Q831" s="13" t="s">
        <v>416</v>
      </c>
      <c r="R831" s="13" t="s">
        <v>5715</v>
      </c>
      <c r="S831" s="13" t="s">
        <v>642</v>
      </c>
      <c r="T831" s="13" t="s">
        <v>643</v>
      </c>
      <c r="U831" s="13" t="s">
        <v>525</v>
      </c>
      <c r="V831" s="47">
        <f>SUMIF(Data!$E:$E,$I831,Data!$AI:$AI)</f>
        <v>0</v>
      </c>
    </row>
    <row r="832" spans="1:22" x14ac:dyDescent="0.25">
      <c r="A832" s="46" t="s">
        <v>5413</v>
      </c>
      <c r="B832" s="46" t="s">
        <v>120</v>
      </c>
      <c r="C832" s="46" t="s">
        <v>5716</v>
      </c>
      <c r="D832" s="46">
        <v>1.57307040577278</v>
      </c>
      <c r="E832" s="47">
        <f>SUMIF(Data!$E:$E,$C832,Data!$AI:$AI)</f>
        <v>0</v>
      </c>
      <c r="I832" s="13" t="s">
        <v>5717</v>
      </c>
      <c r="J832" s="13" t="s">
        <v>5718</v>
      </c>
      <c r="K832" s="13" t="s">
        <v>137</v>
      </c>
      <c r="L832" s="13" t="s">
        <v>5639</v>
      </c>
      <c r="M832" s="13" t="s">
        <v>3724</v>
      </c>
      <c r="N832" s="13">
        <v>40.762999999999998</v>
      </c>
      <c r="O832" s="13" t="s">
        <v>5719</v>
      </c>
      <c r="P832" s="13" t="s">
        <v>5720</v>
      </c>
      <c r="Q832" s="13" t="s">
        <v>143</v>
      </c>
      <c r="R832" s="13" t="s">
        <v>5721</v>
      </c>
      <c r="S832" s="13" t="s">
        <v>145</v>
      </c>
      <c r="T832" s="13" t="s">
        <v>146</v>
      </c>
      <c r="U832" s="13" t="s">
        <v>110</v>
      </c>
      <c r="V832" s="47">
        <f>SUMIF(Data!$E:$E,$I832,Data!$AI:$AI)</f>
        <v>0</v>
      </c>
    </row>
    <row r="833" spans="1:22" x14ac:dyDescent="0.25">
      <c r="A833" s="46" t="s">
        <v>5413</v>
      </c>
      <c r="B833" s="46" t="s">
        <v>120</v>
      </c>
      <c r="C833" s="46" t="s">
        <v>5722</v>
      </c>
      <c r="D833" s="46">
        <v>1.00825992948652</v>
      </c>
      <c r="E833" s="47">
        <f>SUMIF(Data!$E:$E,$C833,Data!$AI:$AI)</f>
        <v>0</v>
      </c>
      <c r="I833" s="13" t="s">
        <v>5723</v>
      </c>
      <c r="J833" s="13" t="s">
        <v>5724</v>
      </c>
      <c r="K833" s="13" t="s">
        <v>137</v>
      </c>
      <c r="L833" s="13" t="s">
        <v>5639</v>
      </c>
      <c r="M833" s="13" t="s">
        <v>5725</v>
      </c>
      <c r="N833" s="13">
        <v>844.61400000000003</v>
      </c>
      <c r="O833" s="13" t="s">
        <v>5726</v>
      </c>
      <c r="P833" s="13" t="s">
        <v>5727</v>
      </c>
      <c r="Q833" s="13" t="s">
        <v>172</v>
      </c>
      <c r="R833" s="13" t="s">
        <v>5728</v>
      </c>
      <c r="S833" s="13" t="s">
        <v>145</v>
      </c>
      <c r="T833" s="13" t="s">
        <v>146</v>
      </c>
      <c r="U833" s="13" t="s">
        <v>110</v>
      </c>
      <c r="V833" s="47">
        <f>SUMIF(Data!$E:$E,$I833,Data!$AI:$AI)</f>
        <v>0</v>
      </c>
    </row>
    <row r="834" spans="1:22" x14ac:dyDescent="0.25">
      <c r="A834" s="46" t="s">
        <v>5413</v>
      </c>
      <c r="B834" s="46" t="s">
        <v>120</v>
      </c>
      <c r="C834" s="46" t="s">
        <v>5729</v>
      </c>
      <c r="D834" s="46">
        <v>1.1810357140515499</v>
      </c>
      <c r="E834" s="47">
        <f>SUMIF(Data!$E:$E,$C834,Data!$AI:$AI)</f>
        <v>0</v>
      </c>
      <c r="I834" s="13" t="s">
        <v>5730</v>
      </c>
      <c r="J834" s="13" t="s">
        <v>5731</v>
      </c>
      <c r="K834" s="13" t="s">
        <v>137</v>
      </c>
      <c r="L834" s="13" t="s">
        <v>5639</v>
      </c>
      <c r="M834" s="13" t="s">
        <v>5732</v>
      </c>
      <c r="N834" s="13">
        <v>824.09699999999998</v>
      </c>
      <c r="O834" s="13" t="s">
        <v>5733</v>
      </c>
      <c r="P834" s="13" t="s">
        <v>5734</v>
      </c>
      <c r="Q834" s="13" t="s">
        <v>190</v>
      </c>
      <c r="R834" s="13" t="s">
        <v>5735</v>
      </c>
      <c r="S834" s="13" t="s">
        <v>5736</v>
      </c>
      <c r="T834" s="13" t="s">
        <v>4831</v>
      </c>
      <c r="U834" s="13" t="s">
        <v>5737</v>
      </c>
      <c r="V834" s="47">
        <f>SUMIF(Data!$E:$E,$I834,Data!$AI:$AI)</f>
        <v>0</v>
      </c>
    </row>
    <row r="835" spans="1:22" x14ac:dyDescent="0.25">
      <c r="A835" s="46" t="s">
        <v>5413</v>
      </c>
      <c r="B835" s="46" t="s">
        <v>120</v>
      </c>
      <c r="C835" s="46" t="s">
        <v>5738</v>
      </c>
      <c r="D835" s="46">
        <v>1.44522530118871</v>
      </c>
      <c r="E835" s="47">
        <f>SUMIF(Data!$E:$E,$C835,Data!$AI:$AI)</f>
        <v>0</v>
      </c>
      <c r="I835" s="13" t="s">
        <v>5739</v>
      </c>
      <c r="J835" s="13" t="s">
        <v>5740</v>
      </c>
      <c r="K835" s="13" t="s">
        <v>137</v>
      </c>
      <c r="L835" s="13" t="s">
        <v>5639</v>
      </c>
      <c r="M835" s="13" t="s">
        <v>5741</v>
      </c>
      <c r="N835" s="13">
        <v>142.29</v>
      </c>
      <c r="O835" s="13" t="s">
        <v>5742</v>
      </c>
      <c r="P835" s="13" t="s">
        <v>5743</v>
      </c>
      <c r="Q835" s="13" t="s">
        <v>224</v>
      </c>
      <c r="R835" s="13" t="s">
        <v>5744</v>
      </c>
      <c r="S835" s="13" t="s">
        <v>725</v>
      </c>
      <c r="T835" s="13" t="s">
        <v>726</v>
      </c>
      <c r="U835" s="13" t="s">
        <v>727</v>
      </c>
      <c r="V835" s="47">
        <f>SUMIF(Data!$E:$E,$I835,Data!$AI:$AI)</f>
        <v>0</v>
      </c>
    </row>
    <row r="836" spans="1:22" x14ac:dyDescent="0.25">
      <c r="A836" s="46" t="s">
        <v>5413</v>
      </c>
      <c r="B836" s="46" t="s">
        <v>120</v>
      </c>
      <c r="C836" s="46" t="s">
        <v>5745</v>
      </c>
      <c r="D836" s="46">
        <v>0.27091555280357199</v>
      </c>
      <c r="E836" s="47">
        <f>SUMIF(Data!$E:$E,$C836,Data!$AI:$AI)</f>
        <v>0</v>
      </c>
      <c r="I836" s="13" t="s">
        <v>5746</v>
      </c>
      <c r="J836" s="13" t="s">
        <v>5747</v>
      </c>
      <c r="K836" s="13" t="s">
        <v>137</v>
      </c>
      <c r="L836" s="13" t="s">
        <v>5639</v>
      </c>
      <c r="M836" s="13" t="s">
        <v>5748</v>
      </c>
      <c r="N836" s="13">
        <v>45.764000000000003</v>
      </c>
      <c r="O836" s="13" t="s">
        <v>5749</v>
      </c>
      <c r="P836" s="13" t="s">
        <v>5750</v>
      </c>
      <c r="Q836" s="13" t="s">
        <v>734</v>
      </c>
      <c r="R836" s="13" t="s">
        <v>5751</v>
      </c>
      <c r="S836" s="13" t="s">
        <v>192</v>
      </c>
      <c r="T836" s="13" t="s">
        <v>146</v>
      </c>
      <c r="U836" s="13" t="s">
        <v>110</v>
      </c>
      <c r="V836" s="47">
        <f>SUMIF(Data!$E:$E,$I836,Data!$AI:$AI)</f>
        <v>0</v>
      </c>
    </row>
    <row r="837" spans="1:22" x14ac:dyDescent="0.25">
      <c r="A837" s="46" t="s">
        <v>5413</v>
      </c>
      <c r="B837" s="46" t="s">
        <v>120</v>
      </c>
      <c r="C837" s="46" t="s">
        <v>5752</v>
      </c>
      <c r="D837" s="46">
        <v>3.1744676159321998</v>
      </c>
      <c r="E837" s="47">
        <f>SUMIF(Data!$E:$E,$C837,Data!$AI:$AI)</f>
        <v>0</v>
      </c>
      <c r="I837" s="13" t="s">
        <v>5753</v>
      </c>
      <c r="J837" s="13" t="s">
        <v>5754</v>
      </c>
      <c r="K837" s="13" t="s">
        <v>137</v>
      </c>
      <c r="L837" s="13" t="s">
        <v>5639</v>
      </c>
      <c r="M837" s="13" t="s">
        <v>5755</v>
      </c>
      <c r="N837" s="13">
        <v>39.462000000000003</v>
      </c>
      <c r="O837" s="13" t="s">
        <v>5756</v>
      </c>
      <c r="P837" s="13" t="s">
        <v>5757</v>
      </c>
      <c r="Q837" s="13" t="s">
        <v>162</v>
      </c>
      <c r="R837" s="13" t="s">
        <v>5758</v>
      </c>
      <c r="S837" s="13" t="s">
        <v>192</v>
      </c>
      <c r="T837" s="13" t="s">
        <v>146</v>
      </c>
      <c r="U837" s="13" t="s">
        <v>110</v>
      </c>
      <c r="V837" s="47">
        <f>SUMIF(Data!$E:$E,$I837,Data!$AI:$AI)</f>
        <v>0</v>
      </c>
    </row>
    <row r="838" spans="1:22" x14ac:dyDescent="0.25">
      <c r="A838" s="46" t="s">
        <v>5413</v>
      </c>
      <c r="B838" s="46" t="s">
        <v>120</v>
      </c>
      <c r="C838" s="46" t="s">
        <v>5759</v>
      </c>
      <c r="D838" s="46">
        <v>1.64248649738611</v>
      </c>
      <c r="E838" s="47">
        <f>SUMIF(Data!$E:$E,$C838,Data!$AI:$AI)</f>
        <v>0</v>
      </c>
      <c r="I838" s="13" t="s">
        <v>5760</v>
      </c>
      <c r="J838" s="13" t="s">
        <v>5761</v>
      </c>
      <c r="K838" s="13" t="s">
        <v>137</v>
      </c>
      <c r="L838" s="13" t="s">
        <v>5639</v>
      </c>
      <c r="M838" s="13" t="s">
        <v>5762</v>
      </c>
      <c r="N838" s="13">
        <v>172.16900000000001</v>
      </c>
      <c r="O838" s="13" t="s">
        <v>5763</v>
      </c>
      <c r="P838" s="13" t="s">
        <v>5764</v>
      </c>
      <c r="Q838" s="13" t="s">
        <v>162</v>
      </c>
      <c r="R838" s="13" t="s">
        <v>5765</v>
      </c>
      <c r="S838" s="13" t="s">
        <v>145</v>
      </c>
      <c r="T838" s="13" t="s">
        <v>146</v>
      </c>
      <c r="U838" s="13" t="s">
        <v>110</v>
      </c>
      <c r="V838" s="47">
        <f>SUMIF(Data!$E:$E,$I838,Data!$AI:$AI)</f>
        <v>0</v>
      </c>
    </row>
    <row r="839" spans="1:22" x14ac:dyDescent="0.25">
      <c r="A839" s="46" t="s">
        <v>5413</v>
      </c>
      <c r="B839" s="46" t="s">
        <v>120</v>
      </c>
      <c r="C839" s="46" t="s">
        <v>5766</v>
      </c>
      <c r="D839" s="46">
        <v>0.94628491311566099</v>
      </c>
      <c r="E839" s="47">
        <f>SUMIF(Data!$E:$E,$C839,Data!$AI:$AI)</f>
        <v>0</v>
      </c>
      <c r="I839" s="13" t="s">
        <v>5767</v>
      </c>
      <c r="J839" s="13" t="s">
        <v>5768</v>
      </c>
      <c r="K839" s="13" t="s">
        <v>137</v>
      </c>
      <c r="L839" s="13" t="s">
        <v>5639</v>
      </c>
      <c r="M839" s="13" t="s">
        <v>5769</v>
      </c>
      <c r="N839" s="13">
        <v>534.72400000000005</v>
      </c>
      <c r="O839" s="13" t="s">
        <v>5770</v>
      </c>
      <c r="P839" s="13" t="s">
        <v>5771</v>
      </c>
      <c r="Q839" s="13" t="s">
        <v>416</v>
      </c>
      <c r="R839" s="13" t="s">
        <v>5772</v>
      </c>
      <c r="S839" s="13" t="s">
        <v>1127</v>
      </c>
      <c r="T839" s="13" t="s">
        <v>1128</v>
      </c>
      <c r="U839" s="13" t="s">
        <v>525</v>
      </c>
      <c r="V839" s="47">
        <f>SUMIF(Data!$E:$E,$I839,Data!$AI:$AI)</f>
        <v>0</v>
      </c>
    </row>
    <row r="840" spans="1:22" x14ac:dyDescent="0.25">
      <c r="A840" s="46" t="s">
        <v>5413</v>
      </c>
      <c r="B840" s="46" t="s">
        <v>120</v>
      </c>
      <c r="C840" s="46" t="s">
        <v>4453</v>
      </c>
      <c r="D840" s="46">
        <v>2.2545229088040801</v>
      </c>
      <c r="E840" s="47">
        <f>SUMIF(Data!$E:$E,$C840,Data!$AI:$AI)</f>
        <v>0</v>
      </c>
      <c r="I840" s="13" t="s">
        <v>5773</v>
      </c>
      <c r="J840" s="13" t="s">
        <v>5774</v>
      </c>
      <c r="K840" s="13" t="s">
        <v>137</v>
      </c>
      <c r="L840" s="13" t="s">
        <v>5639</v>
      </c>
      <c r="M840" s="13" t="s">
        <v>5775</v>
      </c>
      <c r="N840" s="13">
        <v>20.221</v>
      </c>
      <c r="O840" s="13" t="s">
        <v>5776</v>
      </c>
      <c r="P840" s="13" t="s">
        <v>5777</v>
      </c>
      <c r="Q840" s="13" t="s">
        <v>162</v>
      </c>
      <c r="R840" s="13" t="s">
        <v>5778</v>
      </c>
      <c r="S840" s="13" t="s">
        <v>192</v>
      </c>
      <c r="T840" s="13" t="s">
        <v>146</v>
      </c>
      <c r="U840" s="13" t="s">
        <v>110</v>
      </c>
      <c r="V840" s="47">
        <f>SUMIF(Data!$E:$E,$I840,Data!$AI:$AI)</f>
        <v>0</v>
      </c>
    </row>
    <row r="841" spans="1:22" x14ac:dyDescent="0.25">
      <c r="A841" s="46" t="s">
        <v>5413</v>
      </c>
      <c r="B841" s="46" t="s">
        <v>120</v>
      </c>
      <c r="C841" s="46" t="s">
        <v>5779</v>
      </c>
      <c r="D841" s="46">
        <v>0.81054236085768905</v>
      </c>
      <c r="E841" s="47">
        <f>SUMIF(Data!$E:$E,$C841,Data!$AI:$AI)</f>
        <v>0</v>
      </c>
      <c r="I841" s="13" t="s">
        <v>5780</v>
      </c>
      <c r="J841" s="13" t="s">
        <v>5781</v>
      </c>
      <c r="K841" s="13" t="s">
        <v>137</v>
      </c>
      <c r="L841" s="13" t="s">
        <v>5639</v>
      </c>
      <c r="M841" s="13" t="s">
        <v>5782</v>
      </c>
      <c r="N841" s="13">
        <v>45.488999999999997</v>
      </c>
      <c r="O841" s="13" t="s">
        <v>5783</v>
      </c>
      <c r="P841" s="13" t="s">
        <v>5784</v>
      </c>
      <c r="Q841" s="13" t="s">
        <v>172</v>
      </c>
      <c r="R841" s="13" t="s">
        <v>5785</v>
      </c>
      <c r="S841" s="13" t="s">
        <v>145</v>
      </c>
      <c r="T841" s="13" t="s">
        <v>146</v>
      </c>
      <c r="U841" s="13" t="s">
        <v>110</v>
      </c>
      <c r="V841" s="47">
        <f>SUMIF(Data!$E:$E,$I841,Data!$AI:$AI)</f>
        <v>0</v>
      </c>
    </row>
    <row r="842" spans="1:22" x14ac:dyDescent="0.25">
      <c r="A842" s="46" t="s">
        <v>5413</v>
      </c>
      <c r="B842" s="46" t="s">
        <v>120</v>
      </c>
      <c r="C842" s="46" t="s">
        <v>1777</v>
      </c>
      <c r="D842" s="46">
        <v>1.95572380576686</v>
      </c>
      <c r="E842" s="47">
        <f>SUMIF(Data!$E:$E,$C842,Data!$AI:$AI)</f>
        <v>0</v>
      </c>
      <c r="I842" s="13" t="s">
        <v>5786</v>
      </c>
      <c r="J842" s="13" t="s">
        <v>5787</v>
      </c>
      <c r="K842" s="13" t="s">
        <v>137</v>
      </c>
      <c r="L842" s="13" t="s">
        <v>5639</v>
      </c>
      <c r="M842" s="13" t="s">
        <v>5788</v>
      </c>
      <c r="N842" s="13">
        <v>530.28499999999997</v>
      </c>
      <c r="O842" s="13" t="s">
        <v>5789</v>
      </c>
      <c r="P842" s="13" t="s">
        <v>5790</v>
      </c>
      <c r="Q842" s="13" t="s">
        <v>190</v>
      </c>
      <c r="R842" s="13" t="s">
        <v>5791</v>
      </c>
      <c r="S842" s="13" t="s">
        <v>1127</v>
      </c>
      <c r="T842" s="13" t="s">
        <v>1128</v>
      </c>
      <c r="U842" s="13" t="s">
        <v>525</v>
      </c>
      <c r="V842" s="47">
        <f>SUMIF(Data!$E:$E,$I842,Data!$AI:$AI)</f>
        <v>0</v>
      </c>
    </row>
    <row r="843" spans="1:22" x14ac:dyDescent="0.25">
      <c r="A843" s="46" t="s">
        <v>5413</v>
      </c>
      <c r="B843" s="46" t="s">
        <v>120</v>
      </c>
      <c r="C843" s="46" t="s">
        <v>5792</v>
      </c>
      <c r="D843" s="46">
        <v>0.199922990245681</v>
      </c>
      <c r="E843" s="47">
        <f>SUMIF(Data!$E:$E,$C843,Data!$AI:$AI)</f>
        <v>0</v>
      </c>
      <c r="I843" s="13" t="s">
        <v>5793</v>
      </c>
      <c r="J843" s="13" t="s">
        <v>5794</v>
      </c>
      <c r="K843" s="13" t="s">
        <v>137</v>
      </c>
      <c r="L843" s="13" t="s">
        <v>5639</v>
      </c>
      <c r="M843" s="13" t="s">
        <v>5795</v>
      </c>
      <c r="N843" s="13">
        <v>55.747</v>
      </c>
      <c r="O843" s="13" t="s">
        <v>5796</v>
      </c>
      <c r="P843" s="13" t="s">
        <v>5797</v>
      </c>
      <c r="Q843" s="13" t="s">
        <v>224</v>
      </c>
      <c r="R843" s="13" t="s">
        <v>5798</v>
      </c>
      <c r="S843" s="13" t="s">
        <v>192</v>
      </c>
      <c r="T843" s="13" t="s">
        <v>146</v>
      </c>
      <c r="U843" s="13" t="s">
        <v>110</v>
      </c>
      <c r="V843" s="47">
        <f>SUMIF(Data!$E:$E,$I843,Data!$AI:$AI)</f>
        <v>0</v>
      </c>
    </row>
    <row r="844" spans="1:22" x14ac:dyDescent="0.25">
      <c r="A844" s="46" t="s">
        <v>5413</v>
      </c>
      <c r="B844" s="46" t="s">
        <v>120</v>
      </c>
      <c r="C844" s="46" t="s">
        <v>5799</v>
      </c>
      <c r="D844" s="46">
        <v>0.352341080947006</v>
      </c>
      <c r="E844" s="47">
        <f>SUMIF(Data!$E:$E,$C844,Data!$AI:$AI)</f>
        <v>0</v>
      </c>
      <c r="I844" s="13" t="s">
        <v>5800</v>
      </c>
      <c r="J844" s="13" t="s">
        <v>5801</v>
      </c>
      <c r="K844" s="13" t="s">
        <v>137</v>
      </c>
      <c r="L844" s="13" t="s">
        <v>5639</v>
      </c>
      <c r="M844" s="13" t="s">
        <v>5802</v>
      </c>
      <c r="N844" s="13">
        <v>358.601</v>
      </c>
      <c r="O844" s="13" t="s">
        <v>5803</v>
      </c>
      <c r="P844" s="13" t="s">
        <v>5804</v>
      </c>
      <c r="Q844" s="13" t="s">
        <v>190</v>
      </c>
      <c r="R844" s="13" t="s">
        <v>5805</v>
      </c>
      <c r="S844" s="13" t="s">
        <v>768</v>
      </c>
      <c r="T844" s="13" t="s">
        <v>769</v>
      </c>
      <c r="U844" s="13" t="s">
        <v>770</v>
      </c>
      <c r="V844" s="47">
        <f>SUMIF(Data!$E:$E,$I844,Data!$AI:$AI)</f>
        <v>0</v>
      </c>
    </row>
    <row r="845" spans="1:22" x14ac:dyDescent="0.25">
      <c r="A845" s="46" t="s">
        <v>5413</v>
      </c>
      <c r="B845" s="46" t="s">
        <v>120</v>
      </c>
      <c r="C845" s="46" t="s">
        <v>5806</v>
      </c>
      <c r="D845" s="46">
        <v>1.0432400453637101</v>
      </c>
      <c r="E845" s="47">
        <f>SUMIF(Data!$E:$E,$C845,Data!$AI:$AI)</f>
        <v>0</v>
      </c>
      <c r="I845" s="13" t="s">
        <v>5807</v>
      </c>
      <c r="J845" s="13" t="s">
        <v>5808</v>
      </c>
      <c r="K845" s="13" t="s">
        <v>137</v>
      </c>
      <c r="L845" s="13" t="s">
        <v>5639</v>
      </c>
      <c r="M845" s="13" t="s">
        <v>5809</v>
      </c>
      <c r="N845" s="13">
        <v>23.611999999999998</v>
      </c>
      <c r="O845" s="13" t="s">
        <v>5810</v>
      </c>
      <c r="P845" s="13" t="s">
        <v>5811</v>
      </c>
      <c r="Q845" s="13" t="s">
        <v>143</v>
      </c>
      <c r="R845" s="13" t="s">
        <v>5812</v>
      </c>
      <c r="S845" s="13" t="s">
        <v>145</v>
      </c>
      <c r="T845" s="13" t="s">
        <v>146</v>
      </c>
      <c r="U845" s="13" t="s">
        <v>110</v>
      </c>
      <c r="V845" s="47">
        <f>SUMIF(Data!$E:$E,$I845,Data!$AI:$AI)</f>
        <v>0</v>
      </c>
    </row>
    <row r="846" spans="1:22" x14ac:dyDescent="0.25">
      <c r="A846" s="46" t="s">
        <v>5413</v>
      </c>
      <c r="B846" s="46" t="s">
        <v>120</v>
      </c>
      <c r="C846" s="46" t="s">
        <v>5813</v>
      </c>
      <c r="D846" s="46">
        <v>1.56776434273849</v>
      </c>
      <c r="E846" s="47">
        <f>SUMIF(Data!$E:$E,$C846,Data!$AI:$AI)</f>
        <v>0</v>
      </c>
      <c r="I846" s="13" t="s">
        <v>5814</v>
      </c>
      <c r="J846" s="13" t="s">
        <v>5815</v>
      </c>
      <c r="K846" s="13" t="s">
        <v>137</v>
      </c>
      <c r="L846" s="13" t="s">
        <v>5639</v>
      </c>
      <c r="M846" s="13" t="s">
        <v>5816</v>
      </c>
      <c r="N846" s="13">
        <v>350.28899999999999</v>
      </c>
      <c r="O846" s="13" t="s">
        <v>5817</v>
      </c>
      <c r="P846" s="13" t="s">
        <v>5818</v>
      </c>
      <c r="Q846" s="13" t="s">
        <v>734</v>
      </c>
      <c r="R846" s="13" t="s">
        <v>5819</v>
      </c>
      <c r="S846" s="13" t="s">
        <v>642</v>
      </c>
      <c r="T846" s="13" t="s">
        <v>561</v>
      </c>
      <c r="U846" s="13" t="s">
        <v>525</v>
      </c>
      <c r="V846" s="47">
        <f>SUMIF(Data!$E:$E,$I846,Data!$AI:$AI)</f>
        <v>0</v>
      </c>
    </row>
    <row r="847" spans="1:22" x14ac:dyDescent="0.25">
      <c r="A847" s="46" t="s">
        <v>5413</v>
      </c>
      <c r="B847" s="46" t="s">
        <v>120</v>
      </c>
      <c r="C847" s="46" t="s">
        <v>5820</v>
      </c>
      <c r="D847" s="46">
        <v>1.22186221607569</v>
      </c>
      <c r="E847" s="47">
        <f>SUMIF(Data!$E:$E,$C847,Data!$AI:$AI)</f>
        <v>0</v>
      </c>
      <c r="I847" s="13" t="s">
        <v>5821</v>
      </c>
      <c r="J847" s="13" t="s">
        <v>5822</v>
      </c>
      <c r="K847" s="13" t="s">
        <v>137</v>
      </c>
      <c r="L847" s="13" t="s">
        <v>5639</v>
      </c>
      <c r="M847" s="13" t="s">
        <v>5823</v>
      </c>
      <c r="N847" s="13">
        <v>57.061</v>
      </c>
      <c r="O847" s="13" t="s">
        <v>5824</v>
      </c>
      <c r="P847" s="13" t="s">
        <v>5825</v>
      </c>
      <c r="Q847" s="13" t="s">
        <v>162</v>
      </c>
      <c r="R847" s="13" t="s">
        <v>5826</v>
      </c>
      <c r="S847" s="13" t="s">
        <v>145</v>
      </c>
      <c r="T847" s="13" t="s">
        <v>146</v>
      </c>
      <c r="U847" s="13" t="s">
        <v>110</v>
      </c>
      <c r="V847" s="47">
        <f>SUMIF(Data!$E:$E,$I847,Data!$AI:$AI)</f>
        <v>0</v>
      </c>
    </row>
    <row r="848" spans="1:22" x14ac:dyDescent="0.25">
      <c r="A848" s="46" t="s">
        <v>5413</v>
      </c>
      <c r="B848" s="46" t="s">
        <v>120</v>
      </c>
      <c r="C848" s="46" t="s">
        <v>5827</v>
      </c>
      <c r="D848" s="46">
        <v>0.47929317437307201</v>
      </c>
      <c r="E848" s="47">
        <f>SUMIF(Data!$E:$E,$C848,Data!$AI:$AI)</f>
        <v>0</v>
      </c>
      <c r="I848" s="13">
        <v>8002</v>
      </c>
      <c r="J848" s="13" t="s">
        <v>5828</v>
      </c>
      <c r="K848" s="13" t="s">
        <v>137</v>
      </c>
      <c r="L848" s="13" t="s">
        <v>5639</v>
      </c>
      <c r="M848" s="13" t="s">
        <v>5829</v>
      </c>
      <c r="N848" s="13">
        <v>773.03200000000004</v>
      </c>
      <c r="O848" s="13" t="s">
        <v>5830</v>
      </c>
      <c r="P848" s="13" t="s">
        <v>5831</v>
      </c>
      <c r="Q848" s="13" t="s">
        <v>416</v>
      </c>
      <c r="R848" s="13" t="s">
        <v>5832</v>
      </c>
      <c r="S848" s="13" t="s">
        <v>441</v>
      </c>
      <c r="T848" s="13" t="s">
        <v>442</v>
      </c>
      <c r="U848" s="13" t="s">
        <v>443</v>
      </c>
      <c r="V848" s="47">
        <f>SUMIF(Data!$E:$E,$I848,Data!$AI:$AI)</f>
        <v>0</v>
      </c>
    </row>
    <row r="849" spans="1:22" ht="15.75" thickBot="1" x14ac:dyDescent="0.3">
      <c r="A849" s="46" t="s">
        <v>5413</v>
      </c>
      <c r="B849" s="46" t="s">
        <v>120</v>
      </c>
      <c r="C849" s="46" t="s">
        <v>5833</v>
      </c>
      <c r="D849" s="46">
        <v>0.77842809357693099</v>
      </c>
      <c r="E849" s="47">
        <f>SUMIF(Data!$E:$E,$C849,Data!$AI:$AI)</f>
        <v>0</v>
      </c>
      <c r="I849" s="13" t="s">
        <v>5834</v>
      </c>
      <c r="J849" s="13" t="s">
        <v>5835</v>
      </c>
      <c r="K849" s="13" t="s">
        <v>137</v>
      </c>
      <c r="L849" s="13" t="s">
        <v>5639</v>
      </c>
      <c r="M849" s="13" t="s">
        <v>5836</v>
      </c>
      <c r="N849" s="13">
        <v>77.135000000000005</v>
      </c>
      <c r="O849" s="13" t="s">
        <v>5837</v>
      </c>
      <c r="P849" s="13" t="s">
        <v>5838</v>
      </c>
      <c r="Q849" s="13" t="s">
        <v>416</v>
      </c>
      <c r="R849" s="13" t="s">
        <v>5839</v>
      </c>
      <c r="S849" s="13" t="s">
        <v>476</v>
      </c>
      <c r="T849" s="13" t="s">
        <v>477</v>
      </c>
      <c r="U849" s="13" t="s">
        <v>478</v>
      </c>
      <c r="V849" s="47">
        <f>SUMIF(Data!$E:$E,$I849,Data!$AI:$AI)</f>
        <v>0</v>
      </c>
    </row>
    <row r="850" spans="1:22" ht="15.75" x14ac:dyDescent="0.3">
      <c r="A850" s="50" t="s">
        <v>5840</v>
      </c>
      <c r="B850" s="51" t="s">
        <v>120</v>
      </c>
      <c r="C850" s="52" t="s">
        <v>5023</v>
      </c>
      <c r="D850" s="53">
        <v>1.637796E-2</v>
      </c>
      <c r="E850" s="47">
        <f>SUMIF(Data!$E:$E,$C850,Data!$AI:$AI)</f>
        <v>0</v>
      </c>
      <c r="G850" s="13" t="s">
        <v>5841</v>
      </c>
      <c r="H850" s="13" t="s">
        <v>5842</v>
      </c>
      <c r="I850" s="13" t="s">
        <v>5843</v>
      </c>
      <c r="J850" s="13" t="s">
        <v>5844</v>
      </c>
      <c r="K850" s="13" t="s">
        <v>137</v>
      </c>
      <c r="L850" s="13" t="s">
        <v>5639</v>
      </c>
      <c r="M850" s="13" t="s">
        <v>5845</v>
      </c>
      <c r="N850" s="13">
        <v>290.61700000000002</v>
      </c>
      <c r="O850" s="13" t="s">
        <v>5846</v>
      </c>
      <c r="P850" s="13" t="s">
        <v>5847</v>
      </c>
      <c r="Q850" s="13" t="s">
        <v>172</v>
      </c>
      <c r="R850" s="13" t="s">
        <v>5848</v>
      </c>
      <c r="S850" s="13" t="s">
        <v>145</v>
      </c>
      <c r="T850" s="13" t="s">
        <v>146</v>
      </c>
      <c r="U850" s="13" t="s">
        <v>110</v>
      </c>
      <c r="V850" s="47">
        <f>SUMIF(Data!$E:$E,$I850,Data!$AI:$AI)</f>
        <v>0</v>
      </c>
    </row>
    <row r="851" spans="1:22" ht="15.75" x14ac:dyDescent="0.3">
      <c r="A851" s="54" t="s">
        <v>5840</v>
      </c>
      <c r="B851" s="55" t="s">
        <v>120</v>
      </c>
      <c r="C851" s="56" t="s">
        <v>4644</v>
      </c>
      <c r="D851" s="57">
        <v>1.0253E-4</v>
      </c>
      <c r="E851" s="47">
        <f>SUMIF(Data!$E:$E,$C851,Data!$AI:$AI)</f>
        <v>0</v>
      </c>
      <c r="G851" s="13" t="s">
        <v>5849</v>
      </c>
      <c r="H851" s="13" t="s">
        <v>5850</v>
      </c>
      <c r="I851" s="13" t="s">
        <v>5851</v>
      </c>
      <c r="J851" s="13" t="s">
        <v>5852</v>
      </c>
      <c r="K851" s="13" t="s">
        <v>137</v>
      </c>
      <c r="L851" s="13" t="s">
        <v>5639</v>
      </c>
      <c r="M851" s="13" t="s">
        <v>5853</v>
      </c>
      <c r="N851" s="13">
        <v>76.796000000000006</v>
      </c>
      <c r="O851" s="13" t="s">
        <v>5854</v>
      </c>
      <c r="P851" s="13" t="s">
        <v>5855</v>
      </c>
      <c r="Q851" s="13" t="s">
        <v>734</v>
      </c>
      <c r="R851" s="13" t="s">
        <v>5856</v>
      </c>
      <c r="S851" s="13" t="s">
        <v>192</v>
      </c>
      <c r="T851" s="13" t="s">
        <v>146</v>
      </c>
      <c r="U851" s="13" t="s">
        <v>110</v>
      </c>
      <c r="V851" s="47">
        <f>SUMIF(Data!$E:$E,$I851,Data!$AI:$AI)</f>
        <v>0</v>
      </c>
    </row>
    <row r="852" spans="1:22" ht="15.75" x14ac:dyDescent="0.3">
      <c r="A852" s="54" t="s">
        <v>5840</v>
      </c>
      <c r="B852" s="55" t="s">
        <v>120</v>
      </c>
      <c r="C852" s="56" t="s">
        <v>5414</v>
      </c>
      <c r="D852" s="57">
        <v>1.0907999999999999E-4</v>
      </c>
      <c r="E852" s="47">
        <f>SUMIF(Data!$E:$E,$C852,Data!$AI:$AI)</f>
        <v>0</v>
      </c>
      <c r="G852" s="13" t="s">
        <v>5857</v>
      </c>
      <c r="H852" s="13" t="s">
        <v>5858</v>
      </c>
      <c r="I852" s="13" t="s">
        <v>5859</v>
      </c>
      <c r="J852" s="13" t="s">
        <v>5860</v>
      </c>
      <c r="K852" s="13" t="s">
        <v>137</v>
      </c>
      <c r="L852" s="13" t="s">
        <v>5639</v>
      </c>
      <c r="M852" s="13" t="s">
        <v>5861</v>
      </c>
      <c r="N852" s="13">
        <v>20.849</v>
      </c>
      <c r="O852" s="13" t="s">
        <v>5862</v>
      </c>
      <c r="P852" s="13" t="s">
        <v>5863</v>
      </c>
      <c r="Q852" s="13" t="s">
        <v>190</v>
      </c>
      <c r="R852" s="13" t="s">
        <v>5864</v>
      </c>
      <c r="S852" s="13" t="s">
        <v>192</v>
      </c>
      <c r="T852" s="13" t="s">
        <v>146</v>
      </c>
      <c r="U852" s="13" t="s">
        <v>110</v>
      </c>
      <c r="V852" s="47">
        <f>SUMIF(Data!$E:$E,$I852,Data!$AI:$AI)</f>
        <v>0</v>
      </c>
    </row>
    <row r="853" spans="1:22" ht="15.75" x14ac:dyDescent="0.3">
      <c r="A853" s="54" t="s">
        <v>5840</v>
      </c>
      <c r="B853" s="55" t="s">
        <v>120</v>
      </c>
      <c r="C853" s="56" t="s">
        <v>5421</v>
      </c>
      <c r="D853" s="57">
        <v>9.6617999999999997E-4</v>
      </c>
      <c r="E853" s="47">
        <f>SUMIF(Data!$E:$E,$C853,Data!$AI:$AI)</f>
        <v>0</v>
      </c>
      <c r="G853" s="13" t="s">
        <v>5865</v>
      </c>
      <c r="H853" s="13" t="s">
        <v>5866</v>
      </c>
      <c r="I853" s="13" t="s">
        <v>4728</v>
      </c>
      <c r="J853" s="13" t="s">
        <v>5867</v>
      </c>
      <c r="K853" s="13" t="s">
        <v>137</v>
      </c>
      <c r="L853" s="13" t="s">
        <v>5639</v>
      </c>
      <c r="M853" s="13" t="s">
        <v>5868</v>
      </c>
      <c r="N853" s="13">
        <v>434.46</v>
      </c>
      <c r="O853" s="13" t="s">
        <v>5869</v>
      </c>
      <c r="P853" s="13" t="s">
        <v>5870</v>
      </c>
      <c r="Q853" s="13" t="s">
        <v>260</v>
      </c>
      <c r="R853" s="13" t="s">
        <v>5871</v>
      </c>
      <c r="S853" s="13" t="s">
        <v>192</v>
      </c>
      <c r="T853" s="13" t="s">
        <v>146</v>
      </c>
      <c r="U853" s="13" t="s">
        <v>110</v>
      </c>
      <c r="V853" s="47">
        <f>SUMIF(Data!$E:$E,$I853,Data!$AI:$AI)</f>
        <v>0</v>
      </c>
    </row>
    <row r="854" spans="1:22" ht="15.75" x14ac:dyDescent="0.3">
      <c r="A854" s="54" t="s">
        <v>5840</v>
      </c>
      <c r="B854" s="55" t="s">
        <v>120</v>
      </c>
      <c r="C854" s="56" t="s">
        <v>5759</v>
      </c>
      <c r="D854" s="57">
        <v>7.8724000000000003E-4</v>
      </c>
      <c r="E854" s="47">
        <f>SUMIF(Data!$E:$E,$C854,Data!$AI:$AI)</f>
        <v>0</v>
      </c>
      <c r="G854" s="13" t="s">
        <v>5872</v>
      </c>
      <c r="H854" s="13" t="s">
        <v>5873</v>
      </c>
      <c r="I854" s="13" t="s">
        <v>5874</v>
      </c>
      <c r="J854" s="13" t="s">
        <v>5875</v>
      </c>
      <c r="K854" s="13" t="s">
        <v>137</v>
      </c>
      <c r="L854" s="13" t="s">
        <v>5639</v>
      </c>
      <c r="M854" s="13" t="s">
        <v>5876</v>
      </c>
      <c r="N854" s="13">
        <v>119.553</v>
      </c>
      <c r="O854" s="13" t="s">
        <v>5877</v>
      </c>
      <c r="P854" s="13" t="s">
        <v>5878</v>
      </c>
      <c r="Q854" s="13" t="s">
        <v>734</v>
      </c>
      <c r="R854" s="13" t="s">
        <v>5879</v>
      </c>
      <c r="S854" s="13" t="s">
        <v>768</v>
      </c>
      <c r="T854" s="13" t="s">
        <v>769</v>
      </c>
      <c r="U854" s="13" t="s">
        <v>770</v>
      </c>
      <c r="V854" s="47">
        <f>SUMIF(Data!$E:$E,$I854,Data!$AI:$AI)</f>
        <v>0</v>
      </c>
    </row>
    <row r="855" spans="1:22" ht="15.75" x14ac:dyDescent="0.3">
      <c r="A855" s="54" t="s">
        <v>5840</v>
      </c>
      <c r="B855" s="55" t="s">
        <v>120</v>
      </c>
      <c r="C855" s="56" t="s">
        <v>4461</v>
      </c>
      <c r="D855" s="57">
        <v>1.3167400000000001E-3</v>
      </c>
      <c r="E855" s="47">
        <f>SUMIF(Data!$E:$E,$C855,Data!$AI:$AI)</f>
        <v>0</v>
      </c>
      <c r="G855" s="13" t="s">
        <v>5880</v>
      </c>
      <c r="H855" s="13" t="s">
        <v>5881</v>
      </c>
      <c r="I855" s="13" t="s">
        <v>5882</v>
      </c>
      <c r="J855" s="13" t="s">
        <v>5883</v>
      </c>
      <c r="K855" s="13" t="s">
        <v>137</v>
      </c>
      <c r="L855" s="13" t="s">
        <v>5639</v>
      </c>
      <c r="M855" s="13" t="s">
        <v>5884</v>
      </c>
      <c r="N855" s="13">
        <v>149.94800000000001</v>
      </c>
      <c r="O855" s="13" t="s">
        <v>5885</v>
      </c>
      <c r="P855" s="13" t="s">
        <v>5886</v>
      </c>
      <c r="Q855" s="13" t="s">
        <v>190</v>
      </c>
      <c r="R855" s="13" t="s">
        <v>5887</v>
      </c>
      <c r="S855" s="13" t="s">
        <v>5888</v>
      </c>
      <c r="T855" s="13" t="s">
        <v>5889</v>
      </c>
      <c r="U855" s="13" t="s">
        <v>525</v>
      </c>
      <c r="V855" s="47">
        <f>SUMIF(Data!$E:$E,$I855,Data!$AI:$AI)</f>
        <v>0</v>
      </c>
    </row>
    <row r="856" spans="1:22" ht="15.75" x14ac:dyDescent="0.3">
      <c r="A856" s="54" t="s">
        <v>5840</v>
      </c>
      <c r="B856" s="55" t="s">
        <v>120</v>
      </c>
      <c r="C856" s="56" t="s">
        <v>5738</v>
      </c>
      <c r="D856" s="57">
        <v>5.5214999999999995E-4</v>
      </c>
      <c r="E856" s="47">
        <f>SUMIF(Data!$E:$E,$C856,Data!$AI:$AI)</f>
        <v>0</v>
      </c>
      <c r="G856" s="13" t="s">
        <v>5890</v>
      </c>
      <c r="H856" s="13" t="s">
        <v>5891</v>
      </c>
      <c r="I856" s="13">
        <v>4188</v>
      </c>
      <c r="J856" s="13" t="s">
        <v>5892</v>
      </c>
      <c r="K856" s="13" t="s">
        <v>137</v>
      </c>
      <c r="L856" s="13" t="s">
        <v>5639</v>
      </c>
      <c r="M856" s="13" t="s">
        <v>5893</v>
      </c>
      <c r="N856" s="13">
        <v>771.67</v>
      </c>
      <c r="O856" s="13" t="s">
        <v>5894</v>
      </c>
      <c r="P856" s="13" t="s">
        <v>5895</v>
      </c>
      <c r="Q856" s="13" t="s">
        <v>734</v>
      </c>
      <c r="R856" s="13" t="s">
        <v>5896</v>
      </c>
      <c r="S856" s="13" t="s">
        <v>441</v>
      </c>
      <c r="T856" s="13" t="s">
        <v>442</v>
      </c>
      <c r="U856" s="13" t="s">
        <v>443</v>
      </c>
      <c r="V856" s="47">
        <f>SUMIF(Data!$E:$E,$I856,Data!$AI:$AI)</f>
        <v>0</v>
      </c>
    </row>
    <row r="857" spans="1:22" ht="15.75" x14ac:dyDescent="0.3">
      <c r="A857" s="54" t="s">
        <v>5840</v>
      </c>
      <c r="B857" s="55" t="s">
        <v>120</v>
      </c>
      <c r="C857" s="56" t="s">
        <v>5428</v>
      </c>
      <c r="D857" s="57">
        <v>3.4330999999999999E-4</v>
      </c>
      <c r="E857" s="47">
        <f>SUMIF(Data!$E:$E,$C857,Data!$AI:$AI)</f>
        <v>0</v>
      </c>
      <c r="G857" s="13" t="s">
        <v>5897</v>
      </c>
      <c r="H857" s="13" t="s">
        <v>5898</v>
      </c>
      <c r="I857" s="13" t="s">
        <v>5899</v>
      </c>
      <c r="J857" s="13" t="s">
        <v>5900</v>
      </c>
      <c r="K857" s="13" t="s">
        <v>137</v>
      </c>
      <c r="L857" s="13" t="s">
        <v>5639</v>
      </c>
      <c r="M857" s="13" t="s">
        <v>5901</v>
      </c>
      <c r="N857" s="13">
        <v>238.42699999999999</v>
      </c>
      <c r="O857" s="13" t="s">
        <v>5902</v>
      </c>
      <c r="P857" s="13" t="s">
        <v>5903</v>
      </c>
      <c r="Q857" s="13" t="s">
        <v>416</v>
      </c>
      <c r="R857" s="13" t="s">
        <v>5904</v>
      </c>
      <c r="S857" s="13" t="s">
        <v>1127</v>
      </c>
      <c r="T857" s="13" t="s">
        <v>1128</v>
      </c>
      <c r="U857" s="13" t="s">
        <v>525</v>
      </c>
      <c r="V857" s="47">
        <f>SUMIF(Data!$E:$E,$I857,Data!$AI:$AI)</f>
        <v>0</v>
      </c>
    </row>
    <row r="858" spans="1:22" ht="15.75" x14ac:dyDescent="0.3">
      <c r="A858" s="54" t="s">
        <v>5840</v>
      </c>
      <c r="B858" s="55" t="s">
        <v>120</v>
      </c>
      <c r="C858" s="56" t="s">
        <v>4468</v>
      </c>
      <c r="D858" s="57">
        <v>4.1119999999999997E-4</v>
      </c>
      <c r="E858" s="47">
        <f>SUMIF(Data!$E:$E,$C858,Data!$AI:$AI)</f>
        <v>0</v>
      </c>
      <c r="G858" s="13" t="s">
        <v>5905</v>
      </c>
      <c r="H858" s="13" t="s">
        <v>5906</v>
      </c>
      <c r="I858" s="13" t="s">
        <v>5907</v>
      </c>
      <c r="J858" s="13" t="s">
        <v>5908</v>
      </c>
      <c r="K858" s="13" t="s">
        <v>137</v>
      </c>
      <c r="L858" s="13" t="s">
        <v>5639</v>
      </c>
      <c r="M858" s="13" t="s">
        <v>5909</v>
      </c>
      <c r="N858" s="13">
        <v>623.44399999999996</v>
      </c>
      <c r="O858" s="13" t="s">
        <v>5910</v>
      </c>
      <c r="P858" s="13" t="s">
        <v>5911</v>
      </c>
      <c r="Q858" s="13" t="s">
        <v>190</v>
      </c>
      <c r="R858" s="13" t="s">
        <v>5912</v>
      </c>
      <c r="S858" s="13" t="s">
        <v>847</v>
      </c>
      <c r="T858" s="13" t="s">
        <v>848</v>
      </c>
      <c r="U858" s="13" t="s">
        <v>849</v>
      </c>
      <c r="V858" s="47">
        <f>SUMIF(Data!$E:$E,$I858,Data!$AI:$AI)</f>
        <v>0</v>
      </c>
    </row>
    <row r="859" spans="1:22" ht="15.75" x14ac:dyDescent="0.3">
      <c r="A859" s="54" t="s">
        <v>5840</v>
      </c>
      <c r="B859" s="55" t="s">
        <v>120</v>
      </c>
      <c r="C859" s="56" t="s">
        <v>4575</v>
      </c>
      <c r="D859" s="57">
        <v>5.0915960000000003E-2</v>
      </c>
      <c r="E859" s="47">
        <f>SUMIF(Data!$E:$E,$C859,Data!$AI:$AI)</f>
        <v>0</v>
      </c>
      <c r="G859" s="13" t="s">
        <v>5913</v>
      </c>
      <c r="H859" s="13" t="s">
        <v>5914</v>
      </c>
      <c r="I859" s="13" t="s">
        <v>5915</v>
      </c>
      <c r="J859" s="13" t="s">
        <v>5916</v>
      </c>
      <c r="K859" s="13" t="s">
        <v>137</v>
      </c>
      <c r="L859" s="13" t="s">
        <v>5639</v>
      </c>
      <c r="M859" s="13" t="s">
        <v>5917</v>
      </c>
      <c r="N859" s="13">
        <v>258.97699999999998</v>
      </c>
      <c r="O859" s="13" t="s">
        <v>5918</v>
      </c>
      <c r="P859" s="13" t="s">
        <v>5919</v>
      </c>
      <c r="Q859" s="13" t="s">
        <v>734</v>
      </c>
      <c r="R859" s="13" t="s">
        <v>5920</v>
      </c>
      <c r="S859" s="13" t="s">
        <v>476</v>
      </c>
      <c r="T859" s="13" t="s">
        <v>477</v>
      </c>
      <c r="U859" s="13" t="s">
        <v>478</v>
      </c>
      <c r="V859" s="47">
        <f>SUMIF(Data!$E:$E,$I859,Data!$AI:$AI)</f>
        <v>0</v>
      </c>
    </row>
    <row r="860" spans="1:22" ht="15.75" x14ac:dyDescent="0.3">
      <c r="A860" s="54" t="s">
        <v>5840</v>
      </c>
      <c r="B860" s="55" t="s">
        <v>120</v>
      </c>
      <c r="C860" s="56" t="s">
        <v>5820</v>
      </c>
      <c r="D860" s="57">
        <v>2.7387000000000001E-4</v>
      </c>
      <c r="E860" s="47">
        <f>SUMIF(Data!$E:$E,$C860,Data!$AI:$AI)</f>
        <v>0</v>
      </c>
      <c r="G860" s="13" t="s">
        <v>5921</v>
      </c>
      <c r="H860" s="13" t="s">
        <v>5922</v>
      </c>
      <c r="I860" s="13" t="s">
        <v>5923</v>
      </c>
      <c r="J860" s="13" t="s">
        <v>5924</v>
      </c>
      <c r="K860" s="13" t="s">
        <v>137</v>
      </c>
      <c r="L860" s="13" t="s">
        <v>5639</v>
      </c>
      <c r="M860" s="13" t="s">
        <v>5925</v>
      </c>
      <c r="N860" s="13">
        <v>97.168999999999997</v>
      </c>
      <c r="O860" s="13" t="s">
        <v>5926</v>
      </c>
      <c r="P860" s="13" t="s">
        <v>5927</v>
      </c>
      <c r="Q860" s="13" t="s">
        <v>190</v>
      </c>
      <c r="R860" s="13" t="s">
        <v>5928</v>
      </c>
      <c r="S860" s="13" t="s">
        <v>1274</v>
      </c>
      <c r="T860" s="13" t="s">
        <v>1275</v>
      </c>
      <c r="U860" s="13" t="s">
        <v>525</v>
      </c>
      <c r="V860" s="47">
        <f>SUMIF(Data!$E:$E,$I860,Data!$AI:$AI)</f>
        <v>0</v>
      </c>
    </row>
    <row r="861" spans="1:22" ht="15.75" x14ac:dyDescent="0.3">
      <c r="A861" s="54" t="s">
        <v>5840</v>
      </c>
      <c r="B861" s="55" t="s">
        <v>120</v>
      </c>
      <c r="C861" s="56" t="s">
        <v>5636</v>
      </c>
      <c r="D861" s="57">
        <v>6.0515999999999999E-4</v>
      </c>
      <c r="E861" s="47">
        <f>SUMIF(Data!$E:$E,$C861,Data!$AI:$AI)</f>
        <v>0</v>
      </c>
      <c r="G861" s="13" t="s">
        <v>5929</v>
      </c>
      <c r="H861" s="13" t="s">
        <v>5930</v>
      </c>
      <c r="I861" s="13" t="s">
        <v>4058</v>
      </c>
      <c r="J861" s="13" t="s">
        <v>5931</v>
      </c>
      <c r="K861" s="13" t="s">
        <v>137</v>
      </c>
      <c r="L861" s="13" t="s">
        <v>5639</v>
      </c>
      <c r="M861" s="13" t="s">
        <v>5932</v>
      </c>
      <c r="N861" s="13">
        <v>122.72499999999999</v>
      </c>
      <c r="O861" s="13" t="s">
        <v>5933</v>
      </c>
      <c r="P861" s="13" t="s">
        <v>5934</v>
      </c>
      <c r="Q861" s="13" t="s">
        <v>162</v>
      </c>
      <c r="R861" s="13" t="s">
        <v>5935</v>
      </c>
      <c r="S861" s="13" t="s">
        <v>476</v>
      </c>
      <c r="T861" s="13" t="s">
        <v>477</v>
      </c>
      <c r="U861" s="13" t="s">
        <v>478</v>
      </c>
      <c r="V861" s="47">
        <f>SUMIF(Data!$E:$E,$I861,Data!$AI:$AI)</f>
        <v>0</v>
      </c>
    </row>
    <row r="862" spans="1:22" ht="15.75" x14ac:dyDescent="0.3">
      <c r="A862" s="54" t="s">
        <v>5840</v>
      </c>
      <c r="B862" s="55" t="s">
        <v>120</v>
      </c>
      <c r="C862" s="56" t="s">
        <v>2014</v>
      </c>
      <c r="D862" s="57">
        <v>6.4229300000000003E-3</v>
      </c>
      <c r="E862" s="47">
        <f>SUMIF(Data!$E:$E,$C862,Data!$AI:$AI)</f>
        <v>0</v>
      </c>
      <c r="G862" s="13" t="s">
        <v>5936</v>
      </c>
      <c r="H862" s="13" t="s">
        <v>5937</v>
      </c>
      <c r="I862" s="13" t="s">
        <v>5938</v>
      </c>
      <c r="J862" s="13" t="s">
        <v>5939</v>
      </c>
      <c r="K862" s="13" t="s">
        <v>137</v>
      </c>
      <c r="L862" s="13" t="s">
        <v>5639</v>
      </c>
      <c r="M862" s="13" t="s">
        <v>5940</v>
      </c>
      <c r="N862" s="13">
        <v>49.908000000000001</v>
      </c>
      <c r="O862" s="13" t="s">
        <v>5941</v>
      </c>
      <c r="P862" s="13" t="s">
        <v>5942</v>
      </c>
      <c r="Q862" s="13" t="s">
        <v>734</v>
      </c>
      <c r="R862" s="13" t="s">
        <v>5943</v>
      </c>
      <c r="S862" s="13" t="s">
        <v>1274</v>
      </c>
      <c r="T862" s="13" t="s">
        <v>1275</v>
      </c>
      <c r="U862" s="13" t="s">
        <v>525</v>
      </c>
      <c r="V862" s="47">
        <f>SUMIF(Data!$E:$E,$I862,Data!$AI:$AI)</f>
        <v>0</v>
      </c>
    </row>
    <row r="863" spans="1:22" ht="15.75" x14ac:dyDescent="0.3">
      <c r="A863" s="54" t="s">
        <v>5840</v>
      </c>
      <c r="B863" s="55" t="s">
        <v>120</v>
      </c>
      <c r="C863" s="56" t="s">
        <v>4489</v>
      </c>
      <c r="D863" s="57">
        <v>1.3596569999999999E-2</v>
      </c>
      <c r="E863" s="47">
        <f>SUMIF(Data!$E:$E,$C863,Data!$AI:$AI)</f>
        <v>0</v>
      </c>
      <c r="G863" s="13" t="s">
        <v>5944</v>
      </c>
      <c r="H863" s="13" t="s">
        <v>5945</v>
      </c>
      <c r="I863" s="13" t="s">
        <v>5946</v>
      </c>
      <c r="J863" s="13" t="s">
        <v>5947</v>
      </c>
      <c r="K863" s="13" t="s">
        <v>137</v>
      </c>
      <c r="L863" s="13" t="s">
        <v>5639</v>
      </c>
      <c r="M863" s="13" t="s">
        <v>5948</v>
      </c>
      <c r="N863" s="13">
        <v>278.32499999999999</v>
      </c>
      <c r="O863" s="13" t="s">
        <v>5949</v>
      </c>
      <c r="P863" s="13" t="s">
        <v>5950</v>
      </c>
      <c r="Q863" s="13" t="s">
        <v>172</v>
      </c>
      <c r="R863" s="13" t="s">
        <v>5951</v>
      </c>
      <c r="S863" s="13" t="s">
        <v>725</v>
      </c>
      <c r="T863" s="13" t="s">
        <v>726</v>
      </c>
      <c r="U863" s="13" t="s">
        <v>727</v>
      </c>
      <c r="V863" s="47">
        <f>SUMIF(Data!$E:$E,$I863,Data!$AI:$AI)</f>
        <v>0</v>
      </c>
    </row>
    <row r="864" spans="1:22" ht="15.75" x14ac:dyDescent="0.3">
      <c r="A864" s="54" t="s">
        <v>5840</v>
      </c>
      <c r="B864" s="55" t="s">
        <v>120</v>
      </c>
      <c r="C864" s="56" t="s">
        <v>5952</v>
      </c>
      <c r="D864" s="57">
        <v>3.9013699999999999E-3</v>
      </c>
      <c r="E864" s="47">
        <f>SUMIF(Data!$E:$E,$C864,Data!$AI:$AI)</f>
        <v>0</v>
      </c>
      <c r="G864" s="13" t="s">
        <v>5953</v>
      </c>
      <c r="H864" s="13" t="s">
        <v>5954</v>
      </c>
      <c r="I864" s="13" t="s">
        <v>5955</v>
      </c>
      <c r="J864" s="13" t="s">
        <v>5956</v>
      </c>
      <c r="K864" s="13" t="s">
        <v>137</v>
      </c>
      <c r="L864" s="13" t="s">
        <v>5639</v>
      </c>
      <c r="M864" s="13" t="s">
        <v>5957</v>
      </c>
      <c r="N864" s="13">
        <v>59.338000000000001</v>
      </c>
      <c r="O864" s="13" t="s">
        <v>5958</v>
      </c>
      <c r="P864" s="13" t="s">
        <v>5959</v>
      </c>
      <c r="Q864" s="13" t="s">
        <v>224</v>
      </c>
      <c r="R864" s="13" t="s">
        <v>5960</v>
      </c>
      <c r="S864" s="13" t="s">
        <v>523</v>
      </c>
      <c r="T864" s="13" t="s">
        <v>524</v>
      </c>
      <c r="U864" s="13" t="s">
        <v>525</v>
      </c>
      <c r="V864" s="47">
        <f>SUMIF(Data!$E:$E,$I864,Data!$AI:$AI)</f>
        <v>0</v>
      </c>
    </row>
    <row r="865" spans="1:22" ht="15.75" x14ac:dyDescent="0.3">
      <c r="A865" s="54" t="s">
        <v>5840</v>
      </c>
      <c r="B865" s="55" t="s">
        <v>120</v>
      </c>
      <c r="C865" s="56" t="s">
        <v>5729</v>
      </c>
      <c r="D865" s="57">
        <v>2.7725999999999998E-4</v>
      </c>
      <c r="E865" s="47">
        <f>SUMIF(Data!$E:$E,$C865,Data!$AI:$AI)</f>
        <v>0</v>
      </c>
      <c r="G865" s="13" t="s">
        <v>5961</v>
      </c>
      <c r="H865" s="13" t="s">
        <v>5962</v>
      </c>
      <c r="I865" s="13" t="s">
        <v>5963</v>
      </c>
      <c r="J865" s="13" t="s">
        <v>5964</v>
      </c>
      <c r="K865" s="13" t="s">
        <v>137</v>
      </c>
      <c r="L865" s="13" t="s">
        <v>5639</v>
      </c>
      <c r="M865" s="13" t="s">
        <v>5965</v>
      </c>
      <c r="N865" s="13">
        <v>229.446</v>
      </c>
      <c r="O865" s="13" t="s">
        <v>5966</v>
      </c>
      <c r="P865" s="13" t="s">
        <v>5967</v>
      </c>
      <c r="Q865" s="13" t="s">
        <v>143</v>
      </c>
      <c r="R865" s="13" t="s">
        <v>5968</v>
      </c>
      <c r="S865" s="13" t="s">
        <v>145</v>
      </c>
      <c r="T865" s="13" t="s">
        <v>146</v>
      </c>
      <c r="U865" s="13" t="s">
        <v>110</v>
      </c>
      <c r="V865" s="47">
        <f>SUMIF(Data!$E:$E,$I865,Data!$AI:$AI)</f>
        <v>0</v>
      </c>
    </row>
    <row r="866" spans="1:22" ht="15.75" x14ac:dyDescent="0.3">
      <c r="A866" s="54" t="s">
        <v>5840</v>
      </c>
      <c r="B866" s="55" t="s">
        <v>120</v>
      </c>
      <c r="C866" s="56" t="s">
        <v>4765</v>
      </c>
      <c r="D866" s="57">
        <v>5.0558199999999999E-3</v>
      </c>
      <c r="E866" s="47">
        <f>SUMIF(Data!$E:$E,$C866,Data!$AI:$AI)</f>
        <v>0</v>
      </c>
      <c r="G866" s="13" t="s">
        <v>5969</v>
      </c>
      <c r="H866" s="13" t="s">
        <v>5970</v>
      </c>
      <c r="I866" s="13" t="s">
        <v>5971</v>
      </c>
      <c r="J866" s="13" t="s">
        <v>5972</v>
      </c>
      <c r="K866" s="13" t="s">
        <v>137</v>
      </c>
      <c r="L866" s="13" t="s">
        <v>5639</v>
      </c>
      <c r="M866" s="13" t="s">
        <v>5973</v>
      </c>
      <c r="N866" s="13">
        <v>79.584999999999994</v>
      </c>
      <c r="O866" s="13" t="s">
        <v>5974</v>
      </c>
      <c r="P866" s="13" t="s">
        <v>5975</v>
      </c>
      <c r="Q866" s="13" t="s">
        <v>143</v>
      </c>
      <c r="R866" s="13" t="s">
        <v>5976</v>
      </c>
      <c r="S866" s="13" t="s">
        <v>192</v>
      </c>
      <c r="T866" s="13" t="s">
        <v>146</v>
      </c>
      <c r="U866" s="13" t="s">
        <v>110</v>
      </c>
      <c r="V866" s="47">
        <f>SUMIF(Data!$E:$E,$I866,Data!$AI:$AI)</f>
        <v>0</v>
      </c>
    </row>
    <row r="867" spans="1:22" ht="15.75" x14ac:dyDescent="0.3">
      <c r="A867" s="54" t="s">
        <v>5840</v>
      </c>
      <c r="B867" s="55" t="s">
        <v>120</v>
      </c>
      <c r="C867" s="56" t="s">
        <v>4582</v>
      </c>
      <c r="D867" s="57">
        <v>2.4462800000000003E-3</v>
      </c>
      <c r="E867" s="47">
        <f>SUMIF(Data!$E:$E,$C867,Data!$AI:$AI)</f>
        <v>0</v>
      </c>
      <c r="G867" s="13" t="s">
        <v>5977</v>
      </c>
      <c r="H867" s="13" t="s">
        <v>5978</v>
      </c>
      <c r="I867" s="13">
        <v>1605</v>
      </c>
      <c r="J867" s="13" t="s">
        <v>5979</v>
      </c>
      <c r="K867" s="13" t="s">
        <v>137</v>
      </c>
      <c r="L867" s="13" t="s">
        <v>5639</v>
      </c>
      <c r="M867" s="13" t="s">
        <v>5980</v>
      </c>
      <c r="N867" s="13">
        <v>526.85699999999997</v>
      </c>
      <c r="O867" s="13" t="s">
        <v>5981</v>
      </c>
      <c r="P867" s="13" t="s">
        <v>5982</v>
      </c>
      <c r="Q867" s="13" t="s">
        <v>260</v>
      </c>
      <c r="R867" s="13" t="s">
        <v>5983</v>
      </c>
      <c r="S867" s="13" t="s">
        <v>441</v>
      </c>
      <c r="T867" s="13" t="s">
        <v>442</v>
      </c>
      <c r="U867" s="13" t="s">
        <v>443</v>
      </c>
      <c r="V867" s="47">
        <f>SUMIF(Data!$E:$E,$I867,Data!$AI:$AI)</f>
        <v>0</v>
      </c>
    </row>
    <row r="868" spans="1:22" ht="15.75" x14ac:dyDescent="0.3">
      <c r="A868" s="54" t="s">
        <v>5840</v>
      </c>
      <c r="B868" s="55" t="s">
        <v>120</v>
      </c>
      <c r="C868" s="56" t="s">
        <v>5441</v>
      </c>
      <c r="D868" s="57">
        <v>8.4904999999999996E-4</v>
      </c>
      <c r="E868" s="47">
        <f>SUMIF(Data!$E:$E,$C868,Data!$AI:$AI)</f>
        <v>0</v>
      </c>
      <c r="G868" s="13" t="s">
        <v>5984</v>
      </c>
      <c r="H868" s="13" t="s">
        <v>5985</v>
      </c>
      <c r="I868" s="13" t="s">
        <v>5986</v>
      </c>
      <c r="J868" s="13" t="s">
        <v>5987</v>
      </c>
      <c r="K868" s="13" t="s">
        <v>137</v>
      </c>
      <c r="L868" s="13" t="s">
        <v>5639</v>
      </c>
      <c r="M868" s="13" t="s">
        <v>5988</v>
      </c>
      <c r="N868" s="13">
        <v>47.058999999999997</v>
      </c>
      <c r="O868" s="13" t="s">
        <v>5989</v>
      </c>
      <c r="P868" s="13" t="s">
        <v>5990</v>
      </c>
      <c r="Q868" s="13" t="s">
        <v>208</v>
      </c>
      <c r="R868" s="13" t="s">
        <v>5991</v>
      </c>
      <c r="S868" s="13" t="s">
        <v>145</v>
      </c>
      <c r="T868" s="13" t="s">
        <v>146</v>
      </c>
      <c r="U868" s="13" t="s">
        <v>110</v>
      </c>
      <c r="V868" s="47">
        <f>SUMIF(Data!$E:$E,$I868,Data!$AI:$AI)</f>
        <v>0</v>
      </c>
    </row>
    <row r="869" spans="1:22" ht="15.75" x14ac:dyDescent="0.3">
      <c r="A869" s="54" t="s">
        <v>5840</v>
      </c>
      <c r="B869" s="55" t="s">
        <v>120</v>
      </c>
      <c r="C869" s="56" t="s">
        <v>5722</v>
      </c>
      <c r="D869" s="57">
        <v>1.6875999999999998E-4</v>
      </c>
      <c r="E869" s="47">
        <f>SUMIF(Data!$E:$E,$C869,Data!$AI:$AI)</f>
        <v>0</v>
      </c>
      <c r="G869" s="13" t="s">
        <v>5992</v>
      </c>
      <c r="H869" s="13" t="s">
        <v>5993</v>
      </c>
      <c r="I869" s="13" t="s">
        <v>112</v>
      </c>
      <c r="J869" s="13" t="s">
        <v>5994</v>
      </c>
      <c r="K869" s="13" t="s">
        <v>137</v>
      </c>
      <c r="L869" s="13" t="s">
        <v>5639</v>
      </c>
      <c r="M869" s="13" t="s">
        <v>5995</v>
      </c>
      <c r="N869" s="13">
        <v>611.07000000000005</v>
      </c>
      <c r="O869" s="13" t="s">
        <v>5996</v>
      </c>
      <c r="P869" s="13" t="s">
        <v>5997</v>
      </c>
      <c r="Q869" s="13" t="s">
        <v>190</v>
      </c>
      <c r="R869" s="13" t="s">
        <v>5998</v>
      </c>
      <c r="S869" s="13" t="s">
        <v>847</v>
      </c>
      <c r="T869" s="13" t="s">
        <v>848</v>
      </c>
      <c r="U869" s="13" t="s">
        <v>849</v>
      </c>
      <c r="V869" s="47">
        <f>SUMIF(Data!$E:$E,$I869,Data!$AI:$AI)</f>
        <v>0</v>
      </c>
    </row>
    <row r="870" spans="1:22" ht="15.75" x14ac:dyDescent="0.3">
      <c r="A870" s="54" t="s">
        <v>5840</v>
      </c>
      <c r="B870" s="55" t="s">
        <v>120</v>
      </c>
      <c r="C870" s="56" t="s">
        <v>4595</v>
      </c>
      <c r="D870" s="57">
        <v>1.61762E-3</v>
      </c>
      <c r="E870" s="47">
        <f>SUMIF(Data!$E:$E,$C870,Data!$AI:$AI)</f>
        <v>0</v>
      </c>
      <c r="G870" s="13" t="s">
        <v>5999</v>
      </c>
      <c r="H870" s="13" t="s">
        <v>6000</v>
      </c>
      <c r="I870" s="13" t="s">
        <v>6001</v>
      </c>
      <c r="J870" s="13" t="s">
        <v>6002</v>
      </c>
      <c r="K870" s="13" t="s">
        <v>137</v>
      </c>
      <c r="L870" s="13" t="s">
        <v>5639</v>
      </c>
      <c r="M870" s="13" t="s">
        <v>6003</v>
      </c>
      <c r="N870" s="13">
        <v>120.06699999999999</v>
      </c>
      <c r="O870" s="13" t="s">
        <v>6004</v>
      </c>
      <c r="P870" s="13" t="s">
        <v>6005</v>
      </c>
      <c r="Q870" s="13" t="s">
        <v>172</v>
      </c>
      <c r="R870" s="13" t="s">
        <v>6006</v>
      </c>
      <c r="S870" s="13" t="s">
        <v>560</v>
      </c>
      <c r="T870" s="13" t="s">
        <v>561</v>
      </c>
      <c r="U870" s="13" t="s">
        <v>525</v>
      </c>
      <c r="V870" s="47">
        <f>SUMIF(Data!$E:$E,$I870,Data!$AI:$AI)</f>
        <v>0</v>
      </c>
    </row>
    <row r="871" spans="1:22" ht="15.75" x14ac:dyDescent="0.3">
      <c r="A871" s="54" t="s">
        <v>5840</v>
      </c>
      <c r="B871" s="55" t="s">
        <v>120</v>
      </c>
      <c r="C871" s="56" t="s">
        <v>5345</v>
      </c>
      <c r="D871" s="57">
        <v>1.24116E-3</v>
      </c>
      <c r="E871" s="47">
        <f>SUMIF(Data!$E:$E,$C871,Data!$AI:$AI)</f>
        <v>0</v>
      </c>
      <c r="G871" s="13" t="s">
        <v>6007</v>
      </c>
      <c r="H871" s="13" t="s">
        <v>6008</v>
      </c>
      <c r="I871" s="13" t="s">
        <v>6009</v>
      </c>
      <c r="J871" s="13" t="s">
        <v>6010</v>
      </c>
      <c r="K871" s="13" t="s">
        <v>137</v>
      </c>
      <c r="L871" s="13" t="s">
        <v>5639</v>
      </c>
      <c r="M871" s="13" t="s">
        <v>6011</v>
      </c>
      <c r="N871" s="13">
        <v>120.568</v>
      </c>
      <c r="O871" s="13" t="s">
        <v>6012</v>
      </c>
      <c r="P871" s="13" t="s">
        <v>6013</v>
      </c>
      <c r="Q871" s="13" t="s">
        <v>172</v>
      </c>
      <c r="R871" s="13" t="s">
        <v>6014</v>
      </c>
      <c r="S871" s="13" t="s">
        <v>725</v>
      </c>
      <c r="T871" s="13" t="s">
        <v>726</v>
      </c>
      <c r="U871" s="13" t="s">
        <v>727</v>
      </c>
      <c r="V871" s="47">
        <f>SUMIF(Data!$E:$E,$I871,Data!$AI:$AI)</f>
        <v>0</v>
      </c>
    </row>
    <row r="872" spans="1:22" ht="15.75" x14ac:dyDescent="0.3">
      <c r="A872" s="54" t="s">
        <v>5840</v>
      </c>
      <c r="B872" s="55" t="s">
        <v>120</v>
      </c>
      <c r="C872" s="56" t="s">
        <v>5048</v>
      </c>
      <c r="D872" s="57">
        <v>4.0250399999999997E-3</v>
      </c>
      <c r="E872" s="47">
        <f>SUMIF(Data!$E:$E,$C872,Data!$AI:$AI)</f>
        <v>0</v>
      </c>
      <c r="G872" s="13" t="s">
        <v>6015</v>
      </c>
      <c r="H872" s="13" t="s">
        <v>6016</v>
      </c>
      <c r="I872" s="13">
        <v>6645</v>
      </c>
      <c r="J872" s="13" t="s">
        <v>6017</v>
      </c>
      <c r="K872" s="13" t="s">
        <v>137</v>
      </c>
      <c r="L872" s="13" t="s">
        <v>5639</v>
      </c>
      <c r="M872" s="13" t="s">
        <v>6018</v>
      </c>
      <c r="N872" s="13">
        <v>94.3</v>
      </c>
      <c r="O872" s="13" t="s">
        <v>6019</v>
      </c>
      <c r="P872" s="13" t="s">
        <v>6020</v>
      </c>
      <c r="Q872" s="13" t="s">
        <v>143</v>
      </c>
      <c r="R872" s="13" t="s">
        <v>6021</v>
      </c>
      <c r="S872" s="13" t="s">
        <v>441</v>
      </c>
      <c r="T872" s="13" t="s">
        <v>442</v>
      </c>
      <c r="U872" s="13" t="s">
        <v>443</v>
      </c>
      <c r="V872" s="47">
        <f>SUMIF(Data!$E:$E,$I872,Data!$AI:$AI)</f>
        <v>0</v>
      </c>
    </row>
    <row r="873" spans="1:22" ht="15.75" x14ac:dyDescent="0.3">
      <c r="A873" s="54" t="s">
        <v>5840</v>
      </c>
      <c r="B873" s="55" t="s">
        <v>120</v>
      </c>
      <c r="C873" s="56" t="s">
        <v>5689</v>
      </c>
      <c r="D873" s="57">
        <v>4.7371000000000002E-4</v>
      </c>
      <c r="E873" s="47">
        <f>SUMIF(Data!$E:$E,$C873,Data!$AI:$AI)</f>
        <v>0</v>
      </c>
      <c r="G873" s="13" t="s">
        <v>6022</v>
      </c>
      <c r="H873" s="13" t="s">
        <v>6023</v>
      </c>
      <c r="I873" s="13" t="s">
        <v>6024</v>
      </c>
      <c r="J873" s="13" t="s">
        <v>6025</v>
      </c>
      <c r="K873" s="13" t="s">
        <v>137</v>
      </c>
      <c r="L873" s="13" t="s">
        <v>5639</v>
      </c>
      <c r="M873" s="13" t="s">
        <v>6026</v>
      </c>
      <c r="N873" s="13">
        <v>78.426000000000002</v>
      </c>
      <c r="O873" s="13" t="s">
        <v>6027</v>
      </c>
      <c r="P873" s="13" t="s">
        <v>6028</v>
      </c>
      <c r="Q873" s="13" t="s">
        <v>734</v>
      </c>
      <c r="R873" s="13" t="s">
        <v>6029</v>
      </c>
      <c r="S873" s="13" t="s">
        <v>523</v>
      </c>
      <c r="T873" s="13" t="s">
        <v>524</v>
      </c>
      <c r="U873" s="13" t="s">
        <v>525</v>
      </c>
      <c r="V873" s="47">
        <f>SUMIF(Data!$E:$E,$I873,Data!$AI:$AI)</f>
        <v>0</v>
      </c>
    </row>
    <row r="874" spans="1:22" ht="15.75" x14ac:dyDescent="0.3">
      <c r="A874" s="54" t="s">
        <v>5840</v>
      </c>
      <c r="B874" s="55" t="s">
        <v>120</v>
      </c>
      <c r="C874" s="56" t="s">
        <v>5055</v>
      </c>
      <c r="D874" s="57">
        <v>8.2799999999999996E-4</v>
      </c>
      <c r="E874" s="47">
        <f>SUMIF(Data!$E:$E,$C874,Data!$AI:$AI)</f>
        <v>0</v>
      </c>
      <c r="G874" s="13" t="s">
        <v>6030</v>
      </c>
      <c r="H874" s="13" t="s">
        <v>6031</v>
      </c>
      <c r="I874" s="13">
        <v>8951</v>
      </c>
      <c r="J874" s="13" t="s">
        <v>6032</v>
      </c>
      <c r="K874" s="13" t="s">
        <v>137</v>
      </c>
      <c r="L874" s="13" t="s">
        <v>5639</v>
      </c>
      <c r="M874" s="13" t="s">
        <v>6033</v>
      </c>
      <c r="N874" s="13">
        <v>760</v>
      </c>
      <c r="O874" s="13" t="s">
        <v>6034</v>
      </c>
      <c r="P874" s="13" t="s">
        <v>6035</v>
      </c>
      <c r="Q874" s="13" t="s">
        <v>806</v>
      </c>
      <c r="R874" s="13" t="s">
        <v>6036</v>
      </c>
      <c r="S874" s="13" t="s">
        <v>441</v>
      </c>
      <c r="T874" s="13" t="s">
        <v>442</v>
      </c>
      <c r="U874" s="13" t="s">
        <v>443</v>
      </c>
      <c r="V874" s="47">
        <f>SUMIF(Data!$E:$E,$I874,Data!$AI:$AI)</f>
        <v>0</v>
      </c>
    </row>
    <row r="875" spans="1:22" ht="15.75" x14ac:dyDescent="0.3">
      <c r="A875" s="54" t="s">
        <v>5840</v>
      </c>
      <c r="B875" s="55" t="s">
        <v>120</v>
      </c>
      <c r="C875" s="56" t="s">
        <v>5062</v>
      </c>
      <c r="D875" s="57">
        <v>3.6534800000000002E-3</v>
      </c>
      <c r="E875" s="47">
        <f>SUMIF(Data!$E:$E,$C875,Data!$AI:$AI)</f>
        <v>0</v>
      </c>
      <c r="G875" s="13" t="s">
        <v>6037</v>
      </c>
      <c r="H875" s="13" t="s">
        <v>6038</v>
      </c>
      <c r="I875" s="13" t="s">
        <v>6039</v>
      </c>
      <c r="J875" s="13" t="s">
        <v>6040</v>
      </c>
      <c r="K875" s="13" t="s">
        <v>137</v>
      </c>
      <c r="L875" s="13" t="s">
        <v>5639</v>
      </c>
      <c r="M875" s="13" t="s">
        <v>6041</v>
      </c>
      <c r="N875" s="13" t="s">
        <v>6042</v>
      </c>
      <c r="O875" s="13" t="s">
        <v>6043</v>
      </c>
      <c r="P875" s="13" t="s">
        <v>6044</v>
      </c>
      <c r="Q875" s="13" t="s">
        <v>172</v>
      </c>
      <c r="R875" s="13" t="s">
        <v>6045</v>
      </c>
      <c r="S875" s="13" t="s">
        <v>847</v>
      </c>
      <c r="T875" s="13" t="s">
        <v>848</v>
      </c>
      <c r="U875" s="13" t="s">
        <v>849</v>
      </c>
      <c r="V875" s="47">
        <f>SUMIF(Data!$E:$E,$I875,Data!$AI:$AI)</f>
        <v>0</v>
      </c>
    </row>
    <row r="876" spans="1:22" ht="15.75" x14ac:dyDescent="0.3">
      <c r="A876" s="54" t="s">
        <v>5840</v>
      </c>
      <c r="B876" s="55" t="s">
        <v>120</v>
      </c>
      <c r="C876" s="56" t="s">
        <v>981</v>
      </c>
      <c r="D876" s="57">
        <v>9.7524619999999992E-2</v>
      </c>
      <c r="E876" s="47">
        <f>SUMIF(Data!$E:$E,$C876,Data!$AI:$AI)</f>
        <v>0</v>
      </c>
      <c r="G876" s="13" t="s">
        <v>6046</v>
      </c>
      <c r="H876" s="13" t="s">
        <v>6047</v>
      </c>
      <c r="I876" s="13" t="s">
        <v>6048</v>
      </c>
      <c r="J876" s="13" t="s">
        <v>6049</v>
      </c>
      <c r="K876" s="13" t="s">
        <v>137</v>
      </c>
      <c r="L876" s="13" t="s">
        <v>5639</v>
      </c>
      <c r="M876" s="13" t="s">
        <v>6050</v>
      </c>
      <c r="N876" s="13">
        <v>99.573999999999998</v>
      </c>
      <c r="O876" s="13" t="s">
        <v>6051</v>
      </c>
      <c r="P876" s="13" t="s">
        <v>6052</v>
      </c>
      <c r="Q876" s="13" t="s">
        <v>224</v>
      </c>
      <c r="R876" s="13" t="s">
        <v>6053</v>
      </c>
      <c r="S876" s="13" t="s">
        <v>2928</v>
      </c>
      <c r="T876" s="13" t="s">
        <v>2929</v>
      </c>
      <c r="U876" s="13" t="s">
        <v>2930</v>
      </c>
      <c r="V876" s="47">
        <f>SUMIF(Data!$E:$E,$I876,Data!$AI:$AI)</f>
        <v>0</v>
      </c>
    </row>
    <row r="877" spans="1:22" ht="15.75" x14ac:dyDescent="0.3">
      <c r="A877" s="54" t="s">
        <v>5840</v>
      </c>
      <c r="B877" s="55" t="s">
        <v>120</v>
      </c>
      <c r="C877" s="56" t="s">
        <v>4995</v>
      </c>
      <c r="D877" s="57">
        <v>1.327826E-2</v>
      </c>
      <c r="E877" s="47">
        <f>SUMIF(Data!$E:$E,$C877,Data!$AI:$AI)</f>
        <v>0</v>
      </c>
      <c r="G877" s="13" t="s">
        <v>6054</v>
      </c>
      <c r="H877" s="13" t="s">
        <v>6055</v>
      </c>
      <c r="I877" s="13" t="s">
        <v>6056</v>
      </c>
      <c r="J877" s="13" t="s">
        <v>6057</v>
      </c>
      <c r="K877" s="13" t="s">
        <v>137</v>
      </c>
      <c r="L877" s="13" t="s">
        <v>5639</v>
      </c>
      <c r="M877" s="13" t="s">
        <v>6058</v>
      </c>
      <c r="N877" s="13">
        <v>30.27</v>
      </c>
      <c r="O877" s="13" t="s">
        <v>6059</v>
      </c>
      <c r="P877" s="13" t="s">
        <v>6060</v>
      </c>
      <c r="Q877" s="13" t="s">
        <v>208</v>
      </c>
      <c r="R877" s="13" t="s">
        <v>6061</v>
      </c>
      <c r="S877" s="13" t="s">
        <v>145</v>
      </c>
      <c r="T877" s="13" t="s">
        <v>146</v>
      </c>
      <c r="U877" s="13" t="s">
        <v>110</v>
      </c>
      <c r="V877" s="47">
        <f>SUMIF(Data!$E:$E,$I877,Data!$AI:$AI)</f>
        <v>0</v>
      </c>
    </row>
    <row r="878" spans="1:22" ht="15.75" x14ac:dyDescent="0.3">
      <c r="A878" s="54" t="s">
        <v>5840</v>
      </c>
      <c r="B878" s="55" t="s">
        <v>120</v>
      </c>
      <c r="C878" s="56" t="s">
        <v>5629</v>
      </c>
      <c r="D878" s="57">
        <v>3.8739000000000004E-4</v>
      </c>
      <c r="E878" s="47">
        <f>SUMIF(Data!$E:$E,$C878,Data!$AI:$AI)</f>
        <v>0</v>
      </c>
      <c r="G878" s="13" t="s">
        <v>6062</v>
      </c>
      <c r="H878" s="13" t="s">
        <v>6063</v>
      </c>
      <c r="I878" s="13" t="s">
        <v>849</v>
      </c>
      <c r="J878" s="13" t="s">
        <v>6064</v>
      </c>
      <c r="K878" s="13" t="s">
        <v>755</v>
      </c>
      <c r="L878" s="13" t="s">
        <v>5639</v>
      </c>
      <c r="M878" s="13" t="s">
        <v>6065</v>
      </c>
      <c r="N878" s="13" t="s">
        <v>6066</v>
      </c>
      <c r="O878" s="13" t="s">
        <v>6067</v>
      </c>
      <c r="P878" s="13" t="s">
        <v>6068</v>
      </c>
      <c r="Q878" s="13" t="s">
        <v>759</v>
      </c>
      <c r="R878" s="13" t="s">
        <v>760</v>
      </c>
      <c r="S878" s="13" t="s">
        <v>760</v>
      </c>
      <c r="T878" s="13" t="s">
        <v>848</v>
      </c>
      <c r="U878" s="13" t="s">
        <v>849</v>
      </c>
      <c r="V878" s="47">
        <f>SUMIF(Data!$E:$E,$I878,Data!$AI:$AI)</f>
        <v>0</v>
      </c>
    </row>
    <row r="879" spans="1:22" ht="15.75" x14ac:dyDescent="0.3">
      <c r="A879" s="54" t="s">
        <v>5840</v>
      </c>
      <c r="B879" s="55" t="s">
        <v>120</v>
      </c>
      <c r="C879" s="56" t="s">
        <v>5448</v>
      </c>
      <c r="D879" s="57">
        <v>1.9591999999999998E-4</v>
      </c>
      <c r="E879" s="47">
        <f>SUMIF(Data!$E:$E,$C879,Data!$AI:$AI)</f>
        <v>0</v>
      </c>
      <c r="G879" s="13" t="s">
        <v>6069</v>
      </c>
      <c r="H879" s="13" t="s">
        <v>6070</v>
      </c>
      <c r="I879" s="13" t="s">
        <v>6071</v>
      </c>
      <c r="J879" s="13" t="s">
        <v>6072</v>
      </c>
      <c r="K879" s="13" t="s">
        <v>137</v>
      </c>
      <c r="L879" s="13" t="s">
        <v>5639</v>
      </c>
      <c r="M879" s="13" t="s">
        <v>6073</v>
      </c>
      <c r="N879" s="13">
        <v>77.358000000000004</v>
      </c>
      <c r="O879" s="13" t="s">
        <v>6074</v>
      </c>
      <c r="P879" s="13" t="s">
        <v>6075</v>
      </c>
      <c r="Q879" s="13" t="s">
        <v>172</v>
      </c>
      <c r="R879" s="13" t="s">
        <v>6076</v>
      </c>
      <c r="S879" s="13" t="s">
        <v>192</v>
      </c>
      <c r="T879" s="13" t="s">
        <v>146</v>
      </c>
      <c r="U879" s="13" t="s">
        <v>110</v>
      </c>
      <c r="V879" s="47">
        <f>SUMIF(Data!$E:$E,$I879,Data!$AI:$AI)</f>
        <v>0</v>
      </c>
    </row>
    <row r="880" spans="1:22" ht="15.75" x14ac:dyDescent="0.3">
      <c r="A880" s="54" t="s">
        <v>5840</v>
      </c>
      <c r="B880" s="55" t="s">
        <v>120</v>
      </c>
      <c r="C880" s="56" t="s">
        <v>4948</v>
      </c>
      <c r="D880" s="57">
        <v>2.0676179999999999E-2</v>
      </c>
      <c r="E880" s="47">
        <f>SUMIF(Data!$E:$E,$C880,Data!$AI:$AI)</f>
        <v>0</v>
      </c>
      <c r="G880" s="13" t="s">
        <v>6077</v>
      </c>
      <c r="H880" s="13" t="s">
        <v>6078</v>
      </c>
      <c r="I880" s="13" t="s">
        <v>727</v>
      </c>
      <c r="J880" s="13" t="s">
        <v>6079</v>
      </c>
      <c r="K880" s="13" t="s">
        <v>755</v>
      </c>
      <c r="L880" s="13" t="s">
        <v>5639</v>
      </c>
      <c r="M880" s="13" t="s">
        <v>6080</v>
      </c>
      <c r="N880" s="13" t="s">
        <v>6081</v>
      </c>
      <c r="O880" s="13" t="s">
        <v>6082</v>
      </c>
      <c r="P880" s="13" t="s">
        <v>6083</v>
      </c>
      <c r="Q880" s="13" t="s">
        <v>759</v>
      </c>
      <c r="R880" s="13" t="s">
        <v>760</v>
      </c>
      <c r="S880" s="13" t="s">
        <v>760</v>
      </c>
      <c r="T880" s="13" t="s">
        <v>726</v>
      </c>
      <c r="U880" s="13" t="s">
        <v>727</v>
      </c>
      <c r="V880" s="47">
        <f>SUMIF(Data!$E:$E,$I880,Data!$AI:$AI)</f>
        <v>0</v>
      </c>
    </row>
    <row r="881" spans="1:22" ht="15.75" x14ac:dyDescent="0.3">
      <c r="A881" s="54" t="s">
        <v>5840</v>
      </c>
      <c r="B881" s="55" t="s">
        <v>120</v>
      </c>
      <c r="C881" s="56" t="s">
        <v>4779</v>
      </c>
      <c r="D881" s="57">
        <v>8.6549000000000001E-3</v>
      </c>
      <c r="E881" s="47">
        <f>SUMIF(Data!$E:$E,$C881,Data!$AI:$AI)</f>
        <v>0</v>
      </c>
      <c r="G881" s="13" t="s">
        <v>6084</v>
      </c>
      <c r="H881" s="13" t="s">
        <v>6085</v>
      </c>
      <c r="I881" s="13" t="s">
        <v>6086</v>
      </c>
      <c r="J881" s="13" t="s">
        <v>6087</v>
      </c>
      <c r="K881" s="13" t="s">
        <v>137</v>
      </c>
      <c r="L881" s="13" t="s">
        <v>5639</v>
      </c>
      <c r="M881" s="13" t="s">
        <v>6088</v>
      </c>
      <c r="N881" s="13">
        <v>147.34</v>
      </c>
      <c r="O881" s="13" t="s">
        <v>6089</v>
      </c>
      <c r="P881" s="13" t="s">
        <v>6090</v>
      </c>
      <c r="Q881" s="13" t="s">
        <v>694</v>
      </c>
      <c r="R881" s="13" t="s">
        <v>6091</v>
      </c>
      <c r="S881" s="13" t="s">
        <v>192</v>
      </c>
      <c r="T881" s="13" t="s">
        <v>146</v>
      </c>
      <c r="U881" s="13" t="s">
        <v>110</v>
      </c>
      <c r="V881" s="47">
        <f>SUMIF(Data!$E:$E,$I881,Data!$AI:$AI)</f>
        <v>0</v>
      </c>
    </row>
    <row r="882" spans="1:22" ht="15.75" x14ac:dyDescent="0.3">
      <c r="A882" s="54" t="s">
        <v>5840</v>
      </c>
      <c r="B882" s="55" t="s">
        <v>120</v>
      </c>
      <c r="C882" s="56" t="s">
        <v>5281</v>
      </c>
      <c r="D882" s="57">
        <v>1.7311599999999998E-3</v>
      </c>
      <c r="E882" s="47">
        <f>SUMIF(Data!$E:$E,$C882,Data!$AI:$AI)</f>
        <v>0</v>
      </c>
      <c r="G882" s="13" t="s">
        <v>6092</v>
      </c>
      <c r="H882" s="13" t="s">
        <v>6093</v>
      </c>
      <c r="I882" s="13" t="s">
        <v>6094</v>
      </c>
      <c r="J882" s="13" t="s">
        <v>6095</v>
      </c>
      <c r="K882" s="13" t="s">
        <v>137</v>
      </c>
      <c r="L882" s="13" t="s">
        <v>5639</v>
      </c>
      <c r="M882" s="13" t="s">
        <v>6096</v>
      </c>
      <c r="N882" s="13">
        <v>179.25700000000001</v>
      </c>
      <c r="O882" s="13" t="s">
        <v>6097</v>
      </c>
      <c r="P882" s="13" t="s">
        <v>6098</v>
      </c>
      <c r="Q882" s="13" t="s">
        <v>806</v>
      </c>
      <c r="R882" s="13" t="s">
        <v>6099</v>
      </c>
      <c r="S882" s="13" t="s">
        <v>192</v>
      </c>
      <c r="T882" s="13" t="s">
        <v>146</v>
      </c>
      <c r="U882" s="13" t="s">
        <v>110</v>
      </c>
      <c r="V882" s="47">
        <f>SUMIF(Data!$E:$E,$I882,Data!$AI:$AI)</f>
        <v>0</v>
      </c>
    </row>
    <row r="883" spans="1:22" ht="15.75" x14ac:dyDescent="0.3">
      <c r="A883" s="54" t="s">
        <v>5840</v>
      </c>
      <c r="B883" s="55" t="s">
        <v>120</v>
      </c>
      <c r="C883" s="56" t="s">
        <v>1939</v>
      </c>
      <c r="D883" s="57">
        <v>8.139281000000001E-2</v>
      </c>
      <c r="E883" s="47">
        <f>SUMIF(Data!$E:$E,$C883,Data!$AI:$AI)</f>
        <v>0</v>
      </c>
      <c r="G883" s="13" t="s">
        <v>6100</v>
      </c>
      <c r="H883" s="13" t="s">
        <v>6101</v>
      </c>
      <c r="I883" s="13" t="s">
        <v>6102</v>
      </c>
      <c r="J883" s="13" t="s">
        <v>6103</v>
      </c>
      <c r="K883" s="13" t="s">
        <v>137</v>
      </c>
      <c r="L883" s="13" t="s">
        <v>5639</v>
      </c>
      <c r="M883" s="13" t="s">
        <v>6104</v>
      </c>
      <c r="N883" s="13">
        <v>443.22500000000002</v>
      </c>
      <c r="O883" s="13" t="s">
        <v>6105</v>
      </c>
      <c r="P883" s="13" t="s">
        <v>6106</v>
      </c>
      <c r="Q883" s="13" t="s">
        <v>694</v>
      </c>
      <c r="R883" s="13" t="s">
        <v>6107</v>
      </c>
      <c r="S883" s="13" t="s">
        <v>476</v>
      </c>
      <c r="T883" s="13" t="s">
        <v>477</v>
      </c>
      <c r="U883" s="13" t="s">
        <v>478</v>
      </c>
      <c r="V883" s="47">
        <f>SUMIF(Data!$E:$E,$I883,Data!$AI:$AI)</f>
        <v>0</v>
      </c>
    </row>
    <row r="884" spans="1:22" ht="15.75" x14ac:dyDescent="0.3">
      <c r="A884" s="54" t="s">
        <v>5840</v>
      </c>
      <c r="B884" s="55" t="s">
        <v>120</v>
      </c>
      <c r="C884" s="56" t="s">
        <v>5454</v>
      </c>
      <c r="D884" s="57">
        <v>4.8583000000000003E-4</v>
      </c>
      <c r="E884" s="47">
        <f>SUMIF(Data!$E:$E,$C884,Data!$AI:$AI)</f>
        <v>0</v>
      </c>
      <c r="G884" s="13" t="s">
        <v>6108</v>
      </c>
      <c r="H884" s="13" t="s">
        <v>6109</v>
      </c>
      <c r="I884" s="13" t="s">
        <v>6110</v>
      </c>
      <c r="J884" s="13" t="s">
        <v>6111</v>
      </c>
      <c r="K884" s="13" t="s">
        <v>137</v>
      </c>
      <c r="L884" s="13" t="s">
        <v>5639</v>
      </c>
      <c r="M884" s="13" t="s">
        <v>6112</v>
      </c>
      <c r="N884" s="13">
        <v>107.568</v>
      </c>
      <c r="O884" s="13" t="s">
        <v>6113</v>
      </c>
      <c r="P884" s="13" t="s">
        <v>6114</v>
      </c>
      <c r="Q884" s="13" t="s">
        <v>190</v>
      </c>
      <c r="R884" s="13" t="s">
        <v>6115</v>
      </c>
      <c r="S884" s="13" t="s">
        <v>145</v>
      </c>
      <c r="T884" s="13" t="s">
        <v>146</v>
      </c>
      <c r="U884" s="13" t="s">
        <v>110</v>
      </c>
      <c r="V884" s="47">
        <f>SUMIF(Data!$E:$E,$I884,Data!$AI:$AI)</f>
        <v>0</v>
      </c>
    </row>
    <row r="885" spans="1:22" ht="15.75" x14ac:dyDescent="0.3">
      <c r="A885" s="54" t="s">
        <v>5840</v>
      </c>
      <c r="B885" s="55" t="s">
        <v>120</v>
      </c>
      <c r="C885" s="56" t="s">
        <v>5662</v>
      </c>
      <c r="D885" s="57">
        <v>4.2667999999999997E-4</v>
      </c>
      <c r="E885" s="47">
        <f>SUMIF(Data!$E:$E,$C885,Data!$AI:$AI)</f>
        <v>0</v>
      </c>
      <c r="G885" s="13" t="s">
        <v>6116</v>
      </c>
      <c r="H885" s="13" t="s">
        <v>6117</v>
      </c>
      <c r="I885" s="13" t="s">
        <v>6118</v>
      </c>
      <c r="J885" s="13" t="s">
        <v>6119</v>
      </c>
      <c r="K885" s="13" t="s">
        <v>137</v>
      </c>
      <c r="L885" s="13" t="s">
        <v>5639</v>
      </c>
      <c r="M885" s="13" t="s">
        <v>6120</v>
      </c>
      <c r="N885" s="13">
        <v>63.158000000000001</v>
      </c>
      <c r="O885" s="13" t="s">
        <v>6121</v>
      </c>
      <c r="P885" s="13" t="s">
        <v>6122</v>
      </c>
      <c r="Q885" s="13" t="s">
        <v>208</v>
      </c>
      <c r="R885" s="13" t="s">
        <v>6123</v>
      </c>
      <c r="S885" s="13" t="s">
        <v>1274</v>
      </c>
      <c r="T885" s="13" t="s">
        <v>1275</v>
      </c>
      <c r="U885" s="13" t="s">
        <v>525</v>
      </c>
      <c r="V885" s="47">
        <f>SUMIF(Data!$E:$E,$I885,Data!$AI:$AI)</f>
        <v>0</v>
      </c>
    </row>
    <row r="886" spans="1:22" ht="15.75" x14ac:dyDescent="0.3">
      <c r="A886" s="54" t="s">
        <v>5840</v>
      </c>
      <c r="B886" s="55" t="s">
        <v>120</v>
      </c>
      <c r="C886" s="56" t="s">
        <v>4961</v>
      </c>
      <c r="D886" s="57">
        <v>6.8385700000000004E-3</v>
      </c>
      <c r="E886" s="47">
        <f>SUMIF(Data!$E:$E,$C886,Data!$AI:$AI)</f>
        <v>0</v>
      </c>
      <c r="G886" s="13" t="s">
        <v>6124</v>
      </c>
      <c r="H886" s="13" t="s">
        <v>6125</v>
      </c>
      <c r="I886" s="13" t="s">
        <v>6126</v>
      </c>
      <c r="J886" s="13" t="s">
        <v>6127</v>
      </c>
      <c r="K886" s="13" t="s">
        <v>137</v>
      </c>
      <c r="L886" s="13" t="s">
        <v>5639</v>
      </c>
      <c r="M886" s="13" t="s">
        <v>6128</v>
      </c>
      <c r="N886" s="13" t="s">
        <v>6129</v>
      </c>
      <c r="O886" s="13" t="s">
        <v>6130</v>
      </c>
      <c r="P886" s="13" t="s">
        <v>6131</v>
      </c>
      <c r="Q886" s="13" t="s">
        <v>224</v>
      </c>
      <c r="R886" s="13" t="s">
        <v>6132</v>
      </c>
      <c r="S886" s="13" t="s">
        <v>2365</v>
      </c>
      <c r="T886" s="13" t="s">
        <v>2366</v>
      </c>
      <c r="U886" s="13" t="s">
        <v>2367</v>
      </c>
      <c r="V886" s="47">
        <f>SUMIF(Data!$E:$E,$I886,Data!$AI:$AI)</f>
        <v>0</v>
      </c>
    </row>
    <row r="887" spans="1:22" ht="15.75" x14ac:dyDescent="0.3">
      <c r="A887" s="54" t="s">
        <v>5840</v>
      </c>
      <c r="B887" s="55" t="s">
        <v>120</v>
      </c>
      <c r="C887" s="56" t="s">
        <v>5069</v>
      </c>
      <c r="D887" s="57">
        <v>1.61914E-3</v>
      </c>
      <c r="E887" s="47">
        <f>SUMIF(Data!$E:$E,$C887,Data!$AI:$AI)</f>
        <v>0</v>
      </c>
      <c r="G887" s="13" t="s">
        <v>6133</v>
      </c>
      <c r="H887" s="13" t="s">
        <v>6134</v>
      </c>
      <c r="I887" s="13" t="s">
        <v>6135</v>
      </c>
      <c r="J887" s="13" t="s">
        <v>6136</v>
      </c>
      <c r="K887" s="13" t="s">
        <v>137</v>
      </c>
      <c r="L887" s="13" t="s">
        <v>5639</v>
      </c>
      <c r="M887" s="13" t="s">
        <v>6137</v>
      </c>
      <c r="N887" s="13">
        <v>45.616</v>
      </c>
      <c r="O887" s="13" t="s">
        <v>6138</v>
      </c>
      <c r="P887" s="13" t="s">
        <v>6139</v>
      </c>
      <c r="Q887" s="13" t="s">
        <v>416</v>
      </c>
      <c r="R887" s="13" t="s">
        <v>6140</v>
      </c>
      <c r="S887" s="13" t="s">
        <v>145</v>
      </c>
      <c r="T887" s="13" t="s">
        <v>146</v>
      </c>
      <c r="U887" s="13" t="s">
        <v>110</v>
      </c>
      <c r="V887" s="47">
        <f>SUMIF(Data!$E:$E,$I887,Data!$AI:$AI)</f>
        <v>0</v>
      </c>
    </row>
    <row r="888" spans="1:22" ht="15.75" x14ac:dyDescent="0.3">
      <c r="A888" s="54" t="s">
        <v>5840</v>
      </c>
      <c r="B888" s="55" t="s">
        <v>120</v>
      </c>
      <c r="C888" s="56" t="s">
        <v>5313</v>
      </c>
      <c r="D888" s="57">
        <v>5.6211E-4</v>
      </c>
      <c r="E888" s="47">
        <f>SUMIF(Data!$E:$E,$C888,Data!$AI:$AI)</f>
        <v>0</v>
      </c>
      <c r="G888" s="13" t="s">
        <v>6141</v>
      </c>
      <c r="H888" s="13" t="s">
        <v>6142</v>
      </c>
      <c r="I888" s="13" t="s">
        <v>6143</v>
      </c>
      <c r="J888" s="13" t="s">
        <v>6144</v>
      </c>
      <c r="K888" s="13" t="s">
        <v>137</v>
      </c>
      <c r="L888" s="13" t="s">
        <v>5639</v>
      </c>
      <c r="M888" s="13" t="s">
        <v>6145</v>
      </c>
      <c r="N888" s="13">
        <v>181.76599999999999</v>
      </c>
      <c r="O888" s="13" t="s">
        <v>6146</v>
      </c>
      <c r="P888" s="13" t="s">
        <v>6147</v>
      </c>
      <c r="Q888" s="13" t="s">
        <v>172</v>
      </c>
      <c r="R888" s="13" t="s">
        <v>6148</v>
      </c>
      <c r="S888" s="13" t="s">
        <v>145</v>
      </c>
      <c r="T888" s="13" t="s">
        <v>146</v>
      </c>
      <c r="U888" s="13" t="s">
        <v>110</v>
      </c>
      <c r="V888" s="47">
        <f>SUMIF(Data!$E:$E,$I888,Data!$AI:$AI)</f>
        <v>0</v>
      </c>
    </row>
    <row r="889" spans="1:22" ht="15.75" x14ac:dyDescent="0.3">
      <c r="A889" s="54" t="s">
        <v>5840</v>
      </c>
      <c r="B889" s="55" t="s">
        <v>120</v>
      </c>
      <c r="C889" s="56" t="s">
        <v>4786</v>
      </c>
      <c r="D889" s="57">
        <v>9.0813600000000001E-3</v>
      </c>
      <c r="E889" s="47">
        <f>SUMIF(Data!$E:$E,$C889,Data!$AI:$AI)</f>
        <v>0</v>
      </c>
      <c r="G889" s="13" t="s">
        <v>6149</v>
      </c>
      <c r="H889" s="13" t="s">
        <v>6150</v>
      </c>
      <c r="I889" s="13" t="s">
        <v>6151</v>
      </c>
      <c r="J889" s="13" t="s">
        <v>6152</v>
      </c>
      <c r="K889" s="13" t="s">
        <v>137</v>
      </c>
      <c r="L889" s="13" t="s">
        <v>5639</v>
      </c>
      <c r="M889" s="13" t="s">
        <v>6153</v>
      </c>
      <c r="N889" s="13">
        <v>203.791</v>
      </c>
      <c r="O889" s="13" t="s">
        <v>6154</v>
      </c>
      <c r="P889" s="13" t="s">
        <v>6155</v>
      </c>
      <c r="Q889" s="13" t="s">
        <v>416</v>
      </c>
      <c r="R889" s="13" t="s">
        <v>6156</v>
      </c>
      <c r="S889" s="13" t="s">
        <v>476</v>
      </c>
      <c r="T889" s="13" t="s">
        <v>477</v>
      </c>
      <c r="U889" s="13" t="s">
        <v>478</v>
      </c>
      <c r="V889" s="47">
        <f>SUMIF(Data!$E:$E,$I889,Data!$AI:$AI)</f>
        <v>0</v>
      </c>
    </row>
    <row r="890" spans="1:22" ht="15.75" x14ac:dyDescent="0.3">
      <c r="A890" s="54" t="s">
        <v>5840</v>
      </c>
      <c r="B890" s="55" t="s">
        <v>120</v>
      </c>
      <c r="C890" s="56" t="s">
        <v>5460</v>
      </c>
      <c r="D890" s="57">
        <v>7.8535999999999992E-4</v>
      </c>
      <c r="E890" s="47">
        <f>SUMIF(Data!$E:$E,$C890,Data!$AI:$AI)</f>
        <v>0</v>
      </c>
      <c r="G890" s="13" t="s">
        <v>6157</v>
      </c>
      <c r="H890" s="13" t="s">
        <v>6158</v>
      </c>
      <c r="I890" s="13" t="s">
        <v>6159</v>
      </c>
      <c r="J890" s="13" t="s">
        <v>6160</v>
      </c>
      <c r="K890" s="13" t="s">
        <v>137</v>
      </c>
      <c r="L890" s="13" t="s">
        <v>5639</v>
      </c>
      <c r="M890" s="13" t="s">
        <v>6161</v>
      </c>
      <c r="N890" s="13">
        <v>69.912000000000006</v>
      </c>
      <c r="O890" s="13" t="s">
        <v>6162</v>
      </c>
      <c r="P890" s="13" t="s">
        <v>6163</v>
      </c>
      <c r="Q890" s="13" t="s">
        <v>162</v>
      </c>
      <c r="R890" s="13" t="s">
        <v>6164</v>
      </c>
      <c r="S890" s="13" t="s">
        <v>523</v>
      </c>
      <c r="T890" s="13" t="s">
        <v>524</v>
      </c>
      <c r="U890" s="13" t="s">
        <v>525</v>
      </c>
      <c r="V890" s="47">
        <f>SUMIF(Data!$E:$E,$I890,Data!$AI:$AI)</f>
        <v>0</v>
      </c>
    </row>
    <row r="891" spans="1:22" ht="15.75" x14ac:dyDescent="0.3">
      <c r="A891" s="54" t="s">
        <v>5840</v>
      </c>
      <c r="B891" s="55" t="s">
        <v>120</v>
      </c>
      <c r="C891" s="56" t="s">
        <v>5799</v>
      </c>
      <c r="D891" s="57">
        <v>1.5286999999999999E-4</v>
      </c>
      <c r="E891" s="47">
        <f>SUMIF(Data!$E:$E,$C891,Data!$AI:$AI)</f>
        <v>0</v>
      </c>
      <c r="G891" s="13" t="s">
        <v>6165</v>
      </c>
      <c r="H891" s="13" t="s">
        <v>6166</v>
      </c>
      <c r="I891" s="13" t="s">
        <v>6167</v>
      </c>
      <c r="J891" s="13" t="s">
        <v>6168</v>
      </c>
      <c r="K891" s="13" t="s">
        <v>137</v>
      </c>
      <c r="L891" s="13" t="s">
        <v>5639</v>
      </c>
      <c r="M891" s="13" t="s">
        <v>6169</v>
      </c>
      <c r="N891" s="13">
        <v>301.96100000000001</v>
      </c>
      <c r="O891" s="13" t="s">
        <v>6170</v>
      </c>
      <c r="P891" s="13" t="s">
        <v>6171</v>
      </c>
      <c r="Q891" s="13" t="s">
        <v>190</v>
      </c>
      <c r="R891" s="13" t="s">
        <v>6172</v>
      </c>
      <c r="S891" s="13" t="s">
        <v>145</v>
      </c>
      <c r="T891" s="13" t="s">
        <v>146</v>
      </c>
      <c r="U891" s="13" t="s">
        <v>110</v>
      </c>
      <c r="V891" s="47">
        <f>SUMIF(Data!$E:$E,$I891,Data!$AI:$AI)</f>
        <v>0</v>
      </c>
    </row>
    <row r="892" spans="1:22" ht="15.75" x14ac:dyDescent="0.3">
      <c r="A892" s="54" t="s">
        <v>5840</v>
      </c>
      <c r="B892" s="55" t="s">
        <v>120</v>
      </c>
      <c r="C892" s="56" t="s">
        <v>5386</v>
      </c>
      <c r="D892" s="57">
        <v>1.2584100000000002E-3</v>
      </c>
      <c r="E892" s="47">
        <f>SUMIF(Data!$E:$E,$C892,Data!$AI:$AI)</f>
        <v>0</v>
      </c>
      <c r="G892" s="13" t="s">
        <v>6173</v>
      </c>
      <c r="H892" s="13" t="s">
        <v>6174</v>
      </c>
      <c r="I892" s="13">
        <v>9041</v>
      </c>
      <c r="J892" s="13" t="s">
        <v>6175</v>
      </c>
      <c r="K892" s="13" t="s">
        <v>137</v>
      </c>
      <c r="L892" s="13" t="s">
        <v>5639</v>
      </c>
      <c r="M892" s="13" t="s">
        <v>6176</v>
      </c>
      <c r="N892" s="13">
        <v>99.4</v>
      </c>
      <c r="O892" s="13" t="s">
        <v>6177</v>
      </c>
      <c r="P892" s="13" t="s">
        <v>6178</v>
      </c>
      <c r="Q892" s="13" t="s">
        <v>416</v>
      </c>
      <c r="R892" s="13" t="s">
        <v>6179</v>
      </c>
      <c r="S892" s="13" t="s">
        <v>441</v>
      </c>
      <c r="T892" s="13" t="s">
        <v>442</v>
      </c>
      <c r="U892" s="13" t="s">
        <v>443</v>
      </c>
      <c r="V892" s="47">
        <f>SUMIF(Data!$E:$E,$I892,Data!$AI:$AI)</f>
        <v>0</v>
      </c>
    </row>
    <row r="893" spans="1:22" ht="15.75" x14ac:dyDescent="0.3">
      <c r="A893" s="54" t="s">
        <v>5840</v>
      </c>
      <c r="B893" s="55" t="s">
        <v>120</v>
      </c>
      <c r="C893" s="56" t="s">
        <v>5399</v>
      </c>
      <c r="D893" s="57">
        <v>1.42881E-3</v>
      </c>
      <c r="E893" s="47">
        <f>SUMIF(Data!$E:$E,$C893,Data!$AI:$AI)</f>
        <v>0</v>
      </c>
      <c r="G893" s="13" t="s">
        <v>6180</v>
      </c>
      <c r="H893" s="13" t="s">
        <v>6181</v>
      </c>
      <c r="I893" s="13" t="s">
        <v>6182</v>
      </c>
      <c r="J893" s="13" t="s">
        <v>6183</v>
      </c>
      <c r="K893" s="13" t="s">
        <v>137</v>
      </c>
      <c r="L893" s="13" t="s">
        <v>5639</v>
      </c>
      <c r="M893" s="13" t="s">
        <v>6184</v>
      </c>
      <c r="N893" s="13">
        <v>135.34899999999999</v>
      </c>
      <c r="O893" s="13" t="s">
        <v>6185</v>
      </c>
      <c r="P893" s="13" t="s">
        <v>6186</v>
      </c>
      <c r="Q893" s="13" t="s">
        <v>162</v>
      </c>
      <c r="R893" s="13" t="s">
        <v>6187</v>
      </c>
      <c r="S893" s="13" t="s">
        <v>192</v>
      </c>
      <c r="T893" s="13" t="s">
        <v>146</v>
      </c>
      <c r="U893" s="13" t="s">
        <v>110</v>
      </c>
      <c r="V893" s="47">
        <f>SUMIF(Data!$E:$E,$I893,Data!$AI:$AI)</f>
        <v>0</v>
      </c>
    </row>
    <row r="894" spans="1:22" ht="15.75" x14ac:dyDescent="0.3">
      <c r="A894" s="54" t="s">
        <v>5840</v>
      </c>
      <c r="B894" s="55" t="s">
        <v>120</v>
      </c>
      <c r="C894" s="56" t="s">
        <v>5709</v>
      </c>
      <c r="D894" s="57">
        <v>1.3617000000000002E-4</v>
      </c>
      <c r="E894" s="47">
        <f>SUMIF(Data!$E:$E,$C894,Data!$AI:$AI)</f>
        <v>0</v>
      </c>
      <c r="G894" s="13" t="s">
        <v>6188</v>
      </c>
      <c r="H894" s="13" t="s">
        <v>6189</v>
      </c>
      <c r="I894" s="13" t="s">
        <v>6190</v>
      </c>
      <c r="J894" s="13" t="s">
        <v>6191</v>
      </c>
      <c r="K894" s="13" t="s">
        <v>137</v>
      </c>
      <c r="L894" s="13" t="s">
        <v>5639</v>
      </c>
      <c r="M894" s="13" t="s">
        <v>6192</v>
      </c>
      <c r="N894" s="13">
        <v>80.835999999999999</v>
      </c>
      <c r="O894" s="13" t="s">
        <v>6193</v>
      </c>
      <c r="P894" s="13" t="s">
        <v>6194</v>
      </c>
      <c r="Q894" s="13" t="s">
        <v>416</v>
      </c>
      <c r="R894" s="13" t="s">
        <v>6195</v>
      </c>
      <c r="S894" s="13" t="s">
        <v>192</v>
      </c>
      <c r="T894" s="13" t="s">
        <v>146</v>
      </c>
      <c r="U894" s="13" t="s">
        <v>110</v>
      </c>
      <c r="V894" s="47">
        <f>SUMIF(Data!$E:$E,$I894,Data!$AI:$AI)</f>
        <v>0</v>
      </c>
    </row>
    <row r="895" spans="1:22" ht="15.75" x14ac:dyDescent="0.3">
      <c r="A895" s="54" t="s">
        <v>5840</v>
      </c>
      <c r="B895" s="55" t="s">
        <v>120</v>
      </c>
      <c r="C895" s="56" t="s">
        <v>3202</v>
      </c>
      <c r="D895" s="57">
        <v>7.1013499999999993E-3</v>
      </c>
      <c r="E895" s="47">
        <f>SUMIF(Data!$E:$E,$C895,Data!$AI:$AI)</f>
        <v>0</v>
      </c>
      <c r="G895" s="13" t="s">
        <v>6196</v>
      </c>
      <c r="H895" s="13" t="s">
        <v>6197</v>
      </c>
      <c r="I895" s="13" t="s">
        <v>6198</v>
      </c>
      <c r="J895" s="13" t="s">
        <v>6199</v>
      </c>
      <c r="K895" s="13" t="s">
        <v>137</v>
      </c>
      <c r="L895" s="13" t="s">
        <v>5639</v>
      </c>
      <c r="M895" s="13" t="s">
        <v>6200</v>
      </c>
      <c r="N895" s="13" t="s">
        <v>6201</v>
      </c>
      <c r="O895" s="13" t="s">
        <v>6202</v>
      </c>
      <c r="P895" s="13" t="s">
        <v>6203</v>
      </c>
      <c r="Q895" s="13" t="s">
        <v>172</v>
      </c>
      <c r="R895" s="13" t="s">
        <v>6204</v>
      </c>
      <c r="S895" s="13" t="s">
        <v>642</v>
      </c>
      <c r="T895" s="13" t="s">
        <v>643</v>
      </c>
      <c r="U895" s="13" t="s">
        <v>525</v>
      </c>
      <c r="V895" s="47">
        <f>SUMIF(Data!$E:$E,$I895,Data!$AI:$AI)</f>
        <v>0</v>
      </c>
    </row>
    <row r="896" spans="1:22" ht="15.75" x14ac:dyDescent="0.3">
      <c r="A896" s="54" t="s">
        <v>5840</v>
      </c>
      <c r="B896" s="55" t="s">
        <v>120</v>
      </c>
      <c r="C896" s="56" t="s">
        <v>5467</v>
      </c>
      <c r="D896" s="57">
        <v>9.1054999999999999E-4</v>
      </c>
      <c r="E896" s="47">
        <f>SUMIF(Data!$E:$E,$C896,Data!$AI:$AI)</f>
        <v>0</v>
      </c>
      <c r="G896" s="13" t="s">
        <v>6205</v>
      </c>
      <c r="H896" s="13" t="s">
        <v>6206</v>
      </c>
      <c r="I896" s="13" t="s">
        <v>6207</v>
      </c>
      <c r="J896" s="13" t="s">
        <v>6208</v>
      </c>
      <c r="K896" s="13" t="s">
        <v>137</v>
      </c>
      <c r="L896" s="13" t="s">
        <v>5639</v>
      </c>
      <c r="M896" s="13" t="s">
        <v>6209</v>
      </c>
      <c r="N896" s="13">
        <v>96.102999999999994</v>
      </c>
      <c r="O896" s="13" t="s">
        <v>6210</v>
      </c>
      <c r="P896" s="13" t="s">
        <v>6211</v>
      </c>
      <c r="Q896" s="13" t="s">
        <v>416</v>
      </c>
      <c r="R896" s="13" t="s">
        <v>6212</v>
      </c>
      <c r="S896" s="13" t="s">
        <v>2365</v>
      </c>
      <c r="T896" s="13" t="s">
        <v>550</v>
      </c>
      <c r="U896" s="13" t="s">
        <v>110</v>
      </c>
      <c r="V896" s="47">
        <f>SUMIF(Data!$E:$E,$I896,Data!$AI:$AI)</f>
        <v>0</v>
      </c>
    </row>
    <row r="897" spans="1:22" ht="15.75" x14ac:dyDescent="0.3">
      <c r="A897" s="54" t="s">
        <v>5840</v>
      </c>
      <c r="B897" s="55" t="s">
        <v>120</v>
      </c>
      <c r="C897" s="56" t="s">
        <v>5474</v>
      </c>
      <c r="D897" s="57">
        <v>7.1652999999999994E-4</v>
      </c>
      <c r="E897" s="47">
        <f>SUMIF(Data!$E:$E,$C897,Data!$AI:$AI)</f>
        <v>0</v>
      </c>
      <c r="G897" s="13" t="s">
        <v>6213</v>
      </c>
      <c r="H897" s="13" t="s">
        <v>6214</v>
      </c>
      <c r="I897" s="13">
        <v>5401</v>
      </c>
      <c r="J897" s="13" t="s">
        <v>6215</v>
      </c>
      <c r="K897" s="13" t="s">
        <v>137</v>
      </c>
      <c r="L897" s="13" t="s">
        <v>5639</v>
      </c>
      <c r="M897" s="13" t="s">
        <v>6216</v>
      </c>
      <c r="N897" s="13">
        <v>358.8</v>
      </c>
      <c r="O897" s="13" t="s">
        <v>6217</v>
      </c>
      <c r="P897" s="13" t="s">
        <v>6218</v>
      </c>
      <c r="Q897" s="13" t="s">
        <v>734</v>
      </c>
      <c r="R897" s="13" t="s">
        <v>6219</v>
      </c>
      <c r="S897" s="13" t="s">
        <v>441</v>
      </c>
      <c r="T897" s="13" t="s">
        <v>442</v>
      </c>
      <c r="U897" s="13" t="s">
        <v>443</v>
      </c>
      <c r="V897" s="47">
        <f>SUMIF(Data!$E:$E,$I897,Data!$AI:$AI)</f>
        <v>0</v>
      </c>
    </row>
    <row r="898" spans="1:22" ht="15.75" x14ac:dyDescent="0.3">
      <c r="A898" s="54" t="s">
        <v>5840</v>
      </c>
      <c r="B898" s="55" t="s">
        <v>120</v>
      </c>
      <c r="C898" s="56" t="s">
        <v>5481</v>
      </c>
      <c r="D898" s="57">
        <v>3.4214E-4</v>
      </c>
      <c r="E898" s="47">
        <f>SUMIF(Data!$E:$E,$C898,Data!$AI:$AI)</f>
        <v>0</v>
      </c>
      <c r="G898" s="13" t="s">
        <v>6220</v>
      </c>
      <c r="H898" s="13" t="s">
        <v>6221</v>
      </c>
      <c r="I898" s="13" t="s">
        <v>6222</v>
      </c>
      <c r="J898" s="13" t="s">
        <v>6223</v>
      </c>
      <c r="K898" s="13" t="s">
        <v>137</v>
      </c>
      <c r="L898" s="13" t="s">
        <v>5639</v>
      </c>
      <c r="M898" s="13" t="s">
        <v>6224</v>
      </c>
      <c r="N898" s="13">
        <v>97.558000000000007</v>
      </c>
      <c r="O898" s="13" t="s">
        <v>6225</v>
      </c>
      <c r="P898" s="13" t="s">
        <v>6226</v>
      </c>
      <c r="Q898" s="13" t="s">
        <v>416</v>
      </c>
      <c r="R898" s="13" t="s">
        <v>6227</v>
      </c>
      <c r="S898" s="13" t="s">
        <v>523</v>
      </c>
      <c r="T898" s="13" t="s">
        <v>524</v>
      </c>
      <c r="U898" s="13" t="s">
        <v>525</v>
      </c>
      <c r="V898" s="47">
        <f>SUMIF(Data!$E:$E,$I898,Data!$AI:$AI)</f>
        <v>0</v>
      </c>
    </row>
    <row r="899" spans="1:22" ht="15.75" x14ac:dyDescent="0.3">
      <c r="A899" s="54" t="s">
        <v>5840</v>
      </c>
      <c r="B899" s="55" t="s">
        <v>120</v>
      </c>
      <c r="C899" s="56" t="s">
        <v>5379</v>
      </c>
      <c r="D899" s="57">
        <v>1.23072E-3</v>
      </c>
      <c r="E899" s="47">
        <f>SUMIF(Data!$E:$E,$C899,Data!$AI:$AI)</f>
        <v>0</v>
      </c>
      <c r="G899" s="13" t="s">
        <v>6228</v>
      </c>
      <c r="H899" s="13" t="s">
        <v>6229</v>
      </c>
      <c r="I899" s="13" t="s">
        <v>6230</v>
      </c>
      <c r="J899" s="13" t="s">
        <v>6231</v>
      </c>
      <c r="K899" s="13" t="s">
        <v>137</v>
      </c>
      <c r="L899" s="13" t="s">
        <v>5639</v>
      </c>
      <c r="M899" s="13" t="s">
        <v>6232</v>
      </c>
      <c r="N899" s="13">
        <v>50.411000000000001</v>
      </c>
      <c r="O899" s="13" t="s">
        <v>6233</v>
      </c>
      <c r="P899" s="13" t="s">
        <v>6234</v>
      </c>
      <c r="Q899" s="13" t="s">
        <v>416</v>
      </c>
      <c r="R899" s="13" t="s">
        <v>6235</v>
      </c>
      <c r="S899" s="13" t="s">
        <v>560</v>
      </c>
      <c r="T899" s="13" t="s">
        <v>561</v>
      </c>
      <c r="U899" s="13" t="s">
        <v>525</v>
      </c>
      <c r="V899" s="47">
        <f>SUMIF(Data!$E:$E,$I899,Data!$AI:$AI)</f>
        <v>0</v>
      </c>
    </row>
    <row r="900" spans="1:22" ht="15.75" x14ac:dyDescent="0.3">
      <c r="A900" s="54" t="s">
        <v>5840</v>
      </c>
      <c r="B900" s="55" t="s">
        <v>120</v>
      </c>
      <c r="C900" s="56" t="s">
        <v>5752</v>
      </c>
      <c r="D900" s="57">
        <v>1.1471700000000001E-3</v>
      </c>
      <c r="E900" s="47">
        <f>SUMIF(Data!$E:$E,$C900,Data!$AI:$AI)</f>
        <v>0</v>
      </c>
      <c r="G900" s="13" t="s">
        <v>6236</v>
      </c>
      <c r="H900" s="13" t="s">
        <v>6237</v>
      </c>
      <c r="I900" s="13" t="s">
        <v>6238</v>
      </c>
      <c r="J900" s="13" t="s">
        <v>6239</v>
      </c>
      <c r="K900" s="13" t="s">
        <v>137</v>
      </c>
      <c r="L900" s="13" t="s">
        <v>5639</v>
      </c>
      <c r="M900" s="13" t="s">
        <v>6240</v>
      </c>
      <c r="N900" s="13">
        <v>727.346</v>
      </c>
      <c r="O900" s="13" t="s">
        <v>6241</v>
      </c>
      <c r="P900" s="13" t="s">
        <v>6242</v>
      </c>
      <c r="Q900" s="13" t="s">
        <v>734</v>
      </c>
      <c r="R900" s="13" t="s">
        <v>6243</v>
      </c>
      <c r="S900" s="13" t="s">
        <v>847</v>
      </c>
      <c r="T900" s="13" t="s">
        <v>848</v>
      </c>
      <c r="U900" s="13" t="s">
        <v>849</v>
      </c>
      <c r="V900" s="47">
        <f>SUMIF(Data!$E:$E,$I900,Data!$AI:$AI)</f>
        <v>0</v>
      </c>
    </row>
    <row r="901" spans="1:22" ht="15.75" x14ac:dyDescent="0.3">
      <c r="A901" s="54" t="s">
        <v>5840</v>
      </c>
      <c r="B901" s="55" t="s">
        <v>120</v>
      </c>
      <c r="C901" s="56" t="s">
        <v>4524</v>
      </c>
      <c r="D901" s="57">
        <v>5.6114399999999997E-3</v>
      </c>
      <c r="E901" s="47">
        <f>SUMIF(Data!$E:$E,$C901,Data!$AI:$AI)</f>
        <v>0</v>
      </c>
      <c r="G901" s="13" t="s">
        <v>6244</v>
      </c>
      <c r="H901" s="13" t="s">
        <v>6245</v>
      </c>
      <c r="I901" s="13">
        <v>5802</v>
      </c>
      <c r="J901" s="13" t="s">
        <v>6246</v>
      </c>
      <c r="K901" s="13" t="s">
        <v>137</v>
      </c>
      <c r="L901" s="13" t="s">
        <v>5639</v>
      </c>
      <c r="M901" s="13" t="s">
        <v>6247</v>
      </c>
      <c r="N901" s="13">
        <v>359.09699999999998</v>
      </c>
      <c r="O901" s="13" t="s">
        <v>6248</v>
      </c>
      <c r="P901" s="13" t="s">
        <v>6249</v>
      </c>
      <c r="Q901" s="13" t="s">
        <v>162</v>
      </c>
      <c r="R901" s="13" t="s">
        <v>6250</v>
      </c>
      <c r="S901" s="13" t="s">
        <v>441</v>
      </c>
      <c r="T901" s="13" t="s">
        <v>442</v>
      </c>
      <c r="U901" s="13" t="s">
        <v>443</v>
      </c>
      <c r="V901" s="47">
        <f>SUMIF(Data!$E:$E,$I901,Data!$AI:$AI)</f>
        <v>0</v>
      </c>
    </row>
    <row r="902" spans="1:22" ht="15.75" x14ac:dyDescent="0.3">
      <c r="A902" s="54" t="s">
        <v>5840</v>
      </c>
      <c r="B902" s="55" t="s">
        <v>120</v>
      </c>
      <c r="C902" s="56" t="s">
        <v>5082</v>
      </c>
      <c r="D902" s="57">
        <v>1.07817E-3</v>
      </c>
      <c r="E902" s="47">
        <f>SUMIF(Data!$E:$E,$C902,Data!$AI:$AI)</f>
        <v>0</v>
      </c>
      <c r="G902" s="13" t="s">
        <v>6251</v>
      </c>
      <c r="H902" s="13" t="s">
        <v>6252</v>
      </c>
      <c r="I902" s="13" t="s">
        <v>1296</v>
      </c>
      <c r="J902" s="13" t="s">
        <v>6253</v>
      </c>
      <c r="K902" s="13" t="s">
        <v>137</v>
      </c>
      <c r="L902" s="13" t="s">
        <v>5639</v>
      </c>
      <c r="M902" s="13" t="s">
        <v>6254</v>
      </c>
      <c r="N902" s="13" t="s">
        <v>6255</v>
      </c>
      <c r="O902" s="13" t="s">
        <v>6256</v>
      </c>
      <c r="P902" s="13" t="s">
        <v>6257</v>
      </c>
      <c r="Q902" s="13" t="s">
        <v>190</v>
      </c>
      <c r="R902" s="13" t="s">
        <v>6258</v>
      </c>
      <c r="S902" s="13" t="s">
        <v>642</v>
      </c>
      <c r="T902" s="13" t="s">
        <v>643</v>
      </c>
      <c r="U902" s="13" t="s">
        <v>525</v>
      </c>
      <c r="V902" s="47">
        <f>SUMIF(Data!$E:$E,$I902,Data!$AI:$AI)</f>
        <v>0</v>
      </c>
    </row>
    <row r="903" spans="1:22" ht="15.75" x14ac:dyDescent="0.3">
      <c r="A903" s="54" t="s">
        <v>5840</v>
      </c>
      <c r="B903" s="55" t="s">
        <v>120</v>
      </c>
      <c r="C903" s="56" t="s">
        <v>5274</v>
      </c>
      <c r="D903" s="57">
        <v>3.36214E-3</v>
      </c>
      <c r="E903" s="47">
        <f>SUMIF(Data!$E:$E,$C903,Data!$AI:$AI)</f>
        <v>0</v>
      </c>
      <c r="G903" s="13" t="s">
        <v>6259</v>
      </c>
      <c r="H903" s="13" t="s">
        <v>6260</v>
      </c>
      <c r="I903" s="13">
        <v>9531</v>
      </c>
      <c r="J903" s="13" t="s">
        <v>6261</v>
      </c>
      <c r="K903" s="13" t="s">
        <v>137</v>
      </c>
      <c r="L903" s="13" t="s">
        <v>5639</v>
      </c>
      <c r="M903" s="13" t="s">
        <v>6262</v>
      </c>
      <c r="N903" s="13">
        <v>223.14599999999999</v>
      </c>
      <c r="O903" s="13" t="s">
        <v>6263</v>
      </c>
      <c r="P903" s="13" t="s">
        <v>6264</v>
      </c>
      <c r="Q903" s="13" t="s">
        <v>694</v>
      </c>
      <c r="R903" s="13" t="s">
        <v>6265</v>
      </c>
      <c r="S903" s="13" t="s">
        <v>441</v>
      </c>
      <c r="T903" s="13" t="s">
        <v>442</v>
      </c>
      <c r="U903" s="13" t="s">
        <v>443</v>
      </c>
      <c r="V903" s="47">
        <f>SUMIF(Data!$E:$E,$I903,Data!$AI:$AI)</f>
        <v>0</v>
      </c>
    </row>
    <row r="904" spans="1:22" ht="15.75" x14ac:dyDescent="0.3">
      <c r="A904" s="54" t="s">
        <v>5840</v>
      </c>
      <c r="B904" s="55" t="s">
        <v>120</v>
      </c>
      <c r="C904" s="56" t="s">
        <v>3171</v>
      </c>
      <c r="D904" s="57">
        <v>1.38904E-3</v>
      </c>
      <c r="E904" s="47">
        <f>SUMIF(Data!$E:$E,$C904,Data!$AI:$AI)</f>
        <v>0</v>
      </c>
      <c r="G904" s="13" t="s">
        <v>6266</v>
      </c>
      <c r="H904" s="13" t="s">
        <v>6267</v>
      </c>
      <c r="I904" s="13" t="s">
        <v>6268</v>
      </c>
      <c r="J904" s="13" t="s">
        <v>6269</v>
      </c>
      <c r="K904" s="13" t="s">
        <v>137</v>
      </c>
      <c r="L904" s="13" t="s">
        <v>5639</v>
      </c>
      <c r="M904" s="13" t="s">
        <v>6270</v>
      </c>
      <c r="N904" s="13">
        <v>150.06800000000001</v>
      </c>
      <c r="O904" s="13" t="s">
        <v>6271</v>
      </c>
      <c r="P904" s="13" t="s">
        <v>6272</v>
      </c>
      <c r="Q904" s="13" t="s">
        <v>143</v>
      </c>
      <c r="R904" s="13" t="s">
        <v>6273</v>
      </c>
      <c r="S904" s="13" t="s">
        <v>192</v>
      </c>
      <c r="T904" s="13" t="s">
        <v>146</v>
      </c>
      <c r="U904" s="13" t="s">
        <v>110</v>
      </c>
      <c r="V904" s="47">
        <f>SUMIF(Data!$E:$E,$I904,Data!$AI:$AI)</f>
        <v>0</v>
      </c>
    </row>
    <row r="905" spans="1:22" ht="15.75" x14ac:dyDescent="0.3">
      <c r="A905" s="54" t="s">
        <v>5840</v>
      </c>
      <c r="B905" s="55" t="s">
        <v>120</v>
      </c>
      <c r="C905" s="56" t="s">
        <v>4798</v>
      </c>
      <c r="D905" s="57">
        <v>2.7886709999999999E-2</v>
      </c>
      <c r="E905" s="47">
        <f>SUMIF(Data!$E:$E,$C905,Data!$AI:$AI)</f>
        <v>0</v>
      </c>
      <c r="G905" s="13" t="s">
        <v>6274</v>
      </c>
      <c r="H905" s="13" t="s">
        <v>6275</v>
      </c>
      <c r="I905" s="13" t="s">
        <v>6276</v>
      </c>
      <c r="J905" s="13" t="s">
        <v>6277</v>
      </c>
      <c r="K905" s="13" t="s">
        <v>137</v>
      </c>
      <c r="L905" s="13" t="s">
        <v>5639</v>
      </c>
      <c r="M905" s="13" t="s">
        <v>6278</v>
      </c>
      <c r="N905" s="13">
        <v>35.735999999999997</v>
      </c>
      <c r="O905" s="13" t="s">
        <v>6279</v>
      </c>
      <c r="P905" s="13" t="s">
        <v>6280</v>
      </c>
      <c r="Q905" s="13" t="s">
        <v>162</v>
      </c>
      <c r="R905" s="13" t="s">
        <v>6281</v>
      </c>
      <c r="S905" s="13" t="s">
        <v>192</v>
      </c>
      <c r="T905" s="13" t="s">
        <v>146</v>
      </c>
      <c r="U905" s="13" t="s">
        <v>110</v>
      </c>
      <c r="V905" s="47">
        <f>SUMIF(Data!$E:$E,$I905,Data!$AI:$AI)</f>
        <v>0</v>
      </c>
    </row>
    <row r="906" spans="1:22" ht="15.75" x14ac:dyDescent="0.3">
      <c r="A906" s="54" t="s">
        <v>5840</v>
      </c>
      <c r="B906" s="55" t="s">
        <v>120</v>
      </c>
      <c r="C906" s="56" t="s">
        <v>4496</v>
      </c>
      <c r="D906" s="57">
        <v>7.7690800000000003E-3</v>
      </c>
      <c r="E906" s="47">
        <f>SUMIF(Data!$E:$E,$C906,Data!$AI:$AI)</f>
        <v>0</v>
      </c>
      <c r="G906" s="13" t="s">
        <v>6282</v>
      </c>
      <c r="H906" s="13" t="s">
        <v>6283</v>
      </c>
      <c r="I906" s="13" t="s">
        <v>6284</v>
      </c>
      <c r="J906" s="13" t="s">
        <v>6285</v>
      </c>
      <c r="K906" s="13" t="s">
        <v>137</v>
      </c>
      <c r="L906" s="13" t="s">
        <v>5639</v>
      </c>
      <c r="M906" s="13" t="s">
        <v>6286</v>
      </c>
      <c r="N906" s="13">
        <v>80.210999999999999</v>
      </c>
      <c r="O906" s="13" t="s">
        <v>6287</v>
      </c>
      <c r="P906" s="13" t="s">
        <v>6288</v>
      </c>
      <c r="Q906" s="13" t="s">
        <v>208</v>
      </c>
      <c r="R906" s="13" t="s">
        <v>6289</v>
      </c>
      <c r="S906" s="13" t="s">
        <v>145</v>
      </c>
      <c r="T906" s="13" t="s">
        <v>146</v>
      </c>
      <c r="U906" s="13" t="s">
        <v>110</v>
      </c>
      <c r="V906" s="47">
        <f>SUMIF(Data!$E:$E,$I906,Data!$AI:$AI)</f>
        <v>0</v>
      </c>
    </row>
    <row r="907" spans="1:22" ht="15.75" x14ac:dyDescent="0.3">
      <c r="A907" s="54" t="s">
        <v>5840</v>
      </c>
      <c r="B907" s="55" t="s">
        <v>120</v>
      </c>
      <c r="C907" s="56" t="s">
        <v>4602</v>
      </c>
      <c r="D907" s="57">
        <v>3.42238E-3</v>
      </c>
      <c r="E907" s="47">
        <f>SUMIF(Data!$E:$E,$C907,Data!$AI:$AI)</f>
        <v>0</v>
      </c>
      <c r="G907" s="13" t="s">
        <v>6290</v>
      </c>
      <c r="H907" s="13" t="s">
        <v>6291</v>
      </c>
      <c r="I907" s="13" t="s">
        <v>6292</v>
      </c>
      <c r="J907" s="13" t="s">
        <v>6293</v>
      </c>
      <c r="K907" s="13" t="s">
        <v>137</v>
      </c>
      <c r="L907" s="13" t="s">
        <v>5639</v>
      </c>
      <c r="M907" s="13" t="s">
        <v>6294</v>
      </c>
      <c r="N907" s="13">
        <v>153.93199999999999</v>
      </c>
      <c r="O907" s="13" t="s">
        <v>6295</v>
      </c>
      <c r="P907" s="13" t="s">
        <v>6296</v>
      </c>
      <c r="Q907" s="13" t="s">
        <v>162</v>
      </c>
      <c r="R907" s="13" t="s">
        <v>6297</v>
      </c>
      <c r="S907" s="13" t="s">
        <v>725</v>
      </c>
      <c r="T907" s="13" t="s">
        <v>726</v>
      </c>
      <c r="U907" s="13" t="s">
        <v>727</v>
      </c>
      <c r="V907" s="47">
        <f>SUMIF(Data!$E:$E,$I907,Data!$AI:$AI)</f>
        <v>0</v>
      </c>
    </row>
    <row r="908" spans="1:22" ht="15.75" x14ac:dyDescent="0.3">
      <c r="A908" s="54" t="s">
        <v>5840</v>
      </c>
      <c r="B908" s="55" t="s">
        <v>120</v>
      </c>
      <c r="C908" s="56" t="s">
        <v>5488</v>
      </c>
      <c r="D908" s="57">
        <v>3.4618000000000002E-4</v>
      </c>
      <c r="E908" s="47">
        <f>SUMIF(Data!$E:$E,$C908,Data!$AI:$AI)</f>
        <v>0</v>
      </c>
      <c r="G908" s="13" t="s">
        <v>6298</v>
      </c>
      <c r="H908" s="13" t="s">
        <v>6299</v>
      </c>
      <c r="I908" s="13">
        <v>5713</v>
      </c>
      <c r="J908" s="13" t="s">
        <v>6300</v>
      </c>
      <c r="K908" s="13" t="s">
        <v>137</v>
      </c>
      <c r="L908" s="13" t="s">
        <v>5639</v>
      </c>
      <c r="M908" s="13" t="s">
        <v>6301</v>
      </c>
      <c r="N908" s="13">
        <v>166.68199999999999</v>
      </c>
      <c r="O908" s="13" t="s">
        <v>6302</v>
      </c>
      <c r="P908" s="13" t="s">
        <v>6303</v>
      </c>
      <c r="Q908" s="13" t="s">
        <v>734</v>
      </c>
      <c r="R908" s="13" t="s">
        <v>6304</v>
      </c>
      <c r="S908" s="13" t="s">
        <v>441</v>
      </c>
      <c r="T908" s="13" t="s">
        <v>442</v>
      </c>
      <c r="U908" s="13" t="s">
        <v>443</v>
      </c>
      <c r="V908" s="47">
        <f>SUMIF(Data!$E:$E,$I908,Data!$AI:$AI)</f>
        <v>0</v>
      </c>
    </row>
    <row r="909" spans="1:22" ht="15.75" x14ac:dyDescent="0.3">
      <c r="A909" s="54" t="s">
        <v>5840</v>
      </c>
      <c r="B909" s="55" t="s">
        <v>120</v>
      </c>
      <c r="C909" s="56" t="s">
        <v>3142</v>
      </c>
      <c r="D909" s="57">
        <v>9.4892799999999992E-3</v>
      </c>
      <c r="E909" s="47">
        <f>SUMIF(Data!$E:$E,$C909,Data!$AI:$AI)</f>
        <v>0</v>
      </c>
      <c r="G909" s="13" t="s">
        <v>6305</v>
      </c>
      <c r="H909" s="13" t="s">
        <v>6306</v>
      </c>
      <c r="I909" s="13" t="s">
        <v>6307</v>
      </c>
      <c r="J909" s="13" t="s">
        <v>6308</v>
      </c>
      <c r="K909" s="13" t="s">
        <v>137</v>
      </c>
      <c r="L909" s="13" t="s">
        <v>5639</v>
      </c>
      <c r="M909" s="13" t="s">
        <v>4513</v>
      </c>
      <c r="N909" s="13">
        <v>96.650999999999996</v>
      </c>
      <c r="O909" s="13" t="s">
        <v>6309</v>
      </c>
      <c r="P909" s="13" t="s">
        <v>6310</v>
      </c>
      <c r="Q909" s="13" t="s">
        <v>224</v>
      </c>
      <c r="R909" s="13" t="s">
        <v>6311</v>
      </c>
      <c r="S909" s="13" t="s">
        <v>192</v>
      </c>
      <c r="T909" s="13" t="s">
        <v>146</v>
      </c>
      <c r="U909" s="13" t="s">
        <v>110</v>
      </c>
      <c r="V909" s="47">
        <f>SUMIF(Data!$E:$E,$I909,Data!$AI:$AI)</f>
        <v>0</v>
      </c>
    </row>
    <row r="910" spans="1:22" ht="15.75" x14ac:dyDescent="0.3">
      <c r="A910" s="54" t="s">
        <v>5840</v>
      </c>
      <c r="B910" s="55" t="s">
        <v>120</v>
      </c>
      <c r="C910" s="56" t="s">
        <v>4503</v>
      </c>
      <c r="D910" s="57">
        <v>1.8602599999999999E-3</v>
      </c>
      <c r="E910" s="47">
        <f>SUMIF(Data!$E:$E,$C910,Data!$AI:$AI)</f>
        <v>0</v>
      </c>
      <c r="G910" s="13" t="s">
        <v>6312</v>
      </c>
      <c r="H910" s="13" t="s">
        <v>6313</v>
      </c>
      <c r="I910" s="13" t="s">
        <v>6314</v>
      </c>
      <c r="J910" s="13" t="s">
        <v>6315</v>
      </c>
      <c r="K910" s="13" t="s">
        <v>137</v>
      </c>
      <c r="L910" s="13" t="s">
        <v>5639</v>
      </c>
      <c r="M910" s="13" t="s">
        <v>6316</v>
      </c>
      <c r="N910" s="13">
        <v>93.41</v>
      </c>
      <c r="O910" s="13" t="s">
        <v>6317</v>
      </c>
      <c r="P910" s="13" t="s">
        <v>6318</v>
      </c>
      <c r="Q910" s="13" t="s">
        <v>190</v>
      </c>
      <c r="R910" s="13" t="s">
        <v>6319</v>
      </c>
      <c r="S910" s="13" t="s">
        <v>847</v>
      </c>
      <c r="T910" s="13" t="s">
        <v>848</v>
      </c>
      <c r="U910" s="13" t="s">
        <v>849</v>
      </c>
      <c r="V910" s="47">
        <f>SUMIF(Data!$E:$E,$I910,Data!$AI:$AI)</f>
        <v>0</v>
      </c>
    </row>
    <row r="911" spans="1:22" ht="15.75" x14ac:dyDescent="0.3">
      <c r="A911" s="54" t="s">
        <v>5840</v>
      </c>
      <c r="B911" s="55" t="s">
        <v>120</v>
      </c>
      <c r="C911" s="56" t="s">
        <v>5245</v>
      </c>
      <c r="D911" s="57">
        <v>6.6236000000000008E-4</v>
      </c>
      <c r="E911" s="47">
        <f>SUMIF(Data!$E:$E,$C911,Data!$AI:$AI)</f>
        <v>0</v>
      </c>
      <c r="G911" s="13" t="s">
        <v>6320</v>
      </c>
      <c r="H911" s="13" t="s">
        <v>6321</v>
      </c>
      <c r="I911" s="13" t="s">
        <v>6322</v>
      </c>
      <c r="J911" s="13" t="s">
        <v>6323</v>
      </c>
      <c r="K911" s="13" t="s">
        <v>137</v>
      </c>
      <c r="L911" s="13" t="s">
        <v>5639</v>
      </c>
      <c r="M911" s="13" t="s">
        <v>6324</v>
      </c>
      <c r="N911" s="13">
        <v>37.771999999999998</v>
      </c>
      <c r="O911" s="13" t="s">
        <v>6325</v>
      </c>
      <c r="P911" s="13" t="s">
        <v>6326</v>
      </c>
      <c r="Q911" s="13" t="s">
        <v>143</v>
      </c>
      <c r="R911" s="13" t="s">
        <v>6327</v>
      </c>
      <c r="S911" s="13" t="s">
        <v>145</v>
      </c>
      <c r="T911" s="13" t="s">
        <v>4831</v>
      </c>
      <c r="U911" s="13" t="s">
        <v>110</v>
      </c>
      <c r="V911" s="47">
        <f>SUMIF(Data!$E:$E,$I911,Data!$AI:$AI)</f>
        <v>0</v>
      </c>
    </row>
    <row r="912" spans="1:22" ht="15.75" x14ac:dyDescent="0.3">
      <c r="A912" s="54" t="s">
        <v>5840</v>
      </c>
      <c r="B912" s="55" t="s">
        <v>120</v>
      </c>
      <c r="C912" s="56" t="s">
        <v>5495</v>
      </c>
      <c r="D912" s="57">
        <v>4.8800000000000004E-4</v>
      </c>
      <c r="E912" s="47">
        <f>SUMIF(Data!$E:$E,$C912,Data!$AI:$AI)</f>
        <v>0</v>
      </c>
      <c r="G912" s="13" t="s">
        <v>6328</v>
      </c>
      <c r="H912" s="13" t="s">
        <v>6329</v>
      </c>
      <c r="I912" s="13">
        <v>7832</v>
      </c>
      <c r="J912" s="13" t="s">
        <v>6330</v>
      </c>
      <c r="K912" s="13" t="s">
        <v>137</v>
      </c>
      <c r="L912" s="13" t="s">
        <v>5639</v>
      </c>
      <c r="M912" s="13" t="s">
        <v>6331</v>
      </c>
      <c r="N912" s="13">
        <v>88.1</v>
      </c>
      <c r="O912" s="13" t="s">
        <v>6332</v>
      </c>
      <c r="P912" s="13" t="s">
        <v>6333</v>
      </c>
      <c r="Q912" s="13" t="s">
        <v>162</v>
      </c>
      <c r="R912" s="13" t="s">
        <v>6334</v>
      </c>
      <c r="S912" s="13" t="s">
        <v>441</v>
      </c>
      <c r="T912" s="13" t="s">
        <v>442</v>
      </c>
      <c r="U912" s="13" t="s">
        <v>443</v>
      </c>
      <c r="V912" s="47">
        <f>SUMIF(Data!$E:$E,$I912,Data!$AI:$AI)</f>
        <v>0</v>
      </c>
    </row>
    <row r="913" spans="1:22" ht="15.75" x14ac:dyDescent="0.3">
      <c r="A913" s="54" t="s">
        <v>5840</v>
      </c>
      <c r="B913" s="55" t="s">
        <v>120</v>
      </c>
      <c r="C913" s="56" t="s">
        <v>6335</v>
      </c>
      <c r="D913" s="57">
        <v>8.0042999999999998E-4</v>
      </c>
      <c r="E913" s="47">
        <f>SUMIF(Data!$E:$E,$C913,Data!$AI:$AI)</f>
        <v>0</v>
      </c>
      <c r="G913" s="13" t="s">
        <v>6336</v>
      </c>
      <c r="H913" s="13" t="s">
        <v>6337</v>
      </c>
      <c r="I913" s="13" t="s">
        <v>6338</v>
      </c>
      <c r="J913" s="13" t="s">
        <v>6339</v>
      </c>
      <c r="K913" s="13" t="s">
        <v>137</v>
      </c>
      <c r="L913" s="13" t="s">
        <v>5639</v>
      </c>
      <c r="M913" s="13" t="s">
        <v>6340</v>
      </c>
      <c r="N913" s="13">
        <v>58.119</v>
      </c>
      <c r="O913" s="13" t="s">
        <v>6341</v>
      </c>
      <c r="P913" s="13" t="s">
        <v>6342</v>
      </c>
      <c r="Q913" s="13" t="s">
        <v>694</v>
      </c>
      <c r="R913" s="13" t="s">
        <v>6343</v>
      </c>
      <c r="S913" s="13" t="s">
        <v>192</v>
      </c>
      <c r="T913" s="13" t="s">
        <v>146</v>
      </c>
      <c r="U913" s="13" t="s">
        <v>110</v>
      </c>
      <c r="V913" s="47">
        <f>SUMIF(Data!$E:$E,$I913,Data!$AI:$AI)</f>
        <v>0</v>
      </c>
    </row>
    <row r="914" spans="1:22" ht="15.75" x14ac:dyDescent="0.3">
      <c r="A914" s="54" t="s">
        <v>5840</v>
      </c>
      <c r="B914" s="55" t="s">
        <v>120</v>
      </c>
      <c r="C914" s="56" t="s">
        <v>5501</v>
      </c>
      <c r="D914" s="57">
        <v>2.4198999999999998E-4</v>
      </c>
      <c r="E914" s="47">
        <f>SUMIF(Data!$E:$E,$C914,Data!$AI:$AI)</f>
        <v>0</v>
      </c>
      <c r="G914" s="13" t="s">
        <v>6344</v>
      </c>
      <c r="H914" s="13" t="s">
        <v>6345</v>
      </c>
      <c r="I914" s="13" t="s">
        <v>6346</v>
      </c>
      <c r="J914" s="13" t="s">
        <v>6347</v>
      </c>
      <c r="K914" s="13" t="s">
        <v>137</v>
      </c>
      <c r="L914" s="13" t="s">
        <v>5639</v>
      </c>
      <c r="M914" s="13" t="s">
        <v>6348</v>
      </c>
      <c r="N914" s="13">
        <v>163.869</v>
      </c>
      <c r="O914" s="13" t="s">
        <v>6349</v>
      </c>
      <c r="P914" s="13" t="s">
        <v>6350</v>
      </c>
      <c r="Q914" s="13" t="s">
        <v>694</v>
      </c>
      <c r="R914" s="13" t="s">
        <v>6351</v>
      </c>
      <c r="S914" s="13" t="s">
        <v>476</v>
      </c>
      <c r="T914" s="13" t="s">
        <v>477</v>
      </c>
      <c r="U914" s="13" t="s">
        <v>478</v>
      </c>
      <c r="V914" s="47">
        <f>SUMIF(Data!$E:$E,$I914,Data!$AI:$AI)</f>
        <v>0</v>
      </c>
    </row>
    <row r="915" spans="1:22" ht="15.75" x14ac:dyDescent="0.3">
      <c r="A915" s="54" t="s">
        <v>5840</v>
      </c>
      <c r="B915" s="55" t="s">
        <v>120</v>
      </c>
      <c r="C915" s="56" t="s">
        <v>3149</v>
      </c>
      <c r="D915" s="57">
        <v>2.3961E-3</v>
      </c>
      <c r="E915" s="47">
        <f>SUMIF(Data!$E:$E,$C915,Data!$AI:$AI)</f>
        <v>0</v>
      </c>
      <c r="G915" s="13" t="s">
        <v>6352</v>
      </c>
      <c r="H915" s="13" t="s">
        <v>6353</v>
      </c>
      <c r="I915" s="13" t="s">
        <v>6354</v>
      </c>
      <c r="J915" s="13" t="s">
        <v>6355</v>
      </c>
      <c r="K915" s="13" t="s">
        <v>137</v>
      </c>
      <c r="L915" s="13" t="s">
        <v>5639</v>
      </c>
      <c r="M915" s="13" t="s">
        <v>6356</v>
      </c>
      <c r="N915" s="13">
        <v>117.197</v>
      </c>
      <c r="O915" s="13" t="s">
        <v>6357</v>
      </c>
      <c r="P915" s="13" t="s">
        <v>6358</v>
      </c>
      <c r="Q915" s="13" t="s">
        <v>734</v>
      </c>
      <c r="R915" s="13" t="s">
        <v>6359</v>
      </c>
      <c r="S915" s="13" t="s">
        <v>192</v>
      </c>
      <c r="T915" s="13" t="s">
        <v>146</v>
      </c>
      <c r="U915" s="13" t="s">
        <v>110</v>
      </c>
      <c r="V915" s="47">
        <f>SUMIF(Data!$E:$E,$I915,Data!$AI:$AI)</f>
        <v>0</v>
      </c>
    </row>
    <row r="916" spans="1:22" ht="15.75" x14ac:dyDescent="0.3">
      <c r="A916" s="54" t="s">
        <v>5840</v>
      </c>
      <c r="B916" s="55" t="s">
        <v>120</v>
      </c>
      <c r="C916" s="56" t="s">
        <v>5716</v>
      </c>
      <c r="D916" s="57">
        <v>5.8967999999999998E-4</v>
      </c>
      <c r="E916" s="47">
        <f>SUMIF(Data!$E:$E,$C916,Data!$AI:$AI)</f>
        <v>0</v>
      </c>
      <c r="G916" s="13" t="s">
        <v>6360</v>
      </c>
      <c r="H916" s="13" t="s">
        <v>6361</v>
      </c>
      <c r="I916" s="13" t="s">
        <v>6362</v>
      </c>
      <c r="J916" s="13" t="s">
        <v>6363</v>
      </c>
      <c r="K916" s="13" t="s">
        <v>137</v>
      </c>
      <c r="L916" s="13" t="s">
        <v>5639</v>
      </c>
      <c r="M916" s="13" t="s">
        <v>6364</v>
      </c>
      <c r="N916" s="13">
        <v>149.85599999999999</v>
      </c>
      <c r="O916" s="13" t="s">
        <v>6365</v>
      </c>
      <c r="P916" s="13" t="s">
        <v>6366</v>
      </c>
      <c r="Q916" s="13" t="s">
        <v>208</v>
      </c>
      <c r="R916" s="13" t="s">
        <v>6367</v>
      </c>
      <c r="S916" s="13" t="s">
        <v>523</v>
      </c>
      <c r="T916" s="13" t="s">
        <v>524</v>
      </c>
      <c r="U916" s="13" t="s">
        <v>525</v>
      </c>
      <c r="V916" s="47">
        <f>SUMIF(Data!$E:$E,$I916,Data!$AI:$AI)</f>
        <v>0</v>
      </c>
    </row>
    <row r="917" spans="1:22" ht="15.75" x14ac:dyDescent="0.3">
      <c r="A917" s="54" t="s">
        <v>5840</v>
      </c>
      <c r="B917" s="55" t="s">
        <v>120</v>
      </c>
      <c r="C917" s="56" t="s">
        <v>4546</v>
      </c>
      <c r="D917" s="57">
        <v>6.4661900000000001E-3</v>
      </c>
      <c r="E917" s="47">
        <f>SUMIF(Data!$E:$E,$C917,Data!$AI:$AI)</f>
        <v>0</v>
      </c>
      <c r="G917" s="13" t="s">
        <v>6368</v>
      </c>
      <c r="H917" s="13" t="s">
        <v>6369</v>
      </c>
      <c r="I917" s="13" t="s">
        <v>4838</v>
      </c>
      <c r="J917" s="13" t="s">
        <v>6370</v>
      </c>
      <c r="K917" s="13" t="s">
        <v>137</v>
      </c>
      <c r="L917" s="13" t="s">
        <v>5639</v>
      </c>
      <c r="M917" s="13" t="s">
        <v>6371</v>
      </c>
      <c r="N917" s="13">
        <v>20.873000000000001</v>
      </c>
      <c r="O917" s="13" t="s">
        <v>6372</v>
      </c>
      <c r="P917" s="13" t="s">
        <v>6373</v>
      </c>
      <c r="Q917" s="13" t="s">
        <v>162</v>
      </c>
      <c r="R917" s="13" t="s">
        <v>6374</v>
      </c>
      <c r="S917" s="13" t="s">
        <v>192</v>
      </c>
      <c r="T917" s="13" t="s">
        <v>146</v>
      </c>
      <c r="U917" s="13" t="s">
        <v>110</v>
      </c>
      <c r="V917" s="47">
        <f>SUMIF(Data!$E:$E,$I917,Data!$AI:$AI)</f>
        <v>0</v>
      </c>
    </row>
    <row r="918" spans="1:22" ht="15.75" x14ac:dyDescent="0.3">
      <c r="A918" s="54" t="s">
        <v>5840</v>
      </c>
      <c r="B918" s="55" t="s">
        <v>120</v>
      </c>
      <c r="C918" s="56" t="s">
        <v>4811</v>
      </c>
      <c r="D918" s="57">
        <v>3.73114E-3</v>
      </c>
      <c r="E918" s="47">
        <f>SUMIF(Data!$E:$E,$C918,Data!$AI:$AI)</f>
        <v>0</v>
      </c>
      <c r="G918" s="13" t="s">
        <v>6375</v>
      </c>
      <c r="H918" s="13" t="s">
        <v>6376</v>
      </c>
      <c r="I918" s="13" t="s">
        <v>6377</v>
      </c>
      <c r="J918" s="13" t="s">
        <v>6378</v>
      </c>
      <c r="K918" s="13" t="s">
        <v>137</v>
      </c>
      <c r="L918" s="13" t="s">
        <v>5639</v>
      </c>
      <c r="M918" s="13" t="s">
        <v>6379</v>
      </c>
      <c r="N918" s="13">
        <v>31.978000000000002</v>
      </c>
      <c r="O918" s="13" t="s">
        <v>6380</v>
      </c>
      <c r="P918" s="13" t="s">
        <v>6381</v>
      </c>
      <c r="Q918" s="13" t="s">
        <v>143</v>
      </c>
      <c r="R918" s="13" t="s">
        <v>6382</v>
      </c>
      <c r="S918" s="13" t="s">
        <v>5736</v>
      </c>
      <c r="T918" s="13" t="s">
        <v>4831</v>
      </c>
      <c r="U918" s="13" t="s">
        <v>5737</v>
      </c>
      <c r="V918" s="47">
        <f>SUMIF(Data!$E:$E,$I918,Data!$AI:$AI)</f>
        <v>0</v>
      </c>
    </row>
    <row r="919" spans="1:22" ht="15.75" x14ac:dyDescent="0.3">
      <c r="A919" s="54" t="s">
        <v>5840</v>
      </c>
      <c r="B919" s="55" t="s">
        <v>120</v>
      </c>
      <c r="C919" s="56" t="s">
        <v>4818</v>
      </c>
      <c r="D919" s="57">
        <v>8.1177200000000001E-3</v>
      </c>
      <c r="E919" s="47">
        <f>SUMIF(Data!$E:$E,$C919,Data!$AI:$AI)</f>
        <v>0</v>
      </c>
      <c r="G919" s="13" t="s">
        <v>6383</v>
      </c>
      <c r="H919" s="13" t="s">
        <v>6384</v>
      </c>
      <c r="I919" s="13">
        <v>7701</v>
      </c>
      <c r="J919" s="13" t="s">
        <v>6385</v>
      </c>
      <c r="K919" s="13" t="s">
        <v>137</v>
      </c>
      <c r="L919" s="13" t="s">
        <v>5639</v>
      </c>
      <c r="M919" s="13" t="s">
        <v>6386</v>
      </c>
      <c r="N919" s="13">
        <v>168.15100000000001</v>
      </c>
      <c r="O919" s="13" t="s">
        <v>6387</v>
      </c>
      <c r="P919" s="13" t="s">
        <v>6388</v>
      </c>
      <c r="Q919" s="13" t="s">
        <v>143</v>
      </c>
      <c r="R919" s="13" t="s">
        <v>6389</v>
      </c>
      <c r="S919" s="13" t="s">
        <v>441</v>
      </c>
      <c r="T919" s="13" t="s">
        <v>442</v>
      </c>
      <c r="U919" s="13" t="s">
        <v>443</v>
      </c>
      <c r="V919" s="47">
        <f>SUMIF(Data!$E:$E,$I919,Data!$AI:$AI)</f>
        <v>0</v>
      </c>
    </row>
    <row r="920" spans="1:22" ht="15.75" x14ac:dyDescent="0.3">
      <c r="A920" s="54" t="s">
        <v>5840</v>
      </c>
      <c r="B920" s="55" t="s">
        <v>120</v>
      </c>
      <c r="C920" s="56" t="s">
        <v>5668</v>
      </c>
      <c r="D920" s="57">
        <v>1.0379899999999999E-3</v>
      </c>
      <c r="E920" s="47">
        <f>SUMIF(Data!$E:$E,$C920,Data!$AI:$AI)</f>
        <v>0</v>
      </c>
      <c r="G920" s="13" t="s">
        <v>6390</v>
      </c>
      <c r="H920" s="13" t="s">
        <v>6391</v>
      </c>
      <c r="I920" s="13" t="s">
        <v>6392</v>
      </c>
      <c r="J920" s="13" t="s">
        <v>6393</v>
      </c>
      <c r="K920" s="13" t="s">
        <v>137</v>
      </c>
      <c r="L920" s="13" t="s">
        <v>5639</v>
      </c>
      <c r="M920" s="13" t="s">
        <v>6394</v>
      </c>
      <c r="N920" s="13">
        <v>219.511</v>
      </c>
      <c r="O920" s="13" t="s">
        <v>6395</v>
      </c>
      <c r="P920" s="13" t="s">
        <v>6396</v>
      </c>
      <c r="Q920" s="13" t="s">
        <v>260</v>
      </c>
      <c r="R920" s="13" t="s">
        <v>6397</v>
      </c>
      <c r="S920" s="13" t="s">
        <v>192</v>
      </c>
      <c r="T920" s="13" t="s">
        <v>146</v>
      </c>
      <c r="U920" s="13" t="s">
        <v>110</v>
      </c>
      <c r="V920" s="47">
        <f>SUMIF(Data!$E:$E,$I920,Data!$AI:$AI)</f>
        <v>0</v>
      </c>
    </row>
    <row r="921" spans="1:22" ht="15.75" x14ac:dyDescent="0.3">
      <c r="A921" s="54" t="s">
        <v>5840</v>
      </c>
      <c r="B921" s="55" t="s">
        <v>120</v>
      </c>
      <c r="C921" s="56" t="s">
        <v>5112</v>
      </c>
      <c r="D921" s="57">
        <v>1.1228200000000001E-3</v>
      </c>
      <c r="E921" s="47">
        <f>SUMIF(Data!$E:$E,$C921,Data!$AI:$AI)</f>
        <v>0</v>
      </c>
      <c r="G921" s="13" t="s">
        <v>6398</v>
      </c>
      <c r="H921" s="13" t="s">
        <v>6399</v>
      </c>
      <c r="I921" s="13" t="s">
        <v>6400</v>
      </c>
      <c r="J921" s="13" t="s">
        <v>6401</v>
      </c>
      <c r="K921" s="13" t="s">
        <v>137</v>
      </c>
      <c r="L921" s="13" t="s">
        <v>5639</v>
      </c>
      <c r="M921" s="13" t="s">
        <v>6402</v>
      </c>
      <c r="N921" s="13">
        <v>49.485999999999997</v>
      </c>
      <c r="O921" s="13" t="s">
        <v>6403</v>
      </c>
      <c r="P921" s="13" t="s">
        <v>6404</v>
      </c>
      <c r="Q921" s="13" t="s">
        <v>734</v>
      </c>
      <c r="R921" s="13" t="s">
        <v>6405</v>
      </c>
      <c r="S921" s="13" t="s">
        <v>192</v>
      </c>
      <c r="T921" s="13" t="s">
        <v>146</v>
      </c>
      <c r="U921" s="13" t="s">
        <v>110</v>
      </c>
      <c r="V921" s="47">
        <f>SUMIF(Data!$E:$E,$I921,Data!$AI:$AI)</f>
        <v>0</v>
      </c>
    </row>
    <row r="922" spans="1:22" ht="15.75" x14ac:dyDescent="0.3">
      <c r="A922" s="54" t="s">
        <v>5840</v>
      </c>
      <c r="B922" s="55" t="s">
        <v>120</v>
      </c>
      <c r="C922" s="56" t="s">
        <v>5268</v>
      </c>
      <c r="D922" s="57">
        <v>9.268700000000001E-4</v>
      </c>
      <c r="E922" s="47">
        <f>SUMIF(Data!$E:$E,$C922,Data!$AI:$AI)</f>
        <v>0</v>
      </c>
      <c r="G922" s="13" t="s">
        <v>6406</v>
      </c>
      <c r="H922" s="13" t="s">
        <v>6407</v>
      </c>
      <c r="I922" s="13" t="s">
        <v>6408</v>
      </c>
      <c r="J922" s="13" t="s">
        <v>6409</v>
      </c>
      <c r="K922" s="13" t="s">
        <v>137</v>
      </c>
      <c r="L922" s="13" t="s">
        <v>5639</v>
      </c>
      <c r="M922" s="13" t="s">
        <v>6410</v>
      </c>
      <c r="N922" s="13">
        <v>5.1449999999999996</v>
      </c>
      <c r="O922" s="13" t="s">
        <v>6411</v>
      </c>
      <c r="P922" s="13" t="s">
        <v>6412</v>
      </c>
      <c r="Q922" s="13" t="s">
        <v>208</v>
      </c>
      <c r="R922" s="13" t="s">
        <v>6413</v>
      </c>
      <c r="S922" s="13" t="s">
        <v>6414</v>
      </c>
      <c r="T922" s="13" t="s">
        <v>227</v>
      </c>
      <c r="U922" s="13" t="s">
        <v>228</v>
      </c>
      <c r="V922" s="47">
        <f>SUMIF(Data!$E:$E,$I922,Data!$AI:$AI)</f>
        <v>0</v>
      </c>
    </row>
    <row r="923" spans="1:22" ht="15.75" x14ac:dyDescent="0.3">
      <c r="A923" s="54" t="s">
        <v>5840</v>
      </c>
      <c r="B923" s="55" t="s">
        <v>120</v>
      </c>
      <c r="C923" s="56" t="s">
        <v>5332</v>
      </c>
      <c r="D923" s="57">
        <v>1.71726E-3</v>
      </c>
      <c r="E923" s="47">
        <f>SUMIF(Data!$E:$E,$C923,Data!$AI:$AI)</f>
        <v>0</v>
      </c>
      <c r="G923" s="13" t="s">
        <v>6415</v>
      </c>
      <c r="H923" s="13" t="s">
        <v>6416</v>
      </c>
      <c r="I923" s="13" t="s">
        <v>6417</v>
      </c>
      <c r="J923" s="13" t="s">
        <v>6418</v>
      </c>
      <c r="K923" s="13" t="s">
        <v>137</v>
      </c>
      <c r="L923" s="13" t="s">
        <v>5639</v>
      </c>
      <c r="M923" s="13" t="s">
        <v>6419</v>
      </c>
      <c r="N923" s="13">
        <v>879.17200000000003</v>
      </c>
      <c r="O923" s="13" t="s">
        <v>6420</v>
      </c>
      <c r="P923" s="13" t="s">
        <v>6421</v>
      </c>
      <c r="Q923" s="13" t="s">
        <v>416</v>
      </c>
      <c r="R923" s="13" t="s">
        <v>6422</v>
      </c>
      <c r="S923" s="13" t="s">
        <v>476</v>
      </c>
      <c r="T923" s="13" t="s">
        <v>477</v>
      </c>
      <c r="U923" s="13" t="s">
        <v>478</v>
      </c>
      <c r="V923" s="47">
        <f>SUMIF(Data!$E:$E,$I923,Data!$AI:$AI)</f>
        <v>0</v>
      </c>
    </row>
    <row r="924" spans="1:22" ht="15.75" x14ac:dyDescent="0.3">
      <c r="A924" s="54" t="s">
        <v>5840</v>
      </c>
      <c r="B924" s="55" t="s">
        <v>120</v>
      </c>
      <c r="C924" s="56" t="s">
        <v>5508</v>
      </c>
      <c r="D924" s="57">
        <v>1.7920999999999999E-4</v>
      </c>
      <c r="E924" s="47">
        <f>SUMIF(Data!$E:$E,$C924,Data!$AI:$AI)</f>
        <v>0</v>
      </c>
      <c r="G924" s="13" t="s">
        <v>6423</v>
      </c>
      <c r="H924" s="13" t="s">
        <v>6424</v>
      </c>
      <c r="I924" s="13" t="s">
        <v>6425</v>
      </c>
      <c r="J924" s="13" t="s">
        <v>6426</v>
      </c>
      <c r="K924" s="13" t="s">
        <v>137</v>
      </c>
      <c r="L924" s="13" t="s">
        <v>5639</v>
      </c>
      <c r="M924" s="13" t="s">
        <v>6427</v>
      </c>
      <c r="N924" s="13">
        <v>27.131</v>
      </c>
      <c r="O924" s="13" t="s">
        <v>6428</v>
      </c>
      <c r="P924" s="13" t="s">
        <v>6429</v>
      </c>
      <c r="Q924" s="13" t="s">
        <v>190</v>
      </c>
      <c r="R924" s="13" t="s">
        <v>6430</v>
      </c>
      <c r="S924" s="13" t="s">
        <v>523</v>
      </c>
      <c r="T924" s="13" t="s">
        <v>524</v>
      </c>
      <c r="U924" s="13" t="s">
        <v>525</v>
      </c>
      <c r="V924" s="47">
        <f>SUMIF(Data!$E:$E,$I924,Data!$AI:$AI)</f>
        <v>0</v>
      </c>
    </row>
    <row r="925" spans="1:22" ht="15.75" x14ac:dyDescent="0.3">
      <c r="A925" s="54" t="s">
        <v>5840</v>
      </c>
      <c r="B925" s="55" t="s">
        <v>120</v>
      </c>
      <c r="C925" s="56" t="s">
        <v>5118</v>
      </c>
      <c r="D925" s="57">
        <v>1.50297E-3</v>
      </c>
      <c r="E925" s="47">
        <f>SUMIF(Data!$E:$E,$C925,Data!$AI:$AI)</f>
        <v>0</v>
      </c>
      <c r="G925" s="13" t="s">
        <v>6431</v>
      </c>
      <c r="H925" s="13" t="s">
        <v>6432</v>
      </c>
      <c r="I925" s="13" t="s">
        <v>6433</v>
      </c>
      <c r="J925" s="13" t="s">
        <v>6434</v>
      </c>
      <c r="K925" s="13" t="s">
        <v>137</v>
      </c>
      <c r="L925" s="13" t="s">
        <v>5639</v>
      </c>
      <c r="M925" s="13" t="s">
        <v>6435</v>
      </c>
      <c r="N925" s="13">
        <v>58</v>
      </c>
      <c r="O925" s="13" t="s">
        <v>6436</v>
      </c>
      <c r="P925" s="13" t="s">
        <v>6437</v>
      </c>
      <c r="Q925" s="13" t="s">
        <v>224</v>
      </c>
      <c r="R925" s="13" t="s">
        <v>6438</v>
      </c>
      <c r="S925" s="13" t="s">
        <v>6414</v>
      </c>
      <c r="T925" s="13" t="s">
        <v>227</v>
      </c>
      <c r="U925" s="13" t="s">
        <v>228</v>
      </c>
      <c r="V925" s="47">
        <f>SUMIF(Data!$E:$E,$I925,Data!$AI:$AI)</f>
        <v>0</v>
      </c>
    </row>
    <row r="926" spans="1:22" ht="15.75" x14ac:dyDescent="0.3">
      <c r="A926" s="54" t="s">
        <v>5840</v>
      </c>
      <c r="B926" s="55" t="s">
        <v>120</v>
      </c>
      <c r="C926" s="56" t="s">
        <v>5124</v>
      </c>
      <c r="D926" s="57">
        <v>2.0449800000000001E-3</v>
      </c>
      <c r="E926" s="47">
        <f>SUMIF(Data!$E:$E,$C926,Data!$AI:$AI)</f>
        <v>0</v>
      </c>
      <c r="G926" s="13" t="s">
        <v>6439</v>
      </c>
      <c r="H926" s="13" t="s">
        <v>6440</v>
      </c>
      <c r="I926" s="13" t="s">
        <v>6441</v>
      </c>
      <c r="J926" s="13" t="s">
        <v>6442</v>
      </c>
      <c r="K926" s="13" t="s">
        <v>137</v>
      </c>
      <c r="L926" s="13" t="s">
        <v>5639</v>
      </c>
      <c r="M926" s="13" t="s">
        <v>5511</v>
      </c>
      <c r="N926" s="13">
        <v>116.027</v>
      </c>
      <c r="O926" s="13" t="s">
        <v>6443</v>
      </c>
      <c r="P926" s="13" t="s">
        <v>6444</v>
      </c>
      <c r="Q926" s="13" t="s">
        <v>162</v>
      </c>
      <c r="R926" s="13" t="s">
        <v>6445</v>
      </c>
      <c r="S926" s="13" t="s">
        <v>192</v>
      </c>
      <c r="T926" s="13" t="s">
        <v>146</v>
      </c>
      <c r="U926" s="13" t="s">
        <v>110</v>
      </c>
      <c r="V926" s="47">
        <f>SUMIF(Data!$E:$E,$I926,Data!$AI:$AI)</f>
        <v>0</v>
      </c>
    </row>
    <row r="927" spans="1:22" ht="15.75" x14ac:dyDescent="0.3">
      <c r="A927" s="54" t="s">
        <v>5840</v>
      </c>
      <c r="B927" s="55" t="s">
        <v>120</v>
      </c>
      <c r="C927" s="56" t="s">
        <v>4637</v>
      </c>
      <c r="D927" s="57">
        <v>3.2860899999999998E-3</v>
      </c>
      <c r="E927" s="47">
        <f>SUMIF(Data!$E:$E,$C927,Data!$AI:$AI)</f>
        <v>0</v>
      </c>
      <c r="G927" s="13" t="s">
        <v>6446</v>
      </c>
      <c r="H927" s="13" t="s">
        <v>6447</v>
      </c>
      <c r="I927" s="13" t="s">
        <v>6448</v>
      </c>
      <c r="J927" s="13" t="s">
        <v>6449</v>
      </c>
      <c r="K927" s="13" t="s">
        <v>137</v>
      </c>
      <c r="L927" s="13" t="s">
        <v>5639</v>
      </c>
      <c r="M927" s="13" t="s">
        <v>6450</v>
      </c>
      <c r="N927" s="13">
        <v>328.51</v>
      </c>
      <c r="O927" s="13" t="s">
        <v>6451</v>
      </c>
      <c r="P927" s="13" t="s">
        <v>6452</v>
      </c>
      <c r="Q927" s="13" t="s">
        <v>734</v>
      </c>
      <c r="R927" s="13" t="s">
        <v>6453</v>
      </c>
      <c r="S927" s="13" t="s">
        <v>725</v>
      </c>
      <c r="T927" s="13" t="s">
        <v>726</v>
      </c>
      <c r="U927" s="13" t="s">
        <v>727</v>
      </c>
      <c r="V927" s="47">
        <f>SUMIF(Data!$E:$E,$I927,Data!$AI:$AI)</f>
        <v>0</v>
      </c>
    </row>
    <row r="928" spans="1:22" ht="15.75" x14ac:dyDescent="0.3">
      <c r="A928" s="54" t="s">
        <v>5840</v>
      </c>
      <c r="B928" s="55" t="s">
        <v>120</v>
      </c>
      <c r="C928" s="56" t="s">
        <v>5358</v>
      </c>
      <c r="D928" s="57">
        <v>5.3359000000000002E-4</v>
      </c>
      <c r="E928" s="47">
        <f>SUMIF(Data!$E:$E,$C928,Data!$AI:$AI)</f>
        <v>0</v>
      </c>
      <c r="G928" s="13" t="s">
        <v>6454</v>
      </c>
      <c r="H928" s="13" t="s">
        <v>6455</v>
      </c>
      <c r="I928" s="13" t="s">
        <v>6456</v>
      </c>
      <c r="J928" s="13" t="s">
        <v>6457</v>
      </c>
      <c r="K928" s="13" t="s">
        <v>137</v>
      </c>
      <c r="L928" s="13" t="s">
        <v>5639</v>
      </c>
      <c r="M928" s="13" t="s">
        <v>6458</v>
      </c>
      <c r="N928" s="13">
        <v>299.06299999999999</v>
      </c>
      <c r="O928" s="13" t="s">
        <v>6459</v>
      </c>
      <c r="P928" s="13" t="s">
        <v>6460</v>
      </c>
      <c r="Q928" s="13" t="s">
        <v>260</v>
      </c>
      <c r="R928" s="13" t="s">
        <v>6461</v>
      </c>
      <c r="S928" s="13" t="s">
        <v>5204</v>
      </c>
      <c r="T928" s="13" t="s">
        <v>5205</v>
      </c>
      <c r="U928" s="13" t="s">
        <v>525</v>
      </c>
      <c r="V928" s="47">
        <f>SUMIF(Data!$E:$E,$I928,Data!$AI:$AI)</f>
        <v>0</v>
      </c>
    </row>
    <row r="929" spans="1:22" ht="15.75" x14ac:dyDescent="0.3">
      <c r="A929" s="54" t="s">
        <v>5840</v>
      </c>
      <c r="B929" s="55" t="s">
        <v>120</v>
      </c>
      <c r="C929" s="56" t="s">
        <v>5806</v>
      </c>
      <c r="D929" s="57">
        <v>3.5894000000000003E-4</v>
      </c>
      <c r="E929" s="47">
        <f>SUMIF(Data!$E:$E,$C929,Data!$AI:$AI)</f>
        <v>0</v>
      </c>
      <c r="G929" s="13" t="s">
        <v>6462</v>
      </c>
      <c r="H929" s="13" t="s">
        <v>6267</v>
      </c>
      <c r="I929" s="13" t="s">
        <v>6463</v>
      </c>
      <c r="J929" s="13" t="s">
        <v>6464</v>
      </c>
      <c r="K929" s="13" t="s">
        <v>137</v>
      </c>
      <c r="L929" s="13" t="s">
        <v>5639</v>
      </c>
      <c r="M929" s="13" t="s">
        <v>6465</v>
      </c>
      <c r="N929" s="13">
        <v>581.76800000000003</v>
      </c>
      <c r="O929" s="13" t="s">
        <v>6466</v>
      </c>
      <c r="P929" s="13" t="s">
        <v>6467</v>
      </c>
      <c r="Q929" s="13" t="s">
        <v>208</v>
      </c>
      <c r="R929" s="13" t="s">
        <v>6468</v>
      </c>
      <c r="S929" s="13" t="s">
        <v>5736</v>
      </c>
      <c r="T929" s="13" t="s">
        <v>4831</v>
      </c>
      <c r="U929" s="13" t="s">
        <v>5737</v>
      </c>
      <c r="V929" s="47">
        <f>SUMIF(Data!$E:$E,$I929,Data!$AI:$AI)</f>
        <v>0</v>
      </c>
    </row>
    <row r="930" spans="1:22" ht="15.75" x14ac:dyDescent="0.3">
      <c r="A930" s="54" t="s">
        <v>5840</v>
      </c>
      <c r="B930" s="55" t="s">
        <v>120</v>
      </c>
      <c r="C930" s="56" t="s">
        <v>5813</v>
      </c>
      <c r="D930" s="57">
        <v>5.4520999999999997E-4</v>
      </c>
      <c r="E930" s="47">
        <f>SUMIF(Data!$E:$E,$C930,Data!$AI:$AI)</f>
        <v>0</v>
      </c>
      <c r="G930" s="13" t="s">
        <v>6469</v>
      </c>
      <c r="H930" s="13" t="s">
        <v>6470</v>
      </c>
      <c r="I930" s="13" t="s">
        <v>6471</v>
      </c>
      <c r="J930" s="13" t="s">
        <v>6472</v>
      </c>
      <c r="K930" s="13" t="s">
        <v>137</v>
      </c>
      <c r="L930" s="13" t="s">
        <v>5639</v>
      </c>
      <c r="M930" s="13" t="s">
        <v>6473</v>
      </c>
      <c r="N930" s="13">
        <v>292.00900000000001</v>
      </c>
      <c r="O930" s="13" t="s">
        <v>6474</v>
      </c>
      <c r="P930" s="13" t="s">
        <v>6475</v>
      </c>
      <c r="Q930" s="13" t="s">
        <v>190</v>
      </c>
      <c r="R930" s="13" t="s">
        <v>6476</v>
      </c>
      <c r="S930" s="13" t="s">
        <v>192</v>
      </c>
      <c r="T930" s="13" t="s">
        <v>146</v>
      </c>
      <c r="U930" s="13" t="s">
        <v>110</v>
      </c>
      <c r="V930" s="47">
        <f>SUMIF(Data!$E:$E,$I930,Data!$AI:$AI)</f>
        <v>0</v>
      </c>
    </row>
    <row r="931" spans="1:22" ht="15.75" x14ac:dyDescent="0.3">
      <c r="A931" s="54" t="s">
        <v>5840</v>
      </c>
      <c r="B931" s="55" t="s">
        <v>120</v>
      </c>
      <c r="C931" s="56" t="s">
        <v>5131</v>
      </c>
      <c r="D931" s="57">
        <v>1.7306699999999999E-3</v>
      </c>
      <c r="E931" s="47">
        <f>SUMIF(Data!$E:$E,$C931,Data!$AI:$AI)</f>
        <v>0</v>
      </c>
      <c r="G931" s="13" t="s">
        <v>6477</v>
      </c>
      <c r="H931" s="13" t="s">
        <v>6478</v>
      </c>
      <c r="I931" s="13" t="s">
        <v>6479</v>
      </c>
      <c r="J931" s="13" t="s">
        <v>6480</v>
      </c>
      <c r="K931" s="13" t="s">
        <v>137</v>
      </c>
      <c r="L931" s="13" t="s">
        <v>5639</v>
      </c>
      <c r="M931" s="13" t="s">
        <v>6481</v>
      </c>
      <c r="N931" s="13">
        <v>40.055999999999997</v>
      </c>
      <c r="O931" s="13" t="s">
        <v>6482</v>
      </c>
      <c r="P931" s="13" t="s">
        <v>6483</v>
      </c>
      <c r="Q931" s="13" t="s">
        <v>208</v>
      </c>
      <c r="R931" s="13" t="s">
        <v>6484</v>
      </c>
      <c r="S931" s="13" t="s">
        <v>145</v>
      </c>
      <c r="T931" s="13" t="s">
        <v>146</v>
      </c>
      <c r="U931" s="13" t="s">
        <v>110</v>
      </c>
      <c r="V931" s="47">
        <f>SUMIF(Data!$E:$E,$I931,Data!$AI:$AI)</f>
        <v>0</v>
      </c>
    </row>
    <row r="932" spans="1:22" ht="15.75" x14ac:dyDescent="0.3">
      <c r="A932" s="54" t="s">
        <v>5840</v>
      </c>
      <c r="B932" s="55" t="s">
        <v>120</v>
      </c>
      <c r="C932" s="56" t="s">
        <v>5833</v>
      </c>
      <c r="D932" s="57">
        <v>3.8400999999999995E-4</v>
      </c>
      <c r="E932" s="47">
        <f>SUMIF(Data!$E:$E,$C932,Data!$AI:$AI)</f>
        <v>0</v>
      </c>
      <c r="G932" s="13" t="s">
        <v>6485</v>
      </c>
      <c r="H932" s="13" t="s">
        <v>6486</v>
      </c>
      <c r="I932" s="13">
        <v>4528</v>
      </c>
      <c r="J932" s="13" t="s">
        <v>6487</v>
      </c>
      <c r="K932" s="13" t="s">
        <v>137</v>
      </c>
      <c r="L932" s="13" t="s">
        <v>5639</v>
      </c>
      <c r="M932" s="13" t="s">
        <v>6488</v>
      </c>
      <c r="N932" s="13">
        <v>218.4</v>
      </c>
      <c r="O932" s="13" t="s">
        <v>6489</v>
      </c>
      <c r="P932" s="13" t="s">
        <v>6490</v>
      </c>
      <c r="Q932" s="13" t="s">
        <v>208</v>
      </c>
      <c r="R932" s="13" t="s">
        <v>6491</v>
      </c>
      <c r="S932" s="13" t="s">
        <v>441</v>
      </c>
      <c r="T932" s="13" t="s">
        <v>442</v>
      </c>
      <c r="U932" s="13" t="s">
        <v>443</v>
      </c>
      <c r="V932" s="47">
        <f>SUMIF(Data!$E:$E,$I932,Data!$AI:$AI)</f>
        <v>0</v>
      </c>
    </row>
    <row r="933" spans="1:22" ht="15.75" x14ac:dyDescent="0.3">
      <c r="A933" s="54" t="s">
        <v>5840</v>
      </c>
      <c r="B933" s="55" t="s">
        <v>120</v>
      </c>
      <c r="C933" s="56" t="s">
        <v>5515</v>
      </c>
      <c r="D933" s="57">
        <v>3.5872000000000003E-4</v>
      </c>
      <c r="E933" s="47">
        <f>SUMIF(Data!$E:$E,$C933,Data!$AI:$AI)</f>
        <v>0</v>
      </c>
      <c r="G933" s="13" t="s">
        <v>6492</v>
      </c>
      <c r="H933" s="13" t="s">
        <v>6493</v>
      </c>
      <c r="I933" s="13" t="s">
        <v>2457</v>
      </c>
      <c r="J933" s="13" t="s">
        <v>6494</v>
      </c>
      <c r="K933" s="13" t="s">
        <v>137</v>
      </c>
      <c r="L933" s="13" t="s">
        <v>5639</v>
      </c>
      <c r="M933" s="13" t="s">
        <v>6495</v>
      </c>
      <c r="N933" s="13">
        <v>56.378999999999998</v>
      </c>
      <c r="O933" s="13" t="s">
        <v>6496</v>
      </c>
      <c r="P933" s="13" t="s">
        <v>6497</v>
      </c>
      <c r="Q933" s="13" t="s">
        <v>162</v>
      </c>
      <c r="R933" s="13" t="s">
        <v>6498</v>
      </c>
      <c r="S933" s="13" t="s">
        <v>145</v>
      </c>
      <c r="T933" s="13" t="s">
        <v>146</v>
      </c>
      <c r="U933" s="13" t="s">
        <v>110</v>
      </c>
      <c r="V933" s="47">
        <f>SUMIF(Data!$E:$E,$I933,Data!$AI:$AI)</f>
        <v>0</v>
      </c>
    </row>
    <row r="934" spans="1:22" ht="15.75" x14ac:dyDescent="0.3">
      <c r="A934" s="54" t="s">
        <v>5840</v>
      </c>
      <c r="B934" s="55" t="s">
        <v>120</v>
      </c>
      <c r="C934" s="56" t="s">
        <v>4968</v>
      </c>
      <c r="D934" s="57">
        <v>4.0604899999999999E-3</v>
      </c>
      <c r="E934" s="47">
        <f>SUMIF(Data!$E:$E,$C934,Data!$AI:$AI)</f>
        <v>0</v>
      </c>
      <c r="G934" s="13" t="s">
        <v>6499</v>
      </c>
      <c r="H934" s="13" t="s">
        <v>6500</v>
      </c>
      <c r="I934" s="13" t="s">
        <v>6501</v>
      </c>
      <c r="J934" s="13" t="s">
        <v>6502</v>
      </c>
      <c r="K934" s="13" t="s">
        <v>137</v>
      </c>
      <c r="L934" s="13" t="s">
        <v>5639</v>
      </c>
      <c r="M934" s="13" t="s">
        <v>6503</v>
      </c>
      <c r="N934" s="13">
        <v>37.579000000000001</v>
      </c>
      <c r="O934" s="13" t="s">
        <v>6504</v>
      </c>
      <c r="P934" s="13" t="s">
        <v>6505</v>
      </c>
      <c r="Q934" s="13" t="s">
        <v>162</v>
      </c>
      <c r="R934" s="13" t="s">
        <v>6506</v>
      </c>
      <c r="S934" s="13" t="s">
        <v>192</v>
      </c>
      <c r="T934" s="13" t="s">
        <v>146</v>
      </c>
      <c r="U934" s="13" t="s">
        <v>110</v>
      </c>
      <c r="V934" s="47">
        <f>SUMIF(Data!$E:$E,$I934,Data!$AI:$AI)</f>
        <v>0</v>
      </c>
    </row>
    <row r="935" spans="1:22" ht="15.75" x14ac:dyDescent="0.3">
      <c r="A935" s="54" t="s">
        <v>5840</v>
      </c>
      <c r="B935" s="55" t="s">
        <v>120</v>
      </c>
      <c r="C935" s="56" t="s">
        <v>6507</v>
      </c>
      <c r="D935" s="57">
        <v>2.3054000000000003E-4</v>
      </c>
      <c r="E935" s="47">
        <f>SUMIF(Data!$E:$E,$C935,Data!$AI:$AI)</f>
        <v>0</v>
      </c>
      <c r="G935" s="13" t="s">
        <v>6508</v>
      </c>
      <c r="H935" s="13" t="s">
        <v>6509</v>
      </c>
      <c r="I935" s="13" t="s">
        <v>4568</v>
      </c>
      <c r="J935" s="13" t="s">
        <v>6510</v>
      </c>
      <c r="K935" s="13" t="s">
        <v>137</v>
      </c>
      <c r="L935" s="13" t="s">
        <v>5639</v>
      </c>
      <c r="M935" s="13" t="s">
        <v>6511</v>
      </c>
      <c r="N935" s="13">
        <v>58.09</v>
      </c>
      <c r="O935" s="13" t="s">
        <v>6512</v>
      </c>
      <c r="P935" s="13" t="s">
        <v>6513</v>
      </c>
      <c r="Q935" s="13" t="s">
        <v>143</v>
      </c>
      <c r="R935" s="13" t="s">
        <v>6514</v>
      </c>
      <c r="S935" s="13" t="s">
        <v>560</v>
      </c>
      <c r="T935" s="13" t="s">
        <v>561</v>
      </c>
      <c r="U935" s="13" t="s">
        <v>525</v>
      </c>
      <c r="V935" s="47">
        <f>SUMIF(Data!$E:$E,$I935,Data!$AI:$AI)</f>
        <v>0</v>
      </c>
    </row>
    <row r="936" spans="1:22" ht="15.75" x14ac:dyDescent="0.3">
      <c r="A936" s="54" t="s">
        <v>5840</v>
      </c>
      <c r="B936" s="55" t="s">
        <v>120</v>
      </c>
      <c r="C936" s="56" t="s">
        <v>6515</v>
      </c>
      <c r="D936" s="57">
        <v>7.7513299999999999E-3</v>
      </c>
      <c r="E936" s="47">
        <f>SUMIF(Data!$E:$E,$C936,Data!$AI:$AI)</f>
        <v>0</v>
      </c>
      <c r="G936" s="13" t="s">
        <v>6516</v>
      </c>
      <c r="H936" s="13" t="s">
        <v>6517</v>
      </c>
      <c r="I936" s="13" t="s">
        <v>6518</v>
      </c>
      <c r="J936" s="13" t="s">
        <v>6519</v>
      </c>
      <c r="K936" s="13" t="s">
        <v>137</v>
      </c>
      <c r="L936" s="13" t="s">
        <v>5639</v>
      </c>
      <c r="M936" s="13" t="s">
        <v>6520</v>
      </c>
      <c r="N936" s="13">
        <v>305.92099999999999</v>
      </c>
      <c r="O936" s="13" t="s">
        <v>6521</v>
      </c>
      <c r="P936" s="13" t="s">
        <v>6522</v>
      </c>
      <c r="Q936" s="13" t="s">
        <v>224</v>
      </c>
      <c r="R936" s="13" t="s">
        <v>6523</v>
      </c>
      <c r="S936" s="13" t="s">
        <v>560</v>
      </c>
      <c r="T936" s="13" t="s">
        <v>561</v>
      </c>
      <c r="U936" s="13" t="s">
        <v>525</v>
      </c>
      <c r="V936" s="47">
        <f>SUMIF(Data!$E:$E,$I936,Data!$AI:$AI)</f>
        <v>0</v>
      </c>
    </row>
    <row r="937" spans="1:22" ht="15.75" x14ac:dyDescent="0.3">
      <c r="A937" s="54" t="s">
        <v>5840</v>
      </c>
      <c r="B937" s="55" t="s">
        <v>120</v>
      </c>
      <c r="C937" s="56" t="s">
        <v>4988</v>
      </c>
      <c r="D937" s="57">
        <v>2.8721999999999997E-3</v>
      </c>
      <c r="E937" s="47">
        <f>SUMIF(Data!$E:$E,$C937,Data!$AI:$AI)</f>
        <v>0</v>
      </c>
      <c r="G937" s="13" t="s">
        <v>6524</v>
      </c>
      <c r="H937" s="13" t="s">
        <v>6525</v>
      </c>
      <c r="I937" s="13" t="s">
        <v>4610</v>
      </c>
      <c r="J937" s="13" t="s">
        <v>6526</v>
      </c>
      <c r="K937" s="13" t="s">
        <v>137</v>
      </c>
      <c r="L937" s="13" t="s">
        <v>5639</v>
      </c>
      <c r="M937" s="13" t="s">
        <v>6527</v>
      </c>
      <c r="N937" s="13" t="s">
        <v>6528</v>
      </c>
      <c r="O937" s="13" t="s">
        <v>6529</v>
      </c>
      <c r="P937" s="13" t="s">
        <v>6530</v>
      </c>
      <c r="Q937" s="13" t="s">
        <v>734</v>
      </c>
      <c r="R937" s="13" t="s">
        <v>6531</v>
      </c>
      <c r="S937" s="13" t="s">
        <v>847</v>
      </c>
      <c r="T937" s="13" t="s">
        <v>848</v>
      </c>
      <c r="U937" s="13" t="s">
        <v>849</v>
      </c>
      <c r="V937" s="47">
        <f>SUMIF(Data!$E:$E,$I937,Data!$AI:$AI)</f>
        <v>0</v>
      </c>
    </row>
    <row r="938" spans="1:22" ht="15.75" x14ac:dyDescent="0.3">
      <c r="A938" s="54" t="s">
        <v>5840</v>
      </c>
      <c r="B938" s="55" t="s">
        <v>120</v>
      </c>
      <c r="C938" s="56" t="s">
        <v>5622</v>
      </c>
      <c r="D938" s="57">
        <v>3.8236999999999999E-4</v>
      </c>
      <c r="E938" s="47">
        <f>SUMIF(Data!$E:$E,$C938,Data!$AI:$AI)</f>
        <v>0</v>
      </c>
      <c r="G938" s="13" t="s">
        <v>6532</v>
      </c>
      <c r="H938" s="13" t="s">
        <v>6533</v>
      </c>
      <c r="I938" s="13" t="s">
        <v>6534</v>
      </c>
      <c r="J938" s="13" t="s">
        <v>6535</v>
      </c>
      <c r="K938" s="13" t="s">
        <v>137</v>
      </c>
      <c r="L938" s="13" t="s">
        <v>5639</v>
      </c>
      <c r="M938" s="13" t="s">
        <v>6536</v>
      </c>
      <c r="N938" s="13">
        <v>527.19799999999998</v>
      </c>
      <c r="O938" s="13" t="s">
        <v>6537</v>
      </c>
      <c r="P938" s="13" t="s">
        <v>6538</v>
      </c>
      <c r="Q938" s="13" t="s">
        <v>143</v>
      </c>
      <c r="R938" s="13" t="s">
        <v>6539</v>
      </c>
      <c r="S938" s="13" t="s">
        <v>476</v>
      </c>
      <c r="T938" s="13" t="s">
        <v>477</v>
      </c>
      <c r="U938" s="13" t="s">
        <v>478</v>
      </c>
      <c r="V938" s="47">
        <f>SUMIF(Data!$E:$E,$I938,Data!$AI:$AI)</f>
        <v>0</v>
      </c>
    </row>
    <row r="939" spans="1:22" ht="15.75" x14ac:dyDescent="0.3">
      <c r="A939" s="54" t="s">
        <v>5840</v>
      </c>
      <c r="B939" s="55" t="s">
        <v>120</v>
      </c>
      <c r="C939" s="56" t="s">
        <v>5299</v>
      </c>
      <c r="D939" s="57">
        <v>2.4265300000000001E-3</v>
      </c>
      <c r="E939" s="47">
        <f>SUMIF(Data!$E:$E,$C939,Data!$AI:$AI)</f>
        <v>0</v>
      </c>
      <c r="G939" s="13" t="s">
        <v>6540</v>
      </c>
      <c r="H939" s="13" t="s">
        <v>6541</v>
      </c>
      <c r="I939" s="13" t="s">
        <v>6542</v>
      </c>
      <c r="J939" s="13" t="s">
        <v>6543</v>
      </c>
      <c r="K939" s="13" t="s">
        <v>137</v>
      </c>
      <c r="L939" s="13" t="s">
        <v>5639</v>
      </c>
      <c r="M939" s="13" t="s">
        <v>6544</v>
      </c>
      <c r="N939" s="13">
        <v>92.3</v>
      </c>
      <c r="O939" s="13" t="s">
        <v>6545</v>
      </c>
      <c r="P939" s="13" t="s">
        <v>6546</v>
      </c>
      <c r="Q939" s="13" t="s">
        <v>143</v>
      </c>
      <c r="R939" s="13" t="s">
        <v>6547</v>
      </c>
      <c r="S939" s="13" t="s">
        <v>145</v>
      </c>
      <c r="T939" s="13" t="s">
        <v>146</v>
      </c>
      <c r="U939" s="13" t="s">
        <v>110</v>
      </c>
      <c r="V939" s="47">
        <f>SUMIF(Data!$E:$E,$I939,Data!$AI:$AI)</f>
        <v>0</v>
      </c>
    </row>
    <row r="940" spans="1:22" ht="15.75" x14ac:dyDescent="0.3">
      <c r="A940" s="54" t="s">
        <v>5840</v>
      </c>
      <c r="B940" s="55" t="s">
        <v>120</v>
      </c>
      <c r="C940" s="56" t="s">
        <v>4618</v>
      </c>
      <c r="D940" s="57">
        <v>5.0327200000000009E-3</v>
      </c>
      <c r="E940" s="47">
        <f>SUMIF(Data!$E:$E,$C940,Data!$AI:$AI)</f>
        <v>0</v>
      </c>
      <c r="G940" s="13" t="s">
        <v>6548</v>
      </c>
      <c r="H940" s="13" t="s">
        <v>6549</v>
      </c>
      <c r="I940" s="13" t="s">
        <v>6550</v>
      </c>
      <c r="J940" s="13" t="s">
        <v>6551</v>
      </c>
      <c r="K940" s="13" t="s">
        <v>137</v>
      </c>
      <c r="L940" s="13" t="s">
        <v>5639</v>
      </c>
      <c r="M940" s="13" t="s">
        <v>6552</v>
      </c>
      <c r="N940" s="13">
        <v>23.797999999999998</v>
      </c>
      <c r="O940" s="13" t="s">
        <v>6553</v>
      </c>
      <c r="P940" s="13" t="s">
        <v>6554</v>
      </c>
      <c r="Q940" s="13" t="s">
        <v>208</v>
      </c>
      <c r="R940" s="13" t="s">
        <v>6555</v>
      </c>
      <c r="S940" s="13" t="s">
        <v>642</v>
      </c>
      <c r="T940" s="13" t="s">
        <v>1275</v>
      </c>
      <c r="U940" s="13" t="s">
        <v>525</v>
      </c>
      <c r="V940" s="47">
        <f>SUMIF(Data!$E:$E,$I940,Data!$AI:$AI)</f>
        <v>0</v>
      </c>
    </row>
    <row r="941" spans="1:22" ht="15.75" x14ac:dyDescent="0.3">
      <c r="A941" s="54" t="s">
        <v>5840</v>
      </c>
      <c r="B941" s="55" t="s">
        <v>120</v>
      </c>
      <c r="C941" s="56" t="s">
        <v>4625</v>
      </c>
      <c r="D941" s="57">
        <v>1.5762129999999999E-2</v>
      </c>
      <c r="E941" s="47">
        <f>SUMIF(Data!$E:$E,$C941,Data!$AI:$AI)</f>
        <v>0</v>
      </c>
      <c r="G941" s="13" t="s">
        <v>6556</v>
      </c>
      <c r="H941" s="13" t="s">
        <v>6557</v>
      </c>
      <c r="I941" s="13" t="s">
        <v>6558</v>
      </c>
      <c r="J941" s="13" t="s">
        <v>6559</v>
      </c>
      <c r="K941" s="13" t="s">
        <v>137</v>
      </c>
      <c r="L941" s="13" t="s">
        <v>5639</v>
      </c>
      <c r="M941" s="13" t="s">
        <v>6560</v>
      </c>
      <c r="N941" s="13">
        <v>19.16</v>
      </c>
      <c r="O941" s="13" t="s">
        <v>6561</v>
      </c>
      <c r="P941" s="13" t="s">
        <v>6562</v>
      </c>
      <c r="Q941" s="13" t="s">
        <v>190</v>
      </c>
      <c r="R941" s="13" t="s">
        <v>6563</v>
      </c>
      <c r="S941" s="13" t="s">
        <v>192</v>
      </c>
      <c r="T941" s="13" t="s">
        <v>146</v>
      </c>
      <c r="U941" s="13" t="s">
        <v>110</v>
      </c>
      <c r="V941" s="47">
        <f>SUMIF(Data!$E:$E,$I941,Data!$AI:$AI)</f>
        <v>0</v>
      </c>
    </row>
    <row r="942" spans="1:22" ht="15.75" x14ac:dyDescent="0.3">
      <c r="A942" s="54" t="s">
        <v>5840</v>
      </c>
      <c r="B942" s="55" t="s">
        <v>120</v>
      </c>
      <c r="C942" s="56" t="s">
        <v>5682</v>
      </c>
      <c r="D942" s="57">
        <v>5.3587000000000003E-4</v>
      </c>
      <c r="E942" s="47">
        <f>SUMIF(Data!$E:$E,$C942,Data!$AI:$AI)</f>
        <v>0</v>
      </c>
      <c r="G942" s="13" t="s">
        <v>6564</v>
      </c>
      <c r="H942" s="13" t="s">
        <v>6565</v>
      </c>
      <c r="I942" s="13" t="s">
        <v>6566</v>
      </c>
      <c r="J942" s="13" t="s">
        <v>6567</v>
      </c>
      <c r="K942" s="13" t="s">
        <v>137</v>
      </c>
      <c r="L942" s="13" t="s">
        <v>5639</v>
      </c>
      <c r="M942" s="13" t="s">
        <v>6568</v>
      </c>
      <c r="N942" s="13">
        <v>109.02800000000001</v>
      </c>
      <c r="O942" s="13" t="s">
        <v>6569</v>
      </c>
      <c r="P942" s="13" t="s">
        <v>6570</v>
      </c>
      <c r="Q942" s="13" t="s">
        <v>162</v>
      </c>
      <c r="R942" s="13" t="s">
        <v>6571</v>
      </c>
      <c r="S942" s="13" t="s">
        <v>560</v>
      </c>
      <c r="T942" s="13" t="s">
        <v>561</v>
      </c>
      <c r="U942" s="13" t="s">
        <v>525</v>
      </c>
      <c r="V942" s="47">
        <f>SUMIF(Data!$E:$E,$I942,Data!$AI:$AI)</f>
        <v>0</v>
      </c>
    </row>
    <row r="943" spans="1:22" ht="15.75" x14ac:dyDescent="0.3">
      <c r="A943" s="54" t="s">
        <v>5840</v>
      </c>
      <c r="B943" s="55" t="s">
        <v>120</v>
      </c>
      <c r="C943" s="56" t="s">
        <v>4981</v>
      </c>
      <c r="D943" s="57">
        <v>6.5534099999999991E-3</v>
      </c>
      <c r="E943" s="47">
        <f>SUMIF(Data!$E:$E,$C943,Data!$AI:$AI)</f>
        <v>0</v>
      </c>
      <c r="G943" s="13" t="s">
        <v>6572</v>
      </c>
      <c r="H943" s="13" t="s">
        <v>6573</v>
      </c>
      <c r="I943" s="13" t="s">
        <v>6574</v>
      </c>
      <c r="J943" s="13" t="s">
        <v>6575</v>
      </c>
      <c r="K943" s="13" t="s">
        <v>137</v>
      </c>
      <c r="L943" s="13" t="s">
        <v>5639</v>
      </c>
      <c r="M943" s="13" t="s">
        <v>6576</v>
      </c>
      <c r="N943" s="13">
        <v>185.42699999999999</v>
      </c>
      <c r="O943" s="13" t="s">
        <v>6577</v>
      </c>
      <c r="P943" s="13" t="s">
        <v>6578</v>
      </c>
      <c r="Q943" s="13" t="s">
        <v>143</v>
      </c>
      <c r="R943" s="13" t="s">
        <v>6579</v>
      </c>
      <c r="S943" s="13" t="s">
        <v>476</v>
      </c>
      <c r="T943" s="13" t="s">
        <v>477</v>
      </c>
      <c r="U943" s="13" t="s">
        <v>478</v>
      </c>
      <c r="V943" s="47">
        <f>SUMIF(Data!$E:$E,$I943,Data!$AI:$AI)</f>
        <v>0</v>
      </c>
    </row>
    <row r="944" spans="1:22" ht="15.75" x14ac:dyDescent="0.3">
      <c r="A944" s="54" t="s">
        <v>5840</v>
      </c>
      <c r="B944" s="55" t="s">
        <v>120</v>
      </c>
      <c r="C944" s="56" t="s">
        <v>5138</v>
      </c>
      <c r="D944" s="57">
        <v>8.8172000000000001E-4</v>
      </c>
      <c r="E944" s="47">
        <f>SUMIF(Data!$E:$E,$C944,Data!$AI:$AI)</f>
        <v>0</v>
      </c>
      <c r="G944" s="13" t="s">
        <v>6580</v>
      </c>
      <c r="H944" s="13" t="s">
        <v>6581</v>
      </c>
      <c r="I944" s="13" t="s">
        <v>6582</v>
      </c>
      <c r="J944" s="13" t="s">
        <v>6583</v>
      </c>
      <c r="K944" s="13" t="s">
        <v>137</v>
      </c>
      <c r="L944" s="13" t="s">
        <v>5639</v>
      </c>
      <c r="M944" s="13" t="s">
        <v>6584</v>
      </c>
      <c r="N944" s="13">
        <v>750.19</v>
      </c>
      <c r="O944" s="13" t="s">
        <v>6585</v>
      </c>
      <c r="P944" s="13" t="s">
        <v>6586</v>
      </c>
      <c r="Q944" s="13" t="s">
        <v>694</v>
      </c>
      <c r="R944" s="13" t="s">
        <v>6587</v>
      </c>
      <c r="S944" s="13" t="s">
        <v>1127</v>
      </c>
      <c r="T944" s="13" t="s">
        <v>1128</v>
      </c>
      <c r="U944" s="13" t="s">
        <v>525</v>
      </c>
      <c r="V944" s="47">
        <f>SUMIF(Data!$E:$E,$I944,Data!$AI:$AI)</f>
        <v>0</v>
      </c>
    </row>
    <row r="945" spans="1:22" ht="15.75" x14ac:dyDescent="0.3">
      <c r="A945" s="54" t="s">
        <v>5840</v>
      </c>
      <c r="B945" s="55" t="s">
        <v>120</v>
      </c>
      <c r="C945" s="56" t="s">
        <v>5696</v>
      </c>
      <c r="D945" s="57">
        <v>1.2185200000000001E-3</v>
      </c>
      <c r="E945" s="47">
        <f>SUMIF(Data!$E:$E,$C945,Data!$AI:$AI)</f>
        <v>0</v>
      </c>
      <c r="G945" s="13" t="s">
        <v>6588</v>
      </c>
      <c r="H945" s="13" t="s">
        <v>6589</v>
      </c>
      <c r="I945" s="13" t="s">
        <v>6590</v>
      </c>
      <c r="J945" s="13" t="s">
        <v>6591</v>
      </c>
      <c r="K945" s="13" t="s">
        <v>137</v>
      </c>
      <c r="L945" s="13" t="s">
        <v>5639</v>
      </c>
      <c r="M945" s="13" t="s">
        <v>6592</v>
      </c>
      <c r="N945" s="13">
        <v>239.91900000000001</v>
      </c>
      <c r="O945" s="13" t="s">
        <v>6593</v>
      </c>
      <c r="P945" s="13" t="s">
        <v>6594</v>
      </c>
      <c r="Q945" s="13" t="s">
        <v>260</v>
      </c>
      <c r="R945" s="13" t="s">
        <v>6595</v>
      </c>
      <c r="S945" s="13" t="s">
        <v>192</v>
      </c>
      <c r="T945" s="13" t="s">
        <v>146</v>
      </c>
      <c r="U945" s="13" t="s">
        <v>110</v>
      </c>
      <c r="V945" s="47">
        <f>SUMIF(Data!$E:$E,$I945,Data!$AI:$AI)</f>
        <v>0</v>
      </c>
    </row>
    <row r="946" spans="1:22" ht="15.75" x14ac:dyDescent="0.3">
      <c r="A946" s="54" t="s">
        <v>5840</v>
      </c>
      <c r="B946" s="55" t="s">
        <v>120</v>
      </c>
      <c r="C946" s="56" t="s">
        <v>5528</v>
      </c>
      <c r="D946" s="57">
        <v>6.1102999999999993E-4</v>
      </c>
      <c r="E946" s="47">
        <f>SUMIF(Data!$E:$E,$C946,Data!$AI:$AI)</f>
        <v>0</v>
      </c>
      <c r="G946" s="13" t="s">
        <v>6596</v>
      </c>
      <c r="H946" s="13" t="s">
        <v>6597</v>
      </c>
      <c r="I946" s="13" t="s">
        <v>6598</v>
      </c>
      <c r="J946" s="13" t="s">
        <v>6599</v>
      </c>
      <c r="K946" s="13" t="s">
        <v>137</v>
      </c>
      <c r="L946" s="13" t="s">
        <v>5639</v>
      </c>
      <c r="M946" s="13" t="s">
        <v>6600</v>
      </c>
      <c r="N946" s="13">
        <v>119.345</v>
      </c>
      <c r="O946" s="13" t="s">
        <v>6601</v>
      </c>
      <c r="P946" s="13" t="s">
        <v>6602</v>
      </c>
      <c r="Q946" s="13" t="s">
        <v>734</v>
      </c>
      <c r="R946" s="13" t="s">
        <v>6603</v>
      </c>
      <c r="S946" s="13" t="s">
        <v>192</v>
      </c>
      <c r="T946" s="13" t="s">
        <v>146</v>
      </c>
      <c r="U946" s="13" t="s">
        <v>110</v>
      </c>
      <c r="V946" s="47">
        <f>SUMIF(Data!$E:$E,$I946,Data!$AI:$AI)</f>
        <v>0</v>
      </c>
    </row>
    <row r="947" spans="1:22" ht="15.75" x14ac:dyDescent="0.3">
      <c r="A947" s="54" t="s">
        <v>5840</v>
      </c>
      <c r="B947" s="55" t="s">
        <v>120</v>
      </c>
      <c r="C947" s="56" t="s">
        <v>6604</v>
      </c>
      <c r="D947" s="57">
        <v>1.76958E-3</v>
      </c>
      <c r="E947" s="47">
        <f>SUMIF(Data!$E:$E,$C947,Data!$AI:$AI)</f>
        <v>0</v>
      </c>
      <c r="G947" s="13" t="s">
        <v>6605</v>
      </c>
      <c r="H947" s="13" t="s">
        <v>6606</v>
      </c>
      <c r="I947" s="13" t="s">
        <v>6607</v>
      </c>
      <c r="J947" s="13" t="s">
        <v>6608</v>
      </c>
      <c r="K947" s="13" t="s">
        <v>137</v>
      </c>
      <c r="L947" s="13" t="s">
        <v>5639</v>
      </c>
      <c r="M947" s="13" t="s">
        <v>6609</v>
      </c>
      <c r="N947" s="13">
        <v>66.093000000000004</v>
      </c>
      <c r="O947" s="13" t="s">
        <v>6610</v>
      </c>
      <c r="P947" s="13" t="s">
        <v>6611</v>
      </c>
      <c r="Q947" s="13" t="s">
        <v>208</v>
      </c>
      <c r="R947" s="13" t="s">
        <v>6612</v>
      </c>
      <c r="S947" s="13" t="s">
        <v>192</v>
      </c>
      <c r="T947" s="13" t="s">
        <v>146</v>
      </c>
      <c r="U947" s="13" t="s">
        <v>110</v>
      </c>
      <c r="V947" s="47">
        <f>SUMIF(Data!$E:$E,$I947,Data!$AI:$AI)</f>
        <v>0</v>
      </c>
    </row>
    <row r="948" spans="1:22" ht="15.75" x14ac:dyDescent="0.3">
      <c r="A948" s="54" t="s">
        <v>5840</v>
      </c>
      <c r="B948" s="55" t="s">
        <v>120</v>
      </c>
      <c r="C948" s="56" t="s">
        <v>4838</v>
      </c>
      <c r="D948" s="57">
        <v>2.507057E-2</v>
      </c>
      <c r="E948" s="47">
        <f>SUMIF(Data!$E:$E,$C948,Data!$AI:$AI)</f>
        <v>0</v>
      </c>
      <c r="G948" s="13" t="s">
        <v>6613</v>
      </c>
      <c r="H948" s="13" t="s">
        <v>6614</v>
      </c>
      <c r="I948" s="13">
        <v>6988</v>
      </c>
      <c r="J948" s="13" t="s">
        <v>6615</v>
      </c>
      <c r="K948" s="13" t="s">
        <v>137</v>
      </c>
      <c r="L948" s="13" t="s">
        <v>5639</v>
      </c>
      <c r="M948" s="13" t="s">
        <v>6616</v>
      </c>
      <c r="N948" s="13">
        <v>89.131</v>
      </c>
      <c r="O948" s="13" t="s">
        <v>6617</v>
      </c>
      <c r="P948" s="13" t="s">
        <v>6618</v>
      </c>
      <c r="Q948" s="13" t="s">
        <v>734</v>
      </c>
      <c r="R948" s="13" t="s">
        <v>6619</v>
      </c>
      <c r="S948" s="13" t="s">
        <v>441</v>
      </c>
      <c r="T948" s="13" t="s">
        <v>442</v>
      </c>
      <c r="U948" s="13" t="s">
        <v>443</v>
      </c>
      <c r="V948" s="47">
        <f>SUMIF(Data!$E:$E,$I948,Data!$AI:$AI)</f>
        <v>0</v>
      </c>
    </row>
    <row r="949" spans="1:22" ht="15.75" x14ac:dyDescent="0.3">
      <c r="A949" s="54" t="s">
        <v>5840</v>
      </c>
      <c r="B949" s="55" t="s">
        <v>120</v>
      </c>
      <c r="C949" s="56" t="s">
        <v>5535</v>
      </c>
      <c r="D949" s="57">
        <v>3.7292E-4</v>
      </c>
      <c r="E949" s="47">
        <f>SUMIF(Data!$E:$E,$C949,Data!$AI:$AI)</f>
        <v>0</v>
      </c>
      <c r="G949" s="13" t="s">
        <v>6620</v>
      </c>
      <c r="H949" s="13" t="s">
        <v>6621</v>
      </c>
      <c r="I949" s="13" t="s">
        <v>6622</v>
      </c>
      <c r="J949" s="13" t="s">
        <v>6623</v>
      </c>
      <c r="K949" s="13" t="s">
        <v>137</v>
      </c>
      <c r="L949" s="13" t="s">
        <v>5639</v>
      </c>
      <c r="M949" s="13" t="s">
        <v>6624</v>
      </c>
      <c r="N949" s="13">
        <v>31.724</v>
      </c>
      <c r="O949" s="13" t="s">
        <v>6625</v>
      </c>
      <c r="P949" s="13" t="s">
        <v>6626</v>
      </c>
      <c r="Q949" s="13" t="s">
        <v>143</v>
      </c>
      <c r="R949" s="13" t="s">
        <v>6627</v>
      </c>
      <c r="S949" s="13" t="s">
        <v>226</v>
      </c>
      <c r="T949" s="13" t="s">
        <v>227</v>
      </c>
      <c r="U949" s="13" t="s">
        <v>228</v>
      </c>
      <c r="V949" s="47">
        <f>SUMIF(Data!$E:$E,$I949,Data!$AI:$AI)</f>
        <v>0</v>
      </c>
    </row>
    <row r="950" spans="1:22" ht="15.75" x14ac:dyDescent="0.3">
      <c r="A950" s="54" t="s">
        <v>5840</v>
      </c>
      <c r="B950" s="55" t="s">
        <v>120</v>
      </c>
      <c r="C950" s="56" t="s">
        <v>4845</v>
      </c>
      <c r="D950" s="57">
        <v>1.3133269999999999E-2</v>
      </c>
      <c r="E950" s="47">
        <f>SUMIF(Data!$E:$E,$C950,Data!$AI:$AI)</f>
        <v>0</v>
      </c>
      <c r="G950" s="13" t="s">
        <v>6628</v>
      </c>
      <c r="H950" s="13" t="s">
        <v>6629</v>
      </c>
      <c r="I950" s="13" t="s">
        <v>6630</v>
      </c>
      <c r="J950" s="13" t="s">
        <v>6631</v>
      </c>
      <c r="K950" s="13" t="s">
        <v>137</v>
      </c>
      <c r="L950" s="13" t="s">
        <v>5639</v>
      </c>
      <c r="M950" s="13" t="s">
        <v>6632</v>
      </c>
      <c r="N950" s="13">
        <v>141.67099999999999</v>
      </c>
      <c r="O950" s="13" t="s">
        <v>6633</v>
      </c>
      <c r="P950" s="13" t="s">
        <v>6634</v>
      </c>
      <c r="Q950" s="13" t="s">
        <v>162</v>
      </c>
      <c r="R950" s="13" t="s">
        <v>6635</v>
      </c>
      <c r="S950" s="13" t="s">
        <v>476</v>
      </c>
      <c r="T950" s="13" t="s">
        <v>477</v>
      </c>
      <c r="U950" s="13" t="s">
        <v>478</v>
      </c>
      <c r="V950" s="47">
        <f>SUMIF(Data!$E:$E,$I950,Data!$AI:$AI)</f>
        <v>0</v>
      </c>
    </row>
    <row r="951" spans="1:22" ht="15.75" x14ac:dyDescent="0.3">
      <c r="A951" s="54" t="s">
        <v>5840</v>
      </c>
      <c r="B951" s="55" t="s">
        <v>120</v>
      </c>
      <c r="C951" s="56" t="s">
        <v>4560</v>
      </c>
      <c r="D951" s="57">
        <v>2.84126E-3</v>
      </c>
      <c r="E951" s="47">
        <f>SUMIF(Data!$E:$E,$C951,Data!$AI:$AI)</f>
        <v>0</v>
      </c>
      <c r="G951" s="13" t="s">
        <v>6636</v>
      </c>
      <c r="H951" s="13" t="s">
        <v>6637</v>
      </c>
      <c r="I951" s="13" t="s">
        <v>6638</v>
      </c>
      <c r="J951" s="13" t="s">
        <v>6639</v>
      </c>
      <c r="K951" s="13" t="s">
        <v>137</v>
      </c>
      <c r="L951" s="13" t="s">
        <v>5639</v>
      </c>
      <c r="M951" s="13" t="s">
        <v>6640</v>
      </c>
      <c r="N951" s="13">
        <v>20.155999999999999</v>
      </c>
      <c r="O951" s="13" t="s">
        <v>6641</v>
      </c>
      <c r="P951" s="13" t="s">
        <v>6642</v>
      </c>
      <c r="Q951" s="13" t="s">
        <v>416</v>
      </c>
      <c r="R951" s="13" t="s">
        <v>6643</v>
      </c>
      <c r="S951" s="13" t="s">
        <v>192</v>
      </c>
      <c r="T951" s="13" t="s">
        <v>146</v>
      </c>
      <c r="U951" s="13" t="s">
        <v>110</v>
      </c>
      <c r="V951" s="47">
        <f>SUMIF(Data!$E:$E,$I951,Data!$AI:$AI)</f>
        <v>0</v>
      </c>
    </row>
    <row r="952" spans="1:22" ht="15.75" x14ac:dyDescent="0.3">
      <c r="A952" s="54" t="s">
        <v>5840</v>
      </c>
      <c r="B952" s="55" t="s">
        <v>120</v>
      </c>
      <c r="C952" s="56" t="s">
        <v>5150</v>
      </c>
      <c r="D952" s="57">
        <v>9.8324999999999997E-4</v>
      </c>
      <c r="E952" s="47">
        <f>SUMIF(Data!$E:$E,$C952,Data!$AI:$AI)</f>
        <v>0</v>
      </c>
      <c r="G952" s="13" t="s">
        <v>6644</v>
      </c>
      <c r="H952" s="13" t="s">
        <v>6645</v>
      </c>
      <c r="I952" s="13" t="s">
        <v>6646</v>
      </c>
      <c r="J952" s="13" t="s">
        <v>6647</v>
      </c>
      <c r="K952" s="13" t="s">
        <v>137</v>
      </c>
      <c r="L952" s="13" t="s">
        <v>5639</v>
      </c>
      <c r="M952" s="13" t="s">
        <v>6648</v>
      </c>
      <c r="N952" s="13">
        <v>119.086</v>
      </c>
      <c r="O952" s="13" t="s">
        <v>6649</v>
      </c>
      <c r="P952" s="13" t="s">
        <v>6650</v>
      </c>
      <c r="Q952" s="13" t="s">
        <v>416</v>
      </c>
      <c r="R952" s="13" t="s">
        <v>6651</v>
      </c>
      <c r="S952" s="13" t="s">
        <v>560</v>
      </c>
      <c r="T952" s="13" t="s">
        <v>561</v>
      </c>
      <c r="U952" s="13" t="s">
        <v>525</v>
      </c>
      <c r="V952" s="47">
        <f>SUMIF(Data!$E:$E,$I952,Data!$AI:$AI)</f>
        <v>0</v>
      </c>
    </row>
    <row r="953" spans="1:22" ht="15.75" x14ac:dyDescent="0.3">
      <c r="A953" s="54" t="s">
        <v>5840</v>
      </c>
      <c r="B953" s="55" t="s">
        <v>120</v>
      </c>
      <c r="C953" s="56" t="s">
        <v>4852</v>
      </c>
      <c r="D953" s="57">
        <v>0.19919595000000001</v>
      </c>
      <c r="E953" s="47">
        <f>SUMIF(Data!$E:$E,$C953,Data!$AI:$AI)</f>
        <v>0</v>
      </c>
      <c r="G953" s="13" t="s">
        <v>6652</v>
      </c>
      <c r="H953" s="13" t="s">
        <v>6653</v>
      </c>
      <c r="I953" s="13" t="s">
        <v>6654</v>
      </c>
      <c r="J953" s="13" t="s">
        <v>6655</v>
      </c>
      <c r="K953" s="13" t="s">
        <v>137</v>
      </c>
      <c r="L953" s="13" t="s">
        <v>5639</v>
      </c>
      <c r="M953" s="13" t="s">
        <v>6656</v>
      </c>
      <c r="N953" s="13">
        <v>63.723999999999997</v>
      </c>
      <c r="O953" s="13" t="s">
        <v>6657</v>
      </c>
      <c r="P953" s="13" t="s">
        <v>6658</v>
      </c>
      <c r="Q953" s="13" t="s">
        <v>416</v>
      </c>
      <c r="R953" s="13" t="s">
        <v>6659</v>
      </c>
      <c r="S953" s="13" t="s">
        <v>192</v>
      </c>
      <c r="T953" s="13" t="s">
        <v>146</v>
      </c>
      <c r="U953" s="13" t="s">
        <v>110</v>
      </c>
      <c r="V953" s="47">
        <f>SUMIF(Data!$E:$E,$I953,Data!$AI:$AI)</f>
        <v>0</v>
      </c>
    </row>
    <row r="954" spans="1:22" ht="15.75" x14ac:dyDescent="0.3">
      <c r="A954" s="54" t="s">
        <v>5840</v>
      </c>
      <c r="B954" s="55" t="s">
        <v>120</v>
      </c>
      <c r="C954" s="56" t="s">
        <v>5002</v>
      </c>
      <c r="D954" s="57">
        <v>6.1106600000000004E-3</v>
      </c>
      <c r="E954" s="47">
        <f>SUMIF(Data!$E:$E,$C954,Data!$AI:$AI)</f>
        <v>0</v>
      </c>
      <c r="G954" s="13" t="s">
        <v>6660</v>
      </c>
      <c r="H954" s="13" t="s">
        <v>6661</v>
      </c>
      <c r="I954" s="13">
        <v>288</v>
      </c>
      <c r="J954" s="13" t="s">
        <v>6662</v>
      </c>
      <c r="K954" s="13" t="s">
        <v>137</v>
      </c>
      <c r="L954" s="13" t="s">
        <v>5639</v>
      </c>
      <c r="M954" s="13" t="s">
        <v>6663</v>
      </c>
      <c r="N954" s="13" t="s">
        <v>6664</v>
      </c>
      <c r="O954" s="13" t="s">
        <v>6665</v>
      </c>
      <c r="P954" s="13" t="s">
        <v>6666</v>
      </c>
      <c r="Q954" s="13" t="s">
        <v>224</v>
      </c>
      <c r="R954" s="13" t="s">
        <v>6667</v>
      </c>
      <c r="S954" s="13" t="s">
        <v>549</v>
      </c>
      <c r="T954" s="13" t="s">
        <v>550</v>
      </c>
      <c r="U954" s="13" t="s">
        <v>551</v>
      </c>
      <c r="V954" s="47">
        <f>SUMIF(Data!$E:$E,$I954,Data!$AI:$AI)</f>
        <v>0</v>
      </c>
    </row>
    <row r="955" spans="1:22" ht="15.75" x14ac:dyDescent="0.3">
      <c r="A955" s="54" t="s">
        <v>5840</v>
      </c>
      <c r="B955" s="55" t="s">
        <v>120</v>
      </c>
      <c r="C955" s="56" t="s">
        <v>4859</v>
      </c>
      <c r="D955" s="57">
        <v>3.24501E-3</v>
      </c>
      <c r="E955" s="47">
        <f>SUMIF(Data!$E:$E,$C955,Data!$AI:$AI)</f>
        <v>0</v>
      </c>
      <c r="G955" s="13" t="s">
        <v>6668</v>
      </c>
      <c r="H955" s="13" t="s">
        <v>6669</v>
      </c>
      <c r="I955" s="13">
        <v>3402</v>
      </c>
      <c r="J955" s="13" t="s">
        <v>6670</v>
      </c>
      <c r="K955" s="13" t="s">
        <v>137</v>
      </c>
      <c r="L955" s="13" t="s">
        <v>5639</v>
      </c>
      <c r="M955" s="13" t="s">
        <v>6671</v>
      </c>
      <c r="N955" s="13">
        <v>735.553</v>
      </c>
      <c r="O955" s="13" t="s">
        <v>6672</v>
      </c>
      <c r="P955" s="13" t="s">
        <v>6673</v>
      </c>
      <c r="Q955" s="13" t="s">
        <v>734</v>
      </c>
      <c r="R955" s="13" t="s">
        <v>6674</v>
      </c>
      <c r="S955" s="13" t="s">
        <v>441</v>
      </c>
      <c r="T955" s="13" t="s">
        <v>442</v>
      </c>
      <c r="U955" s="13" t="s">
        <v>443</v>
      </c>
      <c r="V955" s="47">
        <f>SUMIF(Data!$E:$E,$I955,Data!$AI:$AI)</f>
        <v>0</v>
      </c>
    </row>
    <row r="956" spans="1:22" ht="15.75" x14ac:dyDescent="0.3">
      <c r="A956" s="54" t="s">
        <v>5840</v>
      </c>
      <c r="B956" s="55" t="s">
        <v>120</v>
      </c>
      <c r="C956" s="56" t="s">
        <v>5163</v>
      </c>
      <c r="D956" s="57">
        <v>7.2783000000000006E-4</v>
      </c>
      <c r="E956" s="47">
        <f>SUMIF(Data!$E:$E,$C956,Data!$AI:$AI)</f>
        <v>0</v>
      </c>
      <c r="G956" s="13" t="s">
        <v>6675</v>
      </c>
      <c r="H956" s="13" t="s">
        <v>6676</v>
      </c>
      <c r="I956" s="13" t="s">
        <v>6677</v>
      </c>
      <c r="J956" s="13" t="s">
        <v>6678</v>
      </c>
      <c r="K956" s="13" t="s">
        <v>137</v>
      </c>
      <c r="L956" s="13" t="s">
        <v>5639</v>
      </c>
      <c r="M956" s="13" t="s">
        <v>6679</v>
      </c>
      <c r="N956" s="13">
        <v>69.625</v>
      </c>
      <c r="O956" s="13" t="s">
        <v>6680</v>
      </c>
      <c r="P956" s="13" t="s">
        <v>6681</v>
      </c>
      <c r="Q956" s="13" t="s">
        <v>734</v>
      </c>
      <c r="R956" s="13" t="s">
        <v>6682</v>
      </c>
      <c r="S956" s="13" t="s">
        <v>192</v>
      </c>
      <c r="T956" s="13" t="s">
        <v>146</v>
      </c>
      <c r="U956" s="13" t="s">
        <v>110</v>
      </c>
      <c r="V956" s="47">
        <f>SUMIF(Data!$E:$E,$I956,Data!$AI:$AI)</f>
        <v>0</v>
      </c>
    </row>
    <row r="957" spans="1:22" ht="15.75" x14ac:dyDescent="0.3">
      <c r="A957" s="54" t="s">
        <v>5840</v>
      </c>
      <c r="B957" s="55" t="s">
        <v>120</v>
      </c>
      <c r="C957" s="56" t="s">
        <v>5542</v>
      </c>
      <c r="D957" s="57">
        <v>4.0158000000000001E-4</v>
      </c>
      <c r="E957" s="47">
        <f>SUMIF(Data!$E:$E,$C957,Data!$AI:$AI)</f>
        <v>0</v>
      </c>
      <c r="G957" s="13" t="s">
        <v>6683</v>
      </c>
      <c r="H957" s="13" t="s">
        <v>6684</v>
      </c>
      <c r="I957" s="13" t="s">
        <v>6685</v>
      </c>
      <c r="J957" s="13" t="s">
        <v>6686</v>
      </c>
      <c r="K957" s="13" t="s">
        <v>137</v>
      </c>
      <c r="L957" s="13" t="s">
        <v>5639</v>
      </c>
      <c r="M957" s="13" t="s">
        <v>6687</v>
      </c>
      <c r="N957" s="13">
        <v>289.02699999999999</v>
      </c>
      <c r="O957" s="13" t="s">
        <v>6688</v>
      </c>
      <c r="P957" s="13" t="s">
        <v>6689</v>
      </c>
      <c r="Q957" s="13" t="s">
        <v>416</v>
      </c>
      <c r="R957" s="13" t="s">
        <v>6690</v>
      </c>
      <c r="S957" s="13" t="s">
        <v>560</v>
      </c>
      <c r="T957" s="13" t="s">
        <v>561</v>
      </c>
      <c r="U957" s="13" t="s">
        <v>525</v>
      </c>
      <c r="V957" s="47">
        <f>SUMIF(Data!$E:$E,$I957,Data!$AI:$AI)</f>
        <v>0</v>
      </c>
    </row>
    <row r="958" spans="1:22" ht="15.75" x14ac:dyDescent="0.3">
      <c r="A958" s="54" t="s">
        <v>5840</v>
      </c>
      <c r="B958" s="55" t="s">
        <v>120</v>
      </c>
      <c r="C958" s="56" t="s">
        <v>4475</v>
      </c>
      <c r="D958" s="57">
        <v>2.7813000000000002E-4</v>
      </c>
      <c r="E958" s="47">
        <f>SUMIF(Data!$E:$E,$C958,Data!$AI:$AI)</f>
        <v>0</v>
      </c>
      <c r="G958" s="13" t="s">
        <v>6691</v>
      </c>
      <c r="H958" s="13" t="s">
        <v>6692</v>
      </c>
      <c r="I958" s="13" t="s">
        <v>5313</v>
      </c>
      <c r="J958" s="13" t="s">
        <v>6693</v>
      </c>
      <c r="K958" s="13" t="s">
        <v>137</v>
      </c>
      <c r="L958" s="13" t="s">
        <v>5639</v>
      </c>
      <c r="M958" s="13" t="s">
        <v>6694</v>
      </c>
      <c r="N958" s="13">
        <v>30.789000000000001</v>
      </c>
      <c r="O958" s="13" t="s">
        <v>6695</v>
      </c>
      <c r="P958" s="13" t="s">
        <v>6696</v>
      </c>
      <c r="Q958" s="13" t="s">
        <v>208</v>
      </c>
      <c r="R958" s="13" t="s">
        <v>6697</v>
      </c>
      <c r="S958" s="13" t="s">
        <v>847</v>
      </c>
      <c r="T958" s="13" t="s">
        <v>848</v>
      </c>
      <c r="U958" s="13" t="s">
        <v>849</v>
      </c>
      <c r="V958" s="47">
        <f>SUMIF(Data!$E:$E,$I958,Data!$AI:$AI)</f>
        <v>0</v>
      </c>
    </row>
    <row r="959" spans="1:22" ht="15.75" x14ac:dyDescent="0.3">
      <c r="A959" s="54" t="s">
        <v>5840</v>
      </c>
      <c r="B959" s="55" t="s">
        <v>120</v>
      </c>
      <c r="C959" s="56" t="s">
        <v>5016</v>
      </c>
      <c r="D959" s="57">
        <v>1.3683540000000001E-2</v>
      </c>
      <c r="E959" s="47">
        <f>SUMIF(Data!$E:$E,$C959,Data!$AI:$AI)</f>
        <v>0</v>
      </c>
      <c r="G959" s="13" t="s">
        <v>6698</v>
      </c>
      <c r="H959" s="13" t="s">
        <v>6699</v>
      </c>
      <c r="I959" s="13" t="s">
        <v>6700</v>
      </c>
      <c r="J959" s="13" t="s">
        <v>6701</v>
      </c>
      <c r="K959" s="13" t="s">
        <v>137</v>
      </c>
      <c r="L959" s="13" t="s">
        <v>5639</v>
      </c>
      <c r="M959" s="13" t="s">
        <v>6702</v>
      </c>
      <c r="N959" s="13">
        <v>108.346</v>
      </c>
      <c r="O959" s="13" t="s">
        <v>6703</v>
      </c>
      <c r="P959" s="13" t="s">
        <v>6704</v>
      </c>
      <c r="Q959" s="13" t="s">
        <v>172</v>
      </c>
      <c r="R959" s="13" t="s">
        <v>6705</v>
      </c>
      <c r="S959" s="13" t="s">
        <v>145</v>
      </c>
      <c r="T959" s="13" t="s">
        <v>146</v>
      </c>
      <c r="U959" s="13" t="s">
        <v>110</v>
      </c>
      <c r="V959" s="47">
        <f>SUMIF(Data!$E:$E,$I959,Data!$AI:$AI)</f>
        <v>0</v>
      </c>
    </row>
    <row r="960" spans="1:22" ht="15.75" x14ac:dyDescent="0.3">
      <c r="A960" s="54" t="s">
        <v>5840</v>
      </c>
      <c r="B960" s="55" t="s">
        <v>120</v>
      </c>
      <c r="C960" s="56" t="s">
        <v>4510</v>
      </c>
      <c r="D960" s="57">
        <v>4.2264999999999995E-4</v>
      </c>
      <c r="E960" s="47">
        <f>SUMIF(Data!$E:$E,$C960,Data!$AI:$AI)</f>
        <v>0</v>
      </c>
      <c r="G960" s="13" t="s">
        <v>6706</v>
      </c>
      <c r="H960" s="13" t="s">
        <v>6707</v>
      </c>
      <c r="I960" s="13" t="s">
        <v>6708</v>
      </c>
      <c r="J960" s="13" t="s">
        <v>6709</v>
      </c>
      <c r="K960" s="13" t="s">
        <v>137</v>
      </c>
      <c r="L960" s="13" t="s">
        <v>5639</v>
      </c>
      <c r="M960" s="13" t="s">
        <v>6710</v>
      </c>
      <c r="N960" s="13" t="s">
        <v>6711</v>
      </c>
      <c r="O960" s="13" t="s">
        <v>6712</v>
      </c>
      <c r="P960" s="13" t="s">
        <v>6713</v>
      </c>
      <c r="Q960" s="13" t="s">
        <v>190</v>
      </c>
      <c r="R960" s="13" t="s">
        <v>6714</v>
      </c>
      <c r="S960" s="13" t="s">
        <v>476</v>
      </c>
      <c r="T960" s="13" t="s">
        <v>477</v>
      </c>
      <c r="U960" s="13" t="s">
        <v>478</v>
      </c>
      <c r="V960" s="47">
        <f>SUMIF(Data!$E:$E,$I960,Data!$AI:$AI)</f>
        <v>0</v>
      </c>
    </row>
    <row r="961" spans="1:22" ht="15.75" x14ac:dyDescent="0.3">
      <c r="A961" s="54" t="s">
        <v>5840</v>
      </c>
      <c r="B961" s="55" t="s">
        <v>120</v>
      </c>
      <c r="C961" s="56" t="s">
        <v>4006</v>
      </c>
      <c r="D961" s="57">
        <v>1.2935900000000001E-3</v>
      </c>
      <c r="E961" s="47">
        <f>SUMIF(Data!$E:$E,$C961,Data!$AI:$AI)</f>
        <v>0</v>
      </c>
      <c r="G961" s="13" t="s">
        <v>6715</v>
      </c>
      <c r="H961" s="13" t="s">
        <v>6716</v>
      </c>
      <c r="I961" s="13" t="s">
        <v>6717</v>
      </c>
      <c r="J961" s="13" t="s">
        <v>6718</v>
      </c>
      <c r="K961" s="13" t="s">
        <v>137</v>
      </c>
      <c r="L961" s="13" t="s">
        <v>5639</v>
      </c>
      <c r="M961" s="13" t="s">
        <v>6719</v>
      </c>
      <c r="N961" s="13">
        <v>102.94</v>
      </c>
      <c r="O961" s="13" t="s">
        <v>6720</v>
      </c>
      <c r="P961" s="13" t="s">
        <v>6721</v>
      </c>
      <c r="Q961" s="13" t="s">
        <v>224</v>
      </c>
      <c r="R961" s="13" t="s">
        <v>6722</v>
      </c>
      <c r="S961" s="13" t="s">
        <v>192</v>
      </c>
      <c r="T961" s="13" t="s">
        <v>146</v>
      </c>
      <c r="U961" s="13" t="s">
        <v>110</v>
      </c>
      <c r="V961" s="47">
        <f>SUMIF(Data!$E:$E,$I961,Data!$AI:$AI)</f>
        <v>0</v>
      </c>
    </row>
    <row r="962" spans="1:22" ht="15.75" x14ac:dyDescent="0.3">
      <c r="A962" s="54" t="s">
        <v>5840</v>
      </c>
      <c r="B962" s="55" t="s">
        <v>120</v>
      </c>
      <c r="C962" s="56" t="s">
        <v>1852</v>
      </c>
      <c r="D962" s="57">
        <v>4.7009000000000005E-4</v>
      </c>
      <c r="E962" s="47">
        <f>SUMIF(Data!$E:$E,$C962,Data!$AI:$AI)</f>
        <v>0</v>
      </c>
      <c r="G962" s="13" t="s">
        <v>6723</v>
      </c>
      <c r="H962" s="13" t="s">
        <v>6724</v>
      </c>
      <c r="I962" s="13" t="s">
        <v>6725</v>
      </c>
      <c r="J962" s="13" t="s">
        <v>6726</v>
      </c>
      <c r="K962" s="13" t="s">
        <v>137</v>
      </c>
      <c r="L962" s="13" t="s">
        <v>5639</v>
      </c>
      <c r="M962" s="13" t="s">
        <v>6727</v>
      </c>
      <c r="N962" s="13">
        <v>81.399000000000001</v>
      </c>
      <c r="O962" s="13" t="s">
        <v>6728</v>
      </c>
      <c r="P962" s="13" t="s">
        <v>6729</v>
      </c>
      <c r="Q962" s="13" t="s">
        <v>806</v>
      </c>
      <c r="R962" s="13" t="s">
        <v>6730</v>
      </c>
      <c r="S962" s="13" t="s">
        <v>192</v>
      </c>
      <c r="T962" s="13" t="s">
        <v>146</v>
      </c>
      <c r="U962" s="13" t="s">
        <v>110</v>
      </c>
      <c r="V962" s="47">
        <f>SUMIF(Data!$E:$E,$I962,Data!$AI:$AI)</f>
        <v>0</v>
      </c>
    </row>
    <row r="963" spans="1:22" ht="15.75" x14ac:dyDescent="0.3">
      <c r="A963" s="54" t="s">
        <v>5840</v>
      </c>
      <c r="B963" s="55" t="s">
        <v>120</v>
      </c>
      <c r="C963" s="56" t="s">
        <v>5170</v>
      </c>
      <c r="D963" s="57">
        <v>3.0369000000000004E-3</v>
      </c>
      <c r="E963" s="47">
        <f>SUMIF(Data!$E:$E,$C963,Data!$AI:$AI)</f>
        <v>0</v>
      </c>
      <c r="G963" s="13" t="s">
        <v>6731</v>
      </c>
      <c r="H963" s="13" t="s">
        <v>6732</v>
      </c>
      <c r="I963" s="13" t="s">
        <v>6733</v>
      </c>
      <c r="J963" s="13" t="s">
        <v>6734</v>
      </c>
      <c r="K963" s="13" t="s">
        <v>137</v>
      </c>
      <c r="L963" s="13" t="s">
        <v>5639</v>
      </c>
      <c r="M963" s="13" t="s">
        <v>6735</v>
      </c>
      <c r="N963" s="13">
        <v>101.774</v>
      </c>
      <c r="O963" s="13" t="s">
        <v>6736</v>
      </c>
      <c r="P963" s="13" t="s">
        <v>6737</v>
      </c>
      <c r="Q963" s="13" t="s">
        <v>734</v>
      </c>
      <c r="R963" s="13" t="s">
        <v>6738</v>
      </c>
      <c r="S963" s="13" t="s">
        <v>1274</v>
      </c>
      <c r="T963" s="13" t="s">
        <v>1275</v>
      </c>
      <c r="U963" s="13" t="s">
        <v>525</v>
      </c>
      <c r="V963" s="47">
        <f>SUMIF(Data!$E:$E,$I963,Data!$AI:$AI)</f>
        <v>0</v>
      </c>
    </row>
    <row r="964" spans="1:22" ht="15.75" x14ac:dyDescent="0.3">
      <c r="A964" s="54" t="s">
        <v>5840</v>
      </c>
      <c r="B964" s="55" t="s">
        <v>120</v>
      </c>
      <c r="C964" s="56" t="s">
        <v>5560</v>
      </c>
      <c r="D964" s="57">
        <v>1.03976E-3</v>
      </c>
      <c r="E964" s="47">
        <f>SUMIF(Data!$E:$E,$C964,Data!$AI:$AI)</f>
        <v>0</v>
      </c>
      <c r="G964" s="13" t="s">
        <v>6739</v>
      </c>
      <c r="H964" s="13" t="s">
        <v>6740</v>
      </c>
      <c r="I964" s="13" t="s">
        <v>6741</v>
      </c>
      <c r="J964" s="13" t="s">
        <v>6742</v>
      </c>
      <c r="K964" s="13" t="s">
        <v>137</v>
      </c>
      <c r="L964" s="13" t="s">
        <v>5639</v>
      </c>
      <c r="M964" s="13" t="s">
        <v>6743</v>
      </c>
      <c r="N964" s="13">
        <v>39.975999999999999</v>
      </c>
      <c r="O964" s="13" t="s">
        <v>6744</v>
      </c>
      <c r="P964" s="13" t="s">
        <v>6745</v>
      </c>
      <c r="Q964" s="13" t="s">
        <v>162</v>
      </c>
      <c r="R964" s="13" t="s">
        <v>6746</v>
      </c>
      <c r="S964" s="13" t="s">
        <v>2410</v>
      </c>
      <c r="T964" s="13" t="s">
        <v>1282</v>
      </c>
      <c r="U964" s="13" t="s">
        <v>525</v>
      </c>
      <c r="V964" s="47">
        <f>SUMIF(Data!$E:$E,$I964,Data!$AI:$AI)</f>
        <v>0</v>
      </c>
    </row>
    <row r="965" spans="1:22" ht="15.75" x14ac:dyDescent="0.3">
      <c r="A965" s="54" t="s">
        <v>5840</v>
      </c>
      <c r="B965" s="55" t="s">
        <v>120</v>
      </c>
      <c r="C965" s="56" t="s">
        <v>6747</v>
      </c>
      <c r="D965" s="57">
        <v>1.6850300000000001E-3</v>
      </c>
      <c r="E965" s="47">
        <f>SUMIF(Data!$E:$E,$C965,Data!$AI:$AI)</f>
        <v>0</v>
      </c>
      <c r="G965" s="13" t="s">
        <v>6748</v>
      </c>
      <c r="H965" s="13" t="s">
        <v>6749</v>
      </c>
      <c r="I965" s="13" t="s">
        <v>6750</v>
      </c>
      <c r="J965" s="13" t="s">
        <v>6751</v>
      </c>
      <c r="K965" s="13" t="s">
        <v>137</v>
      </c>
      <c r="L965" s="13" t="s">
        <v>5639</v>
      </c>
      <c r="M965" s="13" t="s">
        <v>6752</v>
      </c>
      <c r="N965" s="13">
        <v>107.343</v>
      </c>
      <c r="O965" s="13" t="s">
        <v>6753</v>
      </c>
      <c r="P965" s="13" t="s">
        <v>6754</v>
      </c>
      <c r="Q965" s="13" t="s">
        <v>172</v>
      </c>
      <c r="R965" s="13" t="s">
        <v>6755</v>
      </c>
      <c r="S965" s="13" t="s">
        <v>145</v>
      </c>
      <c r="T965" s="13" t="s">
        <v>146</v>
      </c>
      <c r="U965" s="13" t="s">
        <v>110</v>
      </c>
      <c r="V965" s="47">
        <f>SUMIF(Data!$E:$E,$I965,Data!$AI:$AI)</f>
        <v>0</v>
      </c>
    </row>
    <row r="966" spans="1:22" ht="15.75" x14ac:dyDescent="0.3">
      <c r="A966" s="54" t="s">
        <v>5840</v>
      </c>
      <c r="B966" s="55" t="s">
        <v>120</v>
      </c>
      <c r="C966" s="56" t="s">
        <v>6756</v>
      </c>
      <c r="D966" s="57">
        <v>5.2597300000000007E-3</v>
      </c>
      <c r="E966" s="47">
        <f>SUMIF(Data!$E:$E,$C966,Data!$AI:$AI)</f>
        <v>0</v>
      </c>
      <c r="G966" s="13" t="s">
        <v>6757</v>
      </c>
      <c r="H966" s="13" t="s">
        <v>6758</v>
      </c>
      <c r="I966" s="13" t="s">
        <v>6759</v>
      </c>
      <c r="J966" s="13" t="s">
        <v>6760</v>
      </c>
      <c r="K966" s="13" t="s">
        <v>137</v>
      </c>
      <c r="L966" s="13" t="s">
        <v>5639</v>
      </c>
      <c r="M966" s="13" t="s">
        <v>6018</v>
      </c>
      <c r="N966" s="13">
        <v>82.698999999999998</v>
      </c>
      <c r="O966" s="13" t="s">
        <v>6761</v>
      </c>
      <c r="P966" s="13" t="s">
        <v>6762</v>
      </c>
      <c r="Q966" s="13" t="s">
        <v>416</v>
      </c>
      <c r="R966" s="13" t="s">
        <v>6763</v>
      </c>
      <c r="S966" s="13" t="s">
        <v>192</v>
      </c>
      <c r="T966" s="13" t="s">
        <v>146</v>
      </c>
      <c r="U966" s="13" t="s">
        <v>110</v>
      </c>
      <c r="V966" s="47">
        <f>SUMIF(Data!$E:$E,$I966,Data!$AI:$AI)</f>
        <v>0</v>
      </c>
    </row>
    <row r="967" spans="1:22" ht="15.75" x14ac:dyDescent="0.3">
      <c r="A967" s="54" t="s">
        <v>5840</v>
      </c>
      <c r="B967" s="55" t="s">
        <v>120</v>
      </c>
      <c r="C967" s="56" t="s">
        <v>5406</v>
      </c>
      <c r="D967" s="57">
        <v>4.1849000000000001E-3</v>
      </c>
      <c r="E967" s="47">
        <f>SUMIF(Data!$E:$E,$C967,Data!$AI:$AI)</f>
        <v>0</v>
      </c>
      <c r="G967" s="13" t="s">
        <v>6764</v>
      </c>
      <c r="H967" s="13" t="s">
        <v>6765</v>
      </c>
      <c r="I967" s="13" t="s">
        <v>6766</v>
      </c>
      <c r="J967" s="13" t="s">
        <v>6767</v>
      </c>
      <c r="K967" s="13" t="s">
        <v>137</v>
      </c>
      <c r="L967" s="13" t="s">
        <v>5639</v>
      </c>
      <c r="M967" s="13" t="s">
        <v>6768</v>
      </c>
      <c r="N967" s="13">
        <v>5.88</v>
      </c>
      <c r="O967" s="13" t="s">
        <v>6769</v>
      </c>
      <c r="P967" s="13" t="s">
        <v>6770</v>
      </c>
      <c r="Q967" s="13" t="s">
        <v>143</v>
      </c>
      <c r="R967" s="13" t="s">
        <v>6771</v>
      </c>
      <c r="S967" s="13" t="s">
        <v>642</v>
      </c>
      <c r="T967" s="13" t="s">
        <v>643</v>
      </c>
      <c r="U967" s="13" t="s">
        <v>525</v>
      </c>
      <c r="V967" s="47">
        <f>SUMIF(Data!$E:$E,$I967,Data!$AI:$AI)</f>
        <v>0</v>
      </c>
    </row>
    <row r="968" spans="1:22" ht="15.75" x14ac:dyDescent="0.3">
      <c r="A968" s="54" t="s">
        <v>5840</v>
      </c>
      <c r="B968" s="55" t="s">
        <v>120</v>
      </c>
      <c r="C968" s="56" t="s">
        <v>4567</v>
      </c>
      <c r="D968" s="57">
        <v>5.9999999999999995E-4</v>
      </c>
      <c r="E968" s="47">
        <f>SUMIF(Data!$E:$E,$C968,Data!$AI:$AI)</f>
        <v>0</v>
      </c>
      <c r="G968" s="13" t="s">
        <v>6772</v>
      </c>
      <c r="H968" s="13" t="s">
        <v>6773</v>
      </c>
      <c r="I968" s="13" t="s">
        <v>6774</v>
      </c>
      <c r="J968" s="13" t="s">
        <v>6775</v>
      </c>
      <c r="K968" s="13" t="s">
        <v>137</v>
      </c>
      <c r="L968" s="13" t="s">
        <v>5639</v>
      </c>
      <c r="M968" s="13" t="s">
        <v>6776</v>
      </c>
      <c r="N968" s="13">
        <v>244.56</v>
      </c>
      <c r="O968" s="13" t="s">
        <v>6777</v>
      </c>
      <c r="P968" s="13" t="s">
        <v>6778</v>
      </c>
      <c r="Q968" s="13" t="s">
        <v>416</v>
      </c>
      <c r="R968" s="13" t="s">
        <v>6779</v>
      </c>
      <c r="S968" s="13" t="s">
        <v>192</v>
      </c>
      <c r="T968" s="13" t="s">
        <v>146</v>
      </c>
      <c r="U968" s="13" t="s">
        <v>110</v>
      </c>
      <c r="V968" s="47">
        <f>SUMIF(Data!$E:$E,$I968,Data!$AI:$AI)</f>
        <v>0</v>
      </c>
    </row>
    <row r="969" spans="1:22" ht="15.75" x14ac:dyDescent="0.3">
      <c r="A969" s="54" t="s">
        <v>5840</v>
      </c>
      <c r="B969" s="55" t="s">
        <v>120</v>
      </c>
      <c r="C969" s="56" t="s">
        <v>5567</v>
      </c>
      <c r="D969" s="57">
        <v>3.615E-4</v>
      </c>
      <c r="E969" s="47">
        <f>SUMIF(Data!$E:$E,$C969,Data!$AI:$AI)</f>
        <v>0</v>
      </c>
      <c r="G969" s="13" t="s">
        <v>6780</v>
      </c>
      <c r="H969" s="13" t="s">
        <v>6781</v>
      </c>
      <c r="I969" s="13" t="s">
        <v>6782</v>
      </c>
      <c r="J969" s="13" t="s">
        <v>6783</v>
      </c>
      <c r="K969" s="13" t="s">
        <v>137</v>
      </c>
      <c r="L969" s="13" t="s">
        <v>5639</v>
      </c>
      <c r="M969" s="13" t="s">
        <v>6784</v>
      </c>
      <c r="N969" s="13">
        <v>81.052999999999997</v>
      </c>
      <c r="O969" s="13" t="s">
        <v>6785</v>
      </c>
      <c r="P969" s="13" t="s">
        <v>6786</v>
      </c>
      <c r="Q969" s="13" t="s">
        <v>416</v>
      </c>
      <c r="R969" s="13" t="s">
        <v>6787</v>
      </c>
      <c r="S969" s="13" t="s">
        <v>2410</v>
      </c>
      <c r="T969" s="13" t="s">
        <v>1282</v>
      </c>
      <c r="U969" s="13" t="s">
        <v>525</v>
      </c>
      <c r="V969" s="47">
        <f>SUMIF(Data!$E:$E,$I969,Data!$AI:$AI)</f>
        <v>0</v>
      </c>
    </row>
    <row r="970" spans="1:22" ht="15.75" x14ac:dyDescent="0.3">
      <c r="A970" s="54" t="s">
        <v>5840</v>
      </c>
      <c r="B970" s="55" t="s">
        <v>120</v>
      </c>
      <c r="C970" s="56" t="s">
        <v>3578</v>
      </c>
      <c r="D970" s="57">
        <v>3.5468000000000001E-4</v>
      </c>
      <c r="E970" s="47">
        <f>SUMIF(Data!$E:$E,$C970,Data!$AI:$AI)</f>
        <v>0</v>
      </c>
      <c r="G970" s="13" t="s">
        <v>6788</v>
      </c>
      <c r="H970" s="13" t="s">
        <v>6789</v>
      </c>
      <c r="I970" s="13">
        <v>6857</v>
      </c>
      <c r="J970" s="13" t="s">
        <v>6790</v>
      </c>
      <c r="K970" s="13" t="s">
        <v>137</v>
      </c>
      <c r="L970" s="13" t="s">
        <v>5639</v>
      </c>
      <c r="M970" s="13" t="s">
        <v>5335</v>
      </c>
      <c r="N970" s="13">
        <v>84.3</v>
      </c>
      <c r="O970" s="13" t="s">
        <v>6791</v>
      </c>
      <c r="P970" s="13" t="s">
        <v>6792</v>
      </c>
      <c r="Q970" s="13" t="s">
        <v>143</v>
      </c>
      <c r="R970" s="13" t="s">
        <v>6793</v>
      </c>
      <c r="S970" s="13" t="s">
        <v>441</v>
      </c>
      <c r="T970" s="13" t="s">
        <v>442</v>
      </c>
      <c r="U970" s="13" t="s">
        <v>443</v>
      </c>
      <c r="V970" s="47">
        <f>SUMIF(Data!$E:$E,$I970,Data!$AI:$AI)</f>
        <v>0</v>
      </c>
    </row>
    <row r="971" spans="1:22" ht="15.75" x14ac:dyDescent="0.3">
      <c r="A971" s="54" t="s">
        <v>5840</v>
      </c>
      <c r="B971" s="55" t="s">
        <v>120</v>
      </c>
      <c r="C971" s="56" t="s">
        <v>3157</v>
      </c>
      <c r="D971" s="57">
        <v>6.7967900000000005E-3</v>
      </c>
      <c r="E971" s="47">
        <f>SUMIF(Data!$E:$E,$C971,Data!$AI:$AI)</f>
        <v>0</v>
      </c>
      <c r="G971" s="13" t="s">
        <v>6794</v>
      </c>
      <c r="H971" s="13" t="s">
        <v>6795</v>
      </c>
      <c r="I971" s="13" t="s">
        <v>6796</v>
      </c>
      <c r="J971" s="13" t="s">
        <v>6797</v>
      </c>
      <c r="K971" s="13" t="s">
        <v>137</v>
      </c>
      <c r="L971" s="13" t="s">
        <v>5639</v>
      </c>
      <c r="M971" s="13" t="s">
        <v>6798</v>
      </c>
      <c r="N971" s="13">
        <v>29.292999999999999</v>
      </c>
      <c r="O971" s="13" t="s">
        <v>6799</v>
      </c>
      <c r="P971" s="13" t="s">
        <v>6800</v>
      </c>
      <c r="Q971" s="13" t="s">
        <v>416</v>
      </c>
      <c r="R971" s="13" t="s">
        <v>6801</v>
      </c>
      <c r="S971" s="13" t="s">
        <v>192</v>
      </c>
      <c r="T971" s="13" t="s">
        <v>146</v>
      </c>
      <c r="U971" s="13" t="s">
        <v>110</v>
      </c>
      <c r="V971" s="47">
        <f>SUMIF(Data!$E:$E,$I971,Data!$AI:$AI)</f>
        <v>0</v>
      </c>
    </row>
    <row r="972" spans="1:22" ht="15.75" x14ac:dyDescent="0.3">
      <c r="A972" s="54" t="s">
        <v>5840</v>
      </c>
      <c r="B972" s="55" t="s">
        <v>120</v>
      </c>
      <c r="C972" s="56" t="s">
        <v>5675</v>
      </c>
      <c r="D972" s="57">
        <v>4.8489999999999998E-5</v>
      </c>
      <c r="E972" s="47">
        <f>SUMIF(Data!$E:$E,$C972,Data!$AI:$AI)</f>
        <v>0</v>
      </c>
      <c r="G972" s="13" t="s">
        <v>6802</v>
      </c>
      <c r="H972" s="13" t="s">
        <v>6803</v>
      </c>
      <c r="I972" s="13" t="s">
        <v>6804</v>
      </c>
      <c r="J972" s="13" t="s">
        <v>6805</v>
      </c>
      <c r="K972" s="13" t="s">
        <v>137</v>
      </c>
      <c r="L972" s="13" t="s">
        <v>5639</v>
      </c>
      <c r="M972" s="13" t="s">
        <v>6806</v>
      </c>
      <c r="N972" s="13">
        <v>78.745000000000005</v>
      </c>
      <c r="O972" s="13" t="s">
        <v>6807</v>
      </c>
      <c r="P972" s="13" t="s">
        <v>6808</v>
      </c>
      <c r="Q972" s="13" t="s">
        <v>806</v>
      </c>
      <c r="R972" s="13" t="s">
        <v>6809</v>
      </c>
      <c r="S972" s="13" t="s">
        <v>145</v>
      </c>
      <c r="T972" s="13" t="s">
        <v>146</v>
      </c>
      <c r="U972" s="13" t="s">
        <v>110</v>
      </c>
      <c r="V972" s="47">
        <f>SUMIF(Data!$E:$E,$I972,Data!$AI:$AI)</f>
        <v>0</v>
      </c>
    </row>
    <row r="973" spans="1:22" ht="15.75" x14ac:dyDescent="0.3">
      <c r="A973" s="54" t="s">
        <v>5840</v>
      </c>
      <c r="B973" s="55" t="s">
        <v>120</v>
      </c>
      <c r="C973" s="56" t="s">
        <v>4870</v>
      </c>
      <c r="D973" s="57">
        <v>1.291285E-2</v>
      </c>
      <c r="E973" s="47">
        <f>SUMIF(Data!$E:$E,$C973,Data!$AI:$AI)</f>
        <v>0</v>
      </c>
      <c r="G973" s="13" t="s">
        <v>6810</v>
      </c>
      <c r="H973" s="13" t="s">
        <v>6811</v>
      </c>
      <c r="I973" s="13" t="s">
        <v>6812</v>
      </c>
      <c r="J973" s="13" t="s">
        <v>6813</v>
      </c>
      <c r="K973" s="13" t="s">
        <v>137</v>
      </c>
      <c r="L973" s="13" t="s">
        <v>5639</v>
      </c>
      <c r="M973" s="13" t="s">
        <v>4535</v>
      </c>
      <c r="N973" s="13">
        <v>53.424999999999997</v>
      </c>
      <c r="O973" s="13" t="s">
        <v>6814</v>
      </c>
      <c r="P973" s="13" t="s">
        <v>6815</v>
      </c>
      <c r="Q973" s="13" t="s">
        <v>806</v>
      </c>
      <c r="R973" s="13" t="s">
        <v>6816</v>
      </c>
      <c r="S973" s="13" t="s">
        <v>192</v>
      </c>
      <c r="T973" s="13" t="s">
        <v>146</v>
      </c>
      <c r="U973" s="13" t="s">
        <v>110</v>
      </c>
      <c r="V973" s="47">
        <f>SUMIF(Data!$E:$E,$I973,Data!$AI:$AI)</f>
        <v>0</v>
      </c>
    </row>
    <row r="974" spans="1:22" ht="15.75" x14ac:dyDescent="0.3">
      <c r="A974" s="54" t="s">
        <v>5840</v>
      </c>
      <c r="B974" s="55" t="s">
        <v>120</v>
      </c>
      <c r="C974" s="56" t="s">
        <v>3164</v>
      </c>
      <c r="D974" s="57">
        <v>2.35294E-3</v>
      </c>
      <c r="E974" s="47">
        <f>SUMIF(Data!$E:$E,$C974,Data!$AI:$AI)</f>
        <v>0</v>
      </c>
      <c r="G974" s="13" t="s">
        <v>6817</v>
      </c>
      <c r="H974" s="13" t="s">
        <v>6818</v>
      </c>
      <c r="I974" s="13" t="s">
        <v>4575</v>
      </c>
      <c r="J974" s="13" t="s">
        <v>6819</v>
      </c>
      <c r="K974" s="13" t="s">
        <v>137</v>
      </c>
      <c r="L974" s="13" t="s">
        <v>5639</v>
      </c>
      <c r="M974" s="13" t="s">
        <v>6820</v>
      </c>
      <c r="N974" s="13">
        <v>343.37400000000002</v>
      </c>
      <c r="O974" s="13" t="s">
        <v>6821</v>
      </c>
      <c r="P974" s="13" t="s">
        <v>6822</v>
      </c>
      <c r="Q974" s="13" t="s">
        <v>694</v>
      </c>
      <c r="R974" s="13" t="s">
        <v>6823</v>
      </c>
      <c r="S974" s="13" t="s">
        <v>847</v>
      </c>
      <c r="T974" s="13" t="s">
        <v>848</v>
      </c>
      <c r="U974" s="13" t="s">
        <v>849</v>
      </c>
      <c r="V974" s="47">
        <f>SUMIF(Data!$E:$E,$I974,Data!$AI:$AI)</f>
        <v>0</v>
      </c>
    </row>
    <row r="975" spans="1:22" ht="15.75" x14ac:dyDescent="0.3">
      <c r="A975" s="54" t="s">
        <v>5840</v>
      </c>
      <c r="B975" s="55" t="s">
        <v>120</v>
      </c>
      <c r="C975" s="56" t="s">
        <v>5766</v>
      </c>
      <c r="D975" s="57">
        <v>3.3501999999999995E-4</v>
      </c>
      <c r="E975" s="47">
        <f>SUMIF(Data!$E:$E,$C975,Data!$AI:$AI)</f>
        <v>0</v>
      </c>
      <c r="G975" s="13" t="s">
        <v>6824</v>
      </c>
      <c r="H975" s="13" t="s">
        <v>6825</v>
      </c>
      <c r="I975" s="13" t="s">
        <v>6826</v>
      </c>
      <c r="J975" s="13" t="s">
        <v>6827</v>
      </c>
      <c r="K975" s="13" t="s">
        <v>137</v>
      </c>
      <c r="L975" s="13" t="s">
        <v>5639</v>
      </c>
      <c r="M975" s="13" t="s">
        <v>6828</v>
      </c>
      <c r="N975" s="13">
        <v>122.398</v>
      </c>
      <c r="O975" s="13" t="s">
        <v>6829</v>
      </c>
      <c r="P975" s="13" t="s">
        <v>6830</v>
      </c>
      <c r="Q975" s="13" t="s">
        <v>260</v>
      </c>
      <c r="R975" s="13" t="s">
        <v>6831</v>
      </c>
      <c r="S975" s="13" t="s">
        <v>192</v>
      </c>
      <c r="T975" s="13" t="s">
        <v>146</v>
      </c>
      <c r="U975" s="13" t="s">
        <v>110</v>
      </c>
      <c r="V975" s="47">
        <f>SUMIF(Data!$E:$E,$I975,Data!$AI:$AI)</f>
        <v>0</v>
      </c>
    </row>
    <row r="976" spans="1:22" ht="15.75" x14ac:dyDescent="0.3">
      <c r="A976" s="54" t="s">
        <v>5840</v>
      </c>
      <c r="B976" s="55" t="s">
        <v>120</v>
      </c>
      <c r="C976" s="56" t="s">
        <v>5183</v>
      </c>
      <c r="D976" s="57">
        <v>1.5087900000000001E-3</v>
      </c>
      <c r="E976" s="47">
        <f>SUMIF(Data!$E:$E,$C976,Data!$AI:$AI)</f>
        <v>0</v>
      </c>
      <c r="G976" s="13" t="s">
        <v>6832</v>
      </c>
      <c r="H976" s="13" t="s">
        <v>6833</v>
      </c>
      <c r="I976" s="13">
        <v>9502</v>
      </c>
      <c r="J976" s="13" t="s">
        <v>6834</v>
      </c>
      <c r="K976" s="13" t="s">
        <v>137</v>
      </c>
      <c r="L976" s="13" t="s">
        <v>5639</v>
      </c>
      <c r="M976" s="13" t="s">
        <v>6835</v>
      </c>
      <c r="N976" s="13">
        <v>360.02499999999998</v>
      </c>
      <c r="O976" s="13" t="s">
        <v>6836</v>
      </c>
      <c r="P976" s="13" t="s">
        <v>6837</v>
      </c>
      <c r="Q976" s="13" t="s">
        <v>694</v>
      </c>
      <c r="R976" s="13" t="s">
        <v>6838</v>
      </c>
      <c r="S976" s="13" t="s">
        <v>441</v>
      </c>
      <c r="T976" s="13" t="s">
        <v>442</v>
      </c>
      <c r="U976" s="13" t="s">
        <v>443</v>
      </c>
      <c r="V976" s="47">
        <f>SUMIF(Data!$E:$E,$I976,Data!$AI:$AI)</f>
        <v>0</v>
      </c>
    </row>
    <row r="977" spans="1:22" ht="15.75" x14ac:dyDescent="0.3">
      <c r="A977" s="54" t="s">
        <v>5840</v>
      </c>
      <c r="B977" s="55" t="s">
        <v>120</v>
      </c>
      <c r="C977" s="56" t="s">
        <v>4877</v>
      </c>
      <c r="D977" s="57">
        <v>8.2535600000000001E-3</v>
      </c>
      <c r="E977" s="47">
        <f>SUMIF(Data!$E:$E,$C977,Data!$AI:$AI)</f>
        <v>0</v>
      </c>
      <c r="G977" s="13" t="s">
        <v>6839</v>
      </c>
      <c r="H977" s="13" t="s">
        <v>6840</v>
      </c>
      <c r="I977" s="13">
        <v>101</v>
      </c>
      <c r="J977" s="13" t="s">
        <v>6841</v>
      </c>
      <c r="K977" s="13" t="s">
        <v>137</v>
      </c>
      <c r="L977" s="13" t="s">
        <v>5639</v>
      </c>
      <c r="M977" s="13" t="s">
        <v>6842</v>
      </c>
      <c r="N977" s="13" t="s">
        <v>6843</v>
      </c>
      <c r="O977" s="13" t="s">
        <v>6844</v>
      </c>
      <c r="P977" s="13" t="s">
        <v>6845</v>
      </c>
      <c r="Q977" s="13" t="s">
        <v>806</v>
      </c>
      <c r="R977" s="13" t="s">
        <v>6846</v>
      </c>
      <c r="S977" s="13" t="s">
        <v>549</v>
      </c>
      <c r="T977" s="13" t="s">
        <v>550</v>
      </c>
      <c r="U977" s="13" t="s">
        <v>551</v>
      </c>
      <c r="V977" s="47">
        <f>SUMIF(Data!$E:$E,$I977,Data!$AI:$AI)</f>
        <v>0</v>
      </c>
    </row>
    <row r="978" spans="1:22" ht="15.75" x14ac:dyDescent="0.3">
      <c r="A978" s="54" t="s">
        <v>5840</v>
      </c>
      <c r="B978" s="55" t="s">
        <v>120</v>
      </c>
      <c r="C978" s="56" t="s">
        <v>6847</v>
      </c>
      <c r="D978" s="57">
        <v>3.4005600000000004E-3</v>
      </c>
      <c r="E978" s="47">
        <f>SUMIF(Data!$E:$E,$C978,Data!$AI:$AI)</f>
        <v>0</v>
      </c>
      <c r="G978" s="13" t="s">
        <v>6848</v>
      </c>
      <c r="H978" s="13" t="s">
        <v>6849</v>
      </c>
      <c r="I978" s="13">
        <v>8308</v>
      </c>
      <c r="J978" s="13" t="s">
        <v>6850</v>
      </c>
      <c r="K978" s="13" t="s">
        <v>137</v>
      </c>
      <c r="L978" s="13" t="s">
        <v>5639</v>
      </c>
      <c r="M978" s="13" t="s">
        <v>6851</v>
      </c>
      <c r="N978" s="13" t="s">
        <v>6852</v>
      </c>
      <c r="O978" s="13" t="s">
        <v>6853</v>
      </c>
      <c r="P978" s="13" t="s">
        <v>6854</v>
      </c>
      <c r="Q978" s="13" t="s">
        <v>190</v>
      </c>
      <c r="R978" s="13" t="s">
        <v>6855</v>
      </c>
      <c r="S978" s="13" t="s">
        <v>441</v>
      </c>
      <c r="T978" s="13" t="s">
        <v>442</v>
      </c>
      <c r="U978" s="13" t="s">
        <v>443</v>
      </c>
      <c r="V978" s="47">
        <f>SUMIF(Data!$E:$E,$I978,Data!$AI:$AI)</f>
        <v>0</v>
      </c>
    </row>
    <row r="979" spans="1:22" ht="15.75" x14ac:dyDescent="0.3">
      <c r="A979" s="54" t="s">
        <v>5840</v>
      </c>
      <c r="B979" s="55" t="s">
        <v>120</v>
      </c>
      <c r="C979" s="56" t="s">
        <v>5009</v>
      </c>
      <c r="D979" s="57">
        <v>4.6535999999999999E-3</v>
      </c>
      <c r="E979" s="47">
        <f>SUMIF(Data!$E:$E,$C979,Data!$AI:$AI)</f>
        <v>0</v>
      </c>
      <c r="G979" s="13" t="s">
        <v>6856</v>
      </c>
      <c r="H979" s="13" t="s">
        <v>6857</v>
      </c>
      <c r="I979" s="13" t="s">
        <v>6858</v>
      </c>
      <c r="J979" s="13" t="s">
        <v>6859</v>
      </c>
      <c r="K979" s="13" t="s">
        <v>137</v>
      </c>
      <c r="L979" s="13" t="s">
        <v>5639</v>
      </c>
      <c r="M979" s="13" t="s">
        <v>6860</v>
      </c>
      <c r="N979" s="13">
        <v>121.221</v>
      </c>
      <c r="O979" s="13" t="s">
        <v>6861</v>
      </c>
      <c r="P979" s="13" t="s">
        <v>6862</v>
      </c>
      <c r="Q979" s="13" t="s">
        <v>734</v>
      </c>
      <c r="R979" s="13" t="s">
        <v>6863</v>
      </c>
      <c r="S979" s="13" t="s">
        <v>3711</v>
      </c>
      <c r="T979" s="13" t="s">
        <v>3712</v>
      </c>
      <c r="U979" s="13" t="s">
        <v>3713</v>
      </c>
      <c r="V979" s="47">
        <f>SUMIF(Data!$E:$E,$I979,Data!$AI:$AI)</f>
        <v>0</v>
      </c>
    </row>
    <row r="980" spans="1:22" ht="15.75" x14ac:dyDescent="0.3">
      <c r="A980" s="54" t="s">
        <v>5840</v>
      </c>
      <c r="B980" s="55" t="s">
        <v>120</v>
      </c>
      <c r="C980" s="56" t="s">
        <v>5351</v>
      </c>
      <c r="D980" s="57">
        <v>4.6300000000000003E-4</v>
      </c>
      <c r="E980" s="47">
        <f>SUMIF(Data!$E:$E,$C980,Data!$AI:$AI)</f>
        <v>0</v>
      </c>
      <c r="G980" s="13" t="s">
        <v>6864</v>
      </c>
      <c r="H980" s="13" t="s">
        <v>6865</v>
      </c>
      <c r="I980" s="13" t="s">
        <v>6866</v>
      </c>
      <c r="J980" s="13" t="s">
        <v>6867</v>
      </c>
      <c r="K980" s="13" t="s">
        <v>137</v>
      </c>
      <c r="L980" s="13" t="s">
        <v>5639</v>
      </c>
      <c r="M980" s="13" t="s">
        <v>6868</v>
      </c>
      <c r="N980" s="13">
        <v>106.018</v>
      </c>
      <c r="O980" s="13" t="s">
        <v>6869</v>
      </c>
      <c r="P980" s="13" t="s">
        <v>6870</v>
      </c>
      <c r="Q980" s="13" t="s">
        <v>416</v>
      </c>
      <c r="R980" s="13" t="s">
        <v>6871</v>
      </c>
      <c r="S980" s="13" t="s">
        <v>192</v>
      </c>
      <c r="T980" s="13" t="s">
        <v>146</v>
      </c>
      <c r="U980" s="13" t="s">
        <v>110</v>
      </c>
      <c r="V980" s="47">
        <f>SUMIF(Data!$E:$E,$I980,Data!$AI:$AI)</f>
        <v>0</v>
      </c>
    </row>
    <row r="981" spans="1:22" ht="15.75" x14ac:dyDescent="0.3">
      <c r="A981" s="54" t="s">
        <v>5840</v>
      </c>
      <c r="B981" s="55" t="s">
        <v>120</v>
      </c>
      <c r="C981" s="56" t="s">
        <v>4610</v>
      </c>
      <c r="D981" s="57">
        <v>9.4605999999999998E-4</v>
      </c>
      <c r="E981" s="47">
        <f>SUMIF(Data!$E:$E,$C981,Data!$AI:$AI)</f>
        <v>0</v>
      </c>
      <c r="G981" s="13" t="s">
        <v>6872</v>
      </c>
      <c r="H981" s="13" t="s">
        <v>6873</v>
      </c>
      <c r="I981" s="13" t="s">
        <v>6874</v>
      </c>
      <c r="J981" s="13" t="s">
        <v>6875</v>
      </c>
      <c r="K981" s="13" t="s">
        <v>137</v>
      </c>
      <c r="L981" s="13" t="s">
        <v>5639</v>
      </c>
      <c r="M981" s="13" t="s">
        <v>6876</v>
      </c>
      <c r="N981" s="13">
        <v>61.564999999999998</v>
      </c>
      <c r="O981" s="13" t="s">
        <v>6877</v>
      </c>
      <c r="P981" s="13" t="s">
        <v>6878</v>
      </c>
      <c r="Q981" s="13" t="s">
        <v>190</v>
      </c>
      <c r="R981" s="13" t="s">
        <v>6879</v>
      </c>
      <c r="S981" s="13" t="s">
        <v>1127</v>
      </c>
      <c r="T981" s="13" t="s">
        <v>1128</v>
      </c>
      <c r="U981" s="13" t="s">
        <v>525</v>
      </c>
      <c r="V981" s="47">
        <f>SUMIF(Data!$E:$E,$I981,Data!$AI:$AI)</f>
        <v>0</v>
      </c>
    </row>
    <row r="982" spans="1:22" ht="15.75" x14ac:dyDescent="0.3">
      <c r="A982" s="54" t="s">
        <v>5840</v>
      </c>
      <c r="B982" s="55" t="s">
        <v>120</v>
      </c>
      <c r="C982" s="56" t="s">
        <v>5189</v>
      </c>
      <c r="D982" s="57">
        <v>1.0781599999999999E-3</v>
      </c>
      <c r="E982" s="47">
        <f>SUMIF(Data!$E:$E,$C982,Data!$AI:$AI)</f>
        <v>0</v>
      </c>
      <c r="G982" s="13" t="s">
        <v>6880</v>
      </c>
      <c r="H982" s="13" t="s">
        <v>6881</v>
      </c>
      <c r="I982" s="13" t="s">
        <v>6882</v>
      </c>
      <c r="J982" s="13" t="s">
        <v>6883</v>
      </c>
      <c r="K982" s="13" t="s">
        <v>137</v>
      </c>
      <c r="L982" s="13" t="s">
        <v>5639</v>
      </c>
      <c r="M982" s="13" t="s">
        <v>6884</v>
      </c>
      <c r="N982" s="13">
        <v>137.95699999999999</v>
      </c>
      <c r="O982" s="13" t="s">
        <v>6885</v>
      </c>
      <c r="P982" s="13" t="s">
        <v>6886</v>
      </c>
      <c r="Q982" s="13" t="s">
        <v>224</v>
      </c>
      <c r="R982" s="13" t="s">
        <v>6887</v>
      </c>
      <c r="S982" s="13" t="s">
        <v>476</v>
      </c>
      <c r="T982" s="13" t="s">
        <v>477</v>
      </c>
      <c r="U982" s="13" t="s">
        <v>478</v>
      </c>
      <c r="V982" s="47">
        <f>SUMIF(Data!$E:$E,$I982,Data!$AI:$AI)</f>
        <v>0</v>
      </c>
    </row>
    <row r="983" spans="1:22" ht="15.75" x14ac:dyDescent="0.3">
      <c r="A983" s="54" t="s">
        <v>5840</v>
      </c>
      <c r="B983" s="55" t="s">
        <v>120</v>
      </c>
      <c r="C983" s="56" t="s">
        <v>517</v>
      </c>
      <c r="D983" s="57">
        <v>3.9448699999999996E-3</v>
      </c>
      <c r="E983" s="47">
        <f>SUMIF(Data!$E:$E,$C983,Data!$AI:$AI)</f>
        <v>0</v>
      </c>
      <c r="G983" s="13" t="s">
        <v>6888</v>
      </c>
      <c r="H983" s="13" t="s">
        <v>6889</v>
      </c>
      <c r="I983" s="13" t="s">
        <v>6890</v>
      </c>
      <c r="J983" s="13" t="s">
        <v>6891</v>
      </c>
      <c r="K983" s="13" t="s">
        <v>137</v>
      </c>
      <c r="L983" s="13" t="s">
        <v>5639</v>
      </c>
      <c r="M983" s="13" t="s">
        <v>6892</v>
      </c>
      <c r="N983" s="13">
        <v>40.573</v>
      </c>
      <c r="O983" s="13" t="s">
        <v>6893</v>
      </c>
      <c r="P983" s="13" t="s">
        <v>6894</v>
      </c>
      <c r="Q983" s="13" t="s">
        <v>162</v>
      </c>
      <c r="R983" s="13" t="s">
        <v>6895</v>
      </c>
      <c r="S983" s="13" t="s">
        <v>192</v>
      </c>
      <c r="T983" s="13" t="s">
        <v>146</v>
      </c>
      <c r="U983" s="13" t="s">
        <v>110</v>
      </c>
      <c r="V983" s="47">
        <f>SUMIF(Data!$E:$E,$I983,Data!$AI:$AI)</f>
        <v>0</v>
      </c>
    </row>
    <row r="984" spans="1:22" ht="15.75" x14ac:dyDescent="0.3">
      <c r="A984" s="54" t="s">
        <v>5840</v>
      </c>
      <c r="B984" s="55" t="s">
        <v>120</v>
      </c>
      <c r="C984" s="56" t="s">
        <v>4890</v>
      </c>
      <c r="D984" s="57">
        <v>3.239819E-2</v>
      </c>
      <c r="E984" s="47">
        <f>SUMIF(Data!$E:$E,$C984,Data!$AI:$AI)</f>
        <v>0</v>
      </c>
      <c r="G984" s="13" t="s">
        <v>6896</v>
      </c>
      <c r="H984" s="13" t="s">
        <v>6897</v>
      </c>
      <c r="I984" s="13" t="s">
        <v>6898</v>
      </c>
      <c r="J984" s="13" t="s">
        <v>6899</v>
      </c>
      <c r="K984" s="13" t="s">
        <v>137</v>
      </c>
      <c r="L984" s="13" t="s">
        <v>5639</v>
      </c>
      <c r="M984" s="13" t="s">
        <v>6900</v>
      </c>
      <c r="N984" s="13">
        <v>70.497</v>
      </c>
      <c r="O984" s="13" t="s">
        <v>6901</v>
      </c>
      <c r="P984" s="13" t="s">
        <v>6902</v>
      </c>
      <c r="Q984" s="13" t="s">
        <v>190</v>
      </c>
      <c r="R984" s="13" t="s">
        <v>6903</v>
      </c>
      <c r="S984" s="13" t="s">
        <v>192</v>
      </c>
      <c r="T984" s="13" t="s">
        <v>146</v>
      </c>
      <c r="U984" s="13" t="s">
        <v>110</v>
      </c>
      <c r="V984" s="47">
        <f>SUMIF(Data!$E:$E,$I984,Data!$AI:$AI)</f>
        <v>0</v>
      </c>
    </row>
    <row r="985" spans="1:22" ht="15.75" x14ac:dyDescent="0.3">
      <c r="A985" s="54" t="s">
        <v>5840</v>
      </c>
      <c r="B985" s="55" t="s">
        <v>120</v>
      </c>
      <c r="C985" s="56" t="s">
        <v>5827</v>
      </c>
      <c r="D985" s="57">
        <v>1.1476999999999999E-4</v>
      </c>
      <c r="E985" s="47">
        <f>SUMIF(Data!$E:$E,$C985,Data!$AI:$AI)</f>
        <v>0</v>
      </c>
      <c r="G985" s="13" t="s">
        <v>6904</v>
      </c>
      <c r="H985" s="13" t="s">
        <v>6905</v>
      </c>
      <c r="I985" s="13" t="s">
        <v>6906</v>
      </c>
      <c r="J985" s="13" t="s">
        <v>6907</v>
      </c>
      <c r="K985" s="13" t="s">
        <v>137</v>
      </c>
      <c r="L985" s="13" t="s">
        <v>5639</v>
      </c>
      <c r="M985" s="13" t="s">
        <v>4436</v>
      </c>
      <c r="N985" s="13">
        <v>534.74099999999999</v>
      </c>
      <c r="O985" s="13" t="s">
        <v>6908</v>
      </c>
      <c r="P985" s="13" t="s">
        <v>6909</v>
      </c>
      <c r="Q985" s="13" t="s">
        <v>416</v>
      </c>
      <c r="R985" s="13" t="s">
        <v>6910</v>
      </c>
      <c r="S985" s="13" t="s">
        <v>476</v>
      </c>
      <c r="T985" s="13" t="s">
        <v>477</v>
      </c>
      <c r="U985" s="13" t="s">
        <v>478</v>
      </c>
      <c r="V985" s="47">
        <f>SUMIF(Data!$E:$E,$I985,Data!$AI:$AI)</f>
        <v>0</v>
      </c>
    </row>
    <row r="986" spans="1:22" ht="15.75" x14ac:dyDescent="0.3">
      <c r="A986" s="54" t="s">
        <v>5840</v>
      </c>
      <c r="B986" s="55" t="s">
        <v>120</v>
      </c>
      <c r="C986" s="56" t="s">
        <v>4517</v>
      </c>
      <c r="D986" s="57">
        <v>4.4810199999999996E-3</v>
      </c>
      <c r="E986" s="47">
        <f>SUMIF(Data!$E:$E,$C986,Data!$AI:$AI)</f>
        <v>0</v>
      </c>
      <c r="G986" s="13" t="s">
        <v>6911</v>
      </c>
      <c r="H986" s="13" t="s">
        <v>6912</v>
      </c>
      <c r="I986" s="13" t="s">
        <v>6913</v>
      </c>
      <c r="J986" s="13" t="s">
        <v>6914</v>
      </c>
      <c r="K986" s="13" t="s">
        <v>137</v>
      </c>
      <c r="L986" s="13" t="s">
        <v>5639</v>
      </c>
      <c r="M986" s="13" t="s">
        <v>6915</v>
      </c>
      <c r="N986" s="13">
        <v>42.515999999999998</v>
      </c>
      <c r="O986" s="13" t="s">
        <v>6916</v>
      </c>
      <c r="P986" s="13" t="s">
        <v>6917</v>
      </c>
      <c r="Q986" s="13" t="s">
        <v>162</v>
      </c>
      <c r="R986" s="13" t="s">
        <v>6918</v>
      </c>
      <c r="S986" s="13" t="s">
        <v>560</v>
      </c>
      <c r="T986" s="13" t="s">
        <v>561</v>
      </c>
      <c r="U986" s="13" t="s">
        <v>525</v>
      </c>
      <c r="V986" s="47">
        <f>SUMIF(Data!$E:$E,$I986,Data!$AI:$AI)</f>
        <v>0</v>
      </c>
    </row>
    <row r="987" spans="1:22" ht="15.75" x14ac:dyDescent="0.3">
      <c r="A987" s="54" t="s">
        <v>5840</v>
      </c>
      <c r="B987" s="55" t="s">
        <v>120</v>
      </c>
      <c r="C987" s="56" t="s">
        <v>4897</v>
      </c>
      <c r="D987" s="57">
        <v>9.8295900000000009E-3</v>
      </c>
      <c r="E987" s="47">
        <f>SUMIF(Data!$E:$E,$C987,Data!$AI:$AI)</f>
        <v>0</v>
      </c>
      <c r="G987" s="13" t="s">
        <v>6919</v>
      </c>
      <c r="H987" s="13" t="s">
        <v>6920</v>
      </c>
      <c r="I987" s="13" t="s">
        <v>6921</v>
      </c>
      <c r="J987" s="13" t="s">
        <v>6922</v>
      </c>
      <c r="K987" s="13" t="s">
        <v>137</v>
      </c>
      <c r="L987" s="13" t="s">
        <v>5639</v>
      </c>
      <c r="M987" s="13" t="s">
        <v>6923</v>
      </c>
      <c r="N987" s="13">
        <v>171.64099999999999</v>
      </c>
      <c r="O987" s="13" t="s">
        <v>6924</v>
      </c>
      <c r="P987" s="13" t="s">
        <v>6925</v>
      </c>
      <c r="Q987" s="13" t="s">
        <v>208</v>
      </c>
      <c r="R987" s="13" t="s">
        <v>6926</v>
      </c>
      <c r="S987" s="13" t="s">
        <v>725</v>
      </c>
      <c r="T987" s="13" t="s">
        <v>726</v>
      </c>
      <c r="U987" s="13" t="s">
        <v>727</v>
      </c>
      <c r="V987" s="47">
        <f>SUMIF(Data!$E:$E,$I987,Data!$AI:$AI)</f>
        <v>0</v>
      </c>
    </row>
    <row r="988" spans="1:22" ht="15.75" x14ac:dyDescent="0.3">
      <c r="A988" s="54" t="s">
        <v>5840</v>
      </c>
      <c r="B988" s="55" t="s">
        <v>120</v>
      </c>
      <c r="C988" s="56" t="s">
        <v>4904</v>
      </c>
      <c r="D988" s="57">
        <v>1.812594E-2</v>
      </c>
      <c r="E988" s="47">
        <f>SUMIF(Data!$E:$E,$C988,Data!$AI:$AI)</f>
        <v>0</v>
      </c>
      <c r="G988" s="13" t="s">
        <v>6927</v>
      </c>
      <c r="H988" s="13" t="s">
        <v>6928</v>
      </c>
      <c r="I988" s="13" t="s">
        <v>6929</v>
      </c>
      <c r="J988" s="13" t="s">
        <v>6930</v>
      </c>
      <c r="K988" s="13" t="s">
        <v>137</v>
      </c>
      <c r="L988" s="13" t="s">
        <v>5639</v>
      </c>
      <c r="M988" s="13" t="s">
        <v>6931</v>
      </c>
      <c r="N988" s="13">
        <v>106.295</v>
      </c>
      <c r="O988" s="13" t="s">
        <v>6932</v>
      </c>
      <c r="P988" s="13" t="s">
        <v>6933</v>
      </c>
      <c r="Q988" s="13" t="s">
        <v>734</v>
      </c>
      <c r="R988" s="13" t="s">
        <v>6934</v>
      </c>
      <c r="S988" s="13" t="s">
        <v>725</v>
      </c>
      <c r="T988" s="13" t="s">
        <v>726</v>
      </c>
      <c r="U988" s="13" t="s">
        <v>727</v>
      </c>
      <c r="V988" s="47">
        <f>SUMIF(Data!$E:$E,$I988,Data!$AI:$AI)</f>
        <v>0</v>
      </c>
    </row>
    <row r="989" spans="1:22" ht="15.75" x14ac:dyDescent="0.3">
      <c r="A989" s="54" t="s">
        <v>5840</v>
      </c>
      <c r="B989" s="55" t="s">
        <v>120</v>
      </c>
      <c r="C989" s="56" t="s">
        <v>5365</v>
      </c>
      <c r="D989" s="57">
        <v>3.1535999999999999E-4</v>
      </c>
      <c r="E989" s="47">
        <f>SUMIF(Data!$E:$E,$C989,Data!$AI:$AI)</f>
        <v>0</v>
      </c>
      <c r="G989" s="13" t="s">
        <v>6935</v>
      </c>
      <c r="H989" s="13" t="s">
        <v>6936</v>
      </c>
      <c r="I989" s="13" t="s">
        <v>6937</v>
      </c>
      <c r="J989" s="13" t="s">
        <v>6938</v>
      </c>
      <c r="K989" s="13" t="s">
        <v>137</v>
      </c>
      <c r="L989" s="13" t="s">
        <v>5639</v>
      </c>
      <c r="M989" s="13" t="s">
        <v>6939</v>
      </c>
      <c r="N989" s="13">
        <v>15.314</v>
      </c>
      <c r="O989" s="13" t="s">
        <v>6940</v>
      </c>
      <c r="P989" s="13" t="s">
        <v>6941</v>
      </c>
      <c r="Q989" s="13" t="s">
        <v>143</v>
      </c>
      <c r="R989" s="13" t="s">
        <v>6942</v>
      </c>
      <c r="S989" s="13" t="s">
        <v>192</v>
      </c>
      <c r="T989" s="13" t="s">
        <v>146</v>
      </c>
      <c r="U989" s="13" t="s">
        <v>110</v>
      </c>
      <c r="V989" s="47">
        <f>SUMIF(Data!$E:$E,$I989,Data!$AI:$AI)</f>
        <v>0</v>
      </c>
    </row>
    <row r="990" spans="1:22" ht="15.75" x14ac:dyDescent="0.3">
      <c r="A990" s="54" t="s">
        <v>5840</v>
      </c>
      <c r="B990" s="55" t="s">
        <v>120</v>
      </c>
      <c r="C990" s="56" t="s">
        <v>5196</v>
      </c>
      <c r="D990" s="57">
        <v>1.74212E-3</v>
      </c>
      <c r="E990" s="47">
        <f>SUMIF(Data!$E:$E,$C990,Data!$AI:$AI)</f>
        <v>0</v>
      </c>
      <c r="G990" s="13" t="s">
        <v>6943</v>
      </c>
      <c r="H990" s="13" t="s">
        <v>6944</v>
      </c>
      <c r="I990" s="13" t="s">
        <v>6945</v>
      </c>
      <c r="J990" s="13" t="s">
        <v>6946</v>
      </c>
      <c r="K990" s="13" t="s">
        <v>137</v>
      </c>
      <c r="L990" s="13" t="s">
        <v>5639</v>
      </c>
      <c r="M990" s="13" t="s">
        <v>6947</v>
      </c>
      <c r="N990" s="13" t="s">
        <v>6948</v>
      </c>
      <c r="O990" s="13" t="s">
        <v>6949</v>
      </c>
      <c r="P990" s="13" t="s">
        <v>6950</v>
      </c>
      <c r="Q990" s="13" t="s">
        <v>806</v>
      </c>
      <c r="R990" s="13" t="s">
        <v>6951</v>
      </c>
      <c r="S990" s="13" t="s">
        <v>847</v>
      </c>
      <c r="T990" s="13" t="s">
        <v>848</v>
      </c>
      <c r="U990" s="13" t="s">
        <v>849</v>
      </c>
      <c r="V990" s="47">
        <f>SUMIF(Data!$E:$E,$I990,Data!$AI:$AI)</f>
        <v>0</v>
      </c>
    </row>
    <row r="991" spans="1:22" ht="15.75" x14ac:dyDescent="0.3">
      <c r="A991" s="54" t="s">
        <v>5840</v>
      </c>
      <c r="B991" s="55" t="s">
        <v>120</v>
      </c>
      <c r="C991" s="56" t="s">
        <v>4481</v>
      </c>
      <c r="D991" s="57">
        <v>2.5829209999999998E-2</v>
      </c>
      <c r="E991" s="47">
        <f>SUMIF(Data!$E:$E,$C991,Data!$AI:$AI)</f>
        <v>0</v>
      </c>
      <c r="G991" s="13" t="s">
        <v>6952</v>
      </c>
      <c r="H991" s="13" t="s">
        <v>6953</v>
      </c>
      <c r="I991" s="13" t="s">
        <v>6954</v>
      </c>
      <c r="J991" s="13" t="s">
        <v>6955</v>
      </c>
      <c r="K991" s="13" t="s">
        <v>137</v>
      </c>
      <c r="L991" s="13" t="s">
        <v>5639</v>
      </c>
      <c r="M991" s="13" t="s">
        <v>6956</v>
      </c>
      <c r="N991" s="13">
        <v>308.63099999999997</v>
      </c>
      <c r="O991" s="13" t="s">
        <v>6957</v>
      </c>
      <c r="P991" s="13" t="s">
        <v>6958</v>
      </c>
      <c r="Q991" s="13" t="s">
        <v>694</v>
      </c>
      <c r="R991" s="13" t="s">
        <v>6959</v>
      </c>
      <c r="S991" s="13" t="s">
        <v>560</v>
      </c>
      <c r="T991" s="13" t="s">
        <v>561</v>
      </c>
      <c r="U991" s="13" t="s">
        <v>525</v>
      </c>
      <c r="V991" s="47">
        <f>SUMIF(Data!$E:$E,$I991,Data!$AI:$AI)</f>
        <v>0</v>
      </c>
    </row>
    <row r="992" spans="1:22" ht="15.75" x14ac:dyDescent="0.3">
      <c r="A992" s="54" t="s">
        <v>5840</v>
      </c>
      <c r="B992" s="55" t="s">
        <v>120</v>
      </c>
      <c r="C992" s="56" t="s">
        <v>1783</v>
      </c>
      <c r="D992" s="57">
        <v>1.55887E-3</v>
      </c>
      <c r="E992" s="47">
        <f>SUMIF(Data!$E:$E,$C992,Data!$AI:$AI)</f>
        <v>0</v>
      </c>
      <c r="G992" s="13" t="s">
        <v>6960</v>
      </c>
      <c r="H992" s="13" t="s">
        <v>6961</v>
      </c>
      <c r="I992" s="13" t="s">
        <v>6962</v>
      </c>
      <c r="J992" s="13" t="s">
        <v>6963</v>
      </c>
      <c r="K992" s="13" t="s">
        <v>137</v>
      </c>
      <c r="L992" s="13" t="s">
        <v>5639</v>
      </c>
      <c r="M992" s="13" t="s">
        <v>6964</v>
      </c>
      <c r="N992" s="13">
        <v>207.58799999999999</v>
      </c>
      <c r="O992" s="13" t="s">
        <v>6965</v>
      </c>
      <c r="P992" s="13" t="s">
        <v>6966</v>
      </c>
      <c r="Q992" s="13" t="s">
        <v>416</v>
      </c>
      <c r="R992" s="13" t="s">
        <v>6967</v>
      </c>
      <c r="S992" s="13" t="s">
        <v>476</v>
      </c>
      <c r="T992" s="13" t="s">
        <v>477</v>
      </c>
      <c r="U992" s="13" t="s">
        <v>478</v>
      </c>
      <c r="V992" s="47">
        <f>SUMIF(Data!$E:$E,$I992,Data!$AI:$AI)</f>
        <v>0</v>
      </c>
    </row>
    <row r="993" spans="1:22" ht="15.75" x14ac:dyDescent="0.3">
      <c r="A993" s="54" t="s">
        <v>5840</v>
      </c>
      <c r="B993" s="55" t="s">
        <v>120</v>
      </c>
      <c r="C993" s="56" t="s">
        <v>4916</v>
      </c>
      <c r="D993" s="57">
        <v>4.8168400000000002E-3</v>
      </c>
      <c r="E993" s="47">
        <f>SUMIF(Data!$E:$E,$C993,Data!$AI:$AI)</f>
        <v>0</v>
      </c>
      <c r="G993" s="13" t="s">
        <v>6968</v>
      </c>
      <c r="H993" s="13" t="s">
        <v>6969</v>
      </c>
      <c r="I993" s="13" t="s">
        <v>6970</v>
      </c>
      <c r="J993" s="13" t="s">
        <v>6971</v>
      </c>
      <c r="K993" s="13" t="s">
        <v>137</v>
      </c>
      <c r="L993" s="13" t="s">
        <v>5639</v>
      </c>
      <c r="M993" s="13" t="s">
        <v>6972</v>
      </c>
      <c r="N993" s="13">
        <v>30.83</v>
      </c>
      <c r="O993" s="13" t="s">
        <v>6973</v>
      </c>
      <c r="P993" s="13" t="s">
        <v>6974</v>
      </c>
      <c r="Q993" s="13" t="s">
        <v>208</v>
      </c>
      <c r="R993" s="13" t="s">
        <v>6975</v>
      </c>
      <c r="S993" s="13" t="s">
        <v>192</v>
      </c>
      <c r="T993" s="13" t="s">
        <v>146</v>
      </c>
      <c r="U993" s="13" t="s">
        <v>110</v>
      </c>
      <c r="V993" s="47">
        <f>SUMIF(Data!$E:$E,$I993,Data!$AI:$AI)</f>
        <v>0</v>
      </c>
    </row>
    <row r="994" spans="1:22" ht="15.75" x14ac:dyDescent="0.3">
      <c r="A994" s="54" t="s">
        <v>5840</v>
      </c>
      <c r="B994" s="55" t="s">
        <v>120</v>
      </c>
      <c r="C994" s="56" t="s">
        <v>1777</v>
      </c>
      <c r="D994" s="57">
        <v>6.5126000000000008E-4</v>
      </c>
      <c r="E994" s="47">
        <f>SUMIF(Data!$E:$E,$C994,Data!$AI:$AI)</f>
        <v>0</v>
      </c>
      <c r="G994" s="13" t="s">
        <v>6976</v>
      </c>
      <c r="H994" s="13" t="s">
        <v>6977</v>
      </c>
      <c r="I994" s="13" t="s">
        <v>6978</v>
      </c>
      <c r="J994" s="13" t="s">
        <v>6979</v>
      </c>
      <c r="K994" s="13" t="s">
        <v>137</v>
      </c>
      <c r="L994" s="13" t="s">
        <v>5639</v>
      </c>
      <c r="M994" s="13" t="s">
        <v>6980</v>
      </c>
      <c r="N994" s="13">
        <v>203.51499999999999</v>
      </c>
      <c r="O994" s="13" t="s">
        <v>6981</v>
      </c>
      <c r="P994" s="13" t="s">
        <v>6982</v>
      </c>
      <c r="Q994" s="13" t="s">
        <v>172</v>
      </c>
      <c r="R994" s="13" t="s">
        <v>6983</v>
      </c>
      <c r="S994" s="13" t="s">
        <v>192</v>
      </c>
      <c r="T994" s="13" t="s">
        <v>146</v>
      </c>
      <c r="U994" s="13" t="s">
        <v>110</v>
      </c>
      <c r="V994" s="47">
        <f>SUMIF(Data!$E:$E,$I994,Data!$AI:$AI)</f>
        <v>0</v>
      </c>
    </row>
    <row r="995" spans="1:22" ht="15.75" x14ac:dyDescent="0.3">
      <c r="A995" s="54" t="s">
        <v>5840</v>
      </c>
      <c r="B995" s="55" t="s">
        <v>120</v>
      </c>
      <c r="C995" s="56" t="s">
        <v>6984</v>
      </c>
      <c r="D995" s="57">
        <v>6.3810000000000006E-4</v>
      </c>
      <c r="E995" s="47">
        <f>SUMIF(Data!$E:$E,$C995,Data!$AI:$AI)</f>
        <v>0</v>
      </c>
      <c r="G995" s="13" t="s">
        <v>6985</v>
      </c>
      <c r="H995" s="13" t="s">
        <v>6986</v>
      </c>
      <c r="I995" s="13" t="s">
        <v>6987</v>
      </c>
      <c r="J995" s="13" t="s">
        <v>6988</v>
      </c>
      <c r="K995" s="13" t="s">
        <v>137</v>
      </c>
      <c r="L995" s="13" t="s">
        <v>5639</v>
      </c>
      <c r="M995" s="13" t="s">
        <v>6989</v>
      </c>
      <c r="N995" s="13">
        <v>174.66</v>
      </c>
      <c r="O995" s="13" t="s">
        <v>6990</v>
      </c>
      <c r="P995" s="13" t="s">
        <v>6991</v>
      </c>
      <c r="Q995" s="13" t="s">
        <v>260</v>
      </c>
      <c r="R995" s="13" t="s">
        <v>6992</v>
      </c>
      <c r="S995" s="13" t="s">
        <v>725</v>
      </c>
      <c r="T995" s="13" t="s">
        <v>726</v>
      </c>
      <c r="U995" s="13" t="s">
        <v>727</v>
      </c>
      <c r="V995" s="47">
        <f>SUMIF(Data!$E:$E,$I995,Data!$AI:$AI)</f>
        <v>0</v>
      </c>
    </row>
    <row r="996" spans="1:22" ht="15.75" x14ac:dyDescent="0.3">
      <c r="A996" s="54" t="s">
        <v>5840</v>
      </c>
      <c r="B996" s="55" t="s">
        <v>120</v>
      </c>
      <c r="C996" s="56" t="s">
        <v>5779</v>
      </c>
      <c r="D996" s="57">
        <v>1.4605999999999999E-4</v>
      </c>
      <c r="E996" s="47">
        <f>SUMIF(Data!$E:$E,$C996,Data!$AI:$AI)</f>
        <v>0</v>
      </c>
      <c r="G996" s="13" t="s">
        <v>6993</v>
      </c>
      <c r="H996" s="13" t="s">
        <v>6994</v>
      </c>
      <c r="I996" s="13" t="s">
        <v>6995</v>
      </c>
      <c r="J996" s="13" t="s">
        <v>6996</v>
      </c>
      <c r="K996" s="13" t="s">
        <v>137</v>
      </c>
      <c r="L996" s="13" t="s">
        <v>5639</v>
      </c>
      <c r="M996" s="13" t="s">
        <v>6997</v>
      </c>
      <c r="N996" s="13">
        <v>475.50400000000002</v>
      </c>
      <c r="O996" s="13" t="s">
        <v>6998</v>
      </c>
      <c r="P996" s="13" t="s">
        <v>6999</v>
      </c>
      <c r="Q996" s="13" t="s">
        <v>162</v>
      </c>
      <c r="R996" s="13" t="s">
        <v>7000</v>
      </c>
      <c r="S996" s="13" t="s">
        <v>476</v>
      </c>
      <c r="T996" s="13" t="s">
        <v>477</v>
      </c>
      <c r="U996" s="13" t="s">
        <v>478</v>
      </c>
      <c r="V996" s="47">
        <f>SUMIF(Data!$E:$E,$I996,Data!$AI:$AI)</f>
        <v>0</v>
      </c>
    </row>
    <row r="997" spans="1:22" ht="15.75" x14ac:dyDescent="0.3">
      <c r="A997" s="54" t="s">
        <v>5840</v>
      </c>
      <c r="B997" s="55" t="s">
        <v>120</v>
      </c>
      <c r="C997" s="56" t="s">
        <v>4365</v>
      </c>
      <c r="D997" s="57">
        <v>6.9264000000000001E-4</v>
      </c>
      <c r="E997" s="47">
        <f>SUMIF(Data!$E:$E,$C997,Data!$AI:$AI)</f>
        <v>0</v>
      </c>
      <c r="G997" s="13" t="s">
        <v>7001</v>
      </c>
      <c r="H997" s="13" t="s">
        <v>7002</v>
      </c>
      <c r="I997" s="13" t="s">
        <v>7003</v>
      </c>
      <c r="J997" s="13" t="s">
        <v>7004</v>
      </c>
      <c r="K997" s="13" t="s">
        <v>137</v>
      </c>
      <c r="L997" s="13" t="s">
        <v>5639</v>
      </c>
      <c r="M997" s="13" t="s">
        <v>7005</v>
      </c>
      <c r="N997" s="13">
        <v>71.793000000000006</v>
      </c>
      <c r="O997" s="13" t="s">
        <v>7006</v>
      </c>
      <c r="P997" s="13" t="s">
        <v>7007</v>
      </c>
      <c r="Q997" s="13" t="s">
        <v>190</v>
      </c>
      <c r="R997" s="13" t="s">
        <v>7008</v>
      </c>
      <c r="S997" s="13" t="s">
        <v>145</v>
      </c>
      <c r="T997" s="13" t="s">
        <v>146</v>
      </c>
      <c r="U997" s="13" t="s">
        <v>110</v>
      </c>
      <c r="V997" s="47">
        <f>SUMIF(Data!$E:$E,$I997,Data!$AI:$AI)</f>
        <v>0</v>
      </c>
    </row>
    <row r="998" spans="1:22" ht="15.75" x14ac:dyDescent="0.3">
      <c r="A998" s="54" t="s">
        <v>5840</v>
      </c>
      <c r="B998" s="55" t="s">
        <v>120</v>
      </c>
      <c r="C998" s="56" t="s">
        <v>5580</v>
      </c>
      <c r="D998" s="57">
        <v>2.2287999999999998E-4</v>
      </c>
      <c r="E998" s="47">
        <f>SUMIF(Data!$E:$E,$C998,Data!$AI:$AI)</f>
        <v>0</v>
      </c>
      <c r="G998" s="13" t="s">
        <v>7009</v>
      </c>
      <c r="H998" s="13" t="s">
        <v>7010</v>
      </c>
      <c r="I998" s="13" t="s">
        <v>7011</v>
      </c>
      <c r="J998" s="13" t="s">
        <v>7012</v>
      </c>
      <c r="K998" s="13" t="s">
        <v>137</v>
      </c>
      <c r="L998" s="13" t="s">
        <v>5639</v>
      </c>
      <c r="M998" s="13" t="s">
        <v>7013</v>
      </c>
      <c r="N998" s="13">
        <v>505.82</v>
      </c>
      <c r="O998" s="13" t="s">
        <v>7014</v>
      </c>
      <c r="P998" s="13" t="s">
        <v>7015</v>
      </c>
      <c r="Q998" s="13" t="s">
        <v>806</v>
      </c>
      <c r="R998" s="13" t="s">
        <v>7016</v>
      </c>
      <c r="S998" s="13" t="s">
        <v>192</v>
      </c>
      <c r="T998" s="13" t="s">
        <v>146</v>
      </c>
      <c r="U998" s="13" t="s">
        <v>110</v>
      </c>
      <c r="V998" s="47">
        <f>SUMIF(Data!$E:$E,$I998,Data!$AI:$AI)</f>
        <v>0</v>
      </c>
    </row>
    <row r="999" spans="1:22" ht="15.75" x14ac:dyDescent="0.3">
      <c r="A999" s="54" t="s">
        <v>5840</v>
      </c>
      <c r="B999" s="55" t="s">
        <v>120</v>
      </c>
      <c r="C999" s="56" t="s">
        <v>4923</v>
      </c>
      <c r="D999" s="57">
        <v>5.0898799999999998E-3</v>
      </c>
      <c r="E999" s="47">
        <f>SUMIF(Data!$E:$E,$C999,Data!$AI:$AI)</f>
        <v>0</v>
      </c>
      <c r="G999" s="13" t="s">
        <v>7017</v>
      </c>
      <c r="H999" s="13" t="s">
        <v>7018</v>
      </c>
      <c r="I999" s="13">
        <v>9962</v>
      </c>
      <c r="J999" s="13" t="s">
        <v>7019</v>
      </c>
      <c r="K999" s="13" t="s">
        <v>137</v>
      </c>
      <c r="L999" s="13" t="s">
        <v>5639</v>
      </c>
      <c r="M999" s="13" t="s">
        <v>7020</v>
      </c>
      <c r="N999" s="13">
        <v>176.5</v>
      </c>
      <c r="O999" s="13" t="s">
        <v>7021</v>
      </c>
      <c r="P999" s="13" t="s">
        <v>7022</v>
      </c>
      <c r="Q999" s="13" t="s">
        <v>416</v>
      </c>
      <c r="R999" s="13" t="s">
        <v>7023</v>
      </c>
      <c r="S999" s="13" t="s">
        <v>441</v>
      </c>
      <c r="T999" s="13" t="s">
        <v>442</v>
      </c>
      <c r="U999" s="13" t="s">
        <v>443</v>
      </c>
      <c r="V999" s="47">
        <f>SUMIF(Data!$E:$E,$I999,Data!$AI:$AI)</f>
        <v>0</v>
      </c>
    </row>
    <row r="1000" spans="1:22" ht="15.75" x14ac:dyDescent="0.3">
      <c r="A1000" s="54" t="s">
        <v>5840</v>
      </c>
      <c r="B1000" s="55" t="s">
        <v>120</v>
      </c>
      <c r="C1000" s="56" t="s">
        <v>5703</v>
      </c>
      <c r="D1000" s="57">
        <v>1.1791799999999999E-3</v>
      </c>
      <c r="E1000" s="47">
        <f>SUMIF(Data!$E:$E,$C1000,Data!$AI:$AI)</f>
        <v>0</v>
      </c>
      <c r="G1000" s="13" t="s">
        <v>7024</v>
      </c>
      <c r="H1000" s="13" t="s">
        <v>7025</v>
      </c>
      <c r="I1000" s="13" t="s">
        <v>7026</v>
      </c>
      <c r="J1000" s="13" t="s">
        <v>7027</v>
      </c>
      <c r="K1000" s="13" t="s">
        <v>137</v>
      </c>
      <c r="L1000" s="13" t="s">
        <v>5639</v>
      </c>
      <c r="M1000" s="13" t="s">
        <v>7028</v>
      </c>
      <c r="N1000" s="13">
        <v>103.57299999999999</v>
      </c>
      <c r="O1000" s="13" t="s">
        <v>7029</v>
      </c>
      <c r="P1000" s="13" t="s">
        <v>7030</v>
      </c>
      <c r="Q1000" s="13" t="s">
        <v>734</v>
      </c>
      <c r="R1000" s="13" t="s">
        <v>7031</v>
      </c>
      <c r="S1000" s="13" t="s">
        <v>523</v>
      </c>
      <c r="T1000" s="13" t="s">
        <v>524</v>
      </c>
      <c r="U1000" s="13" t="s">
        <v>525</v>
      </c>
      <c r="V1000" s="47">
        <f>SUMIF(Data!$E:$E,$I1000,Data!$AI:$AI)</f>
        <v>0</v>
      </c>
    </row>
    <row r="1001" spans="1:22" ht="15.75" x14ac:dyDescent="0.3">
      <c r="A1001" s="54" t="s">
        <v>5840</v>
      </c>
      <c r="B1001" s="55" t="s">
        <v>120</v>
      </c>
      <c r="C1001" s="56" t="s">
        <v>5587</v>
      </c>
      <c r="D1001" s="57">
        <v>7.7799999999999994E-5</v>
      </c>
      <c r="E1001" s="47">
        <f>SUMIF(Data!$E:$E,$C1001,Data!$AI:$AI)</f>
        <v>0</v>
      </c>
      <c r="G1001" s="13" t="s">
        <v>7032</v>
      </c>
      <c r="H1001" s="13" t="s">
        <v>7033</v>
      </c>
      <c r="I1001" s="13" t="s">
        <v>7034</v>
      </c>
      <c r="J1001" s="13" t="s">
        <v>7035</v>
      </c>
      <c r="K1001" s="13" t="s">
        <v>137</v>
      </c>
      <c r="L1001" s="13" t="s">
        <v>5639</v>
      </c>
      <c r="M1001" s="13" t="s">
        <v>7036</v>
      </c>
      <c r="N1001" s="13">
        <v>35.255000000000003</v>
      </c>
      <c r="O1001" s="13" t="s">
        <v>7037</v>
      </c>
      <c r="P1001" s="13" t="s">
        <v>7038</v>
      </c>
      <c r="Q1001" s="13" t="s">
        <v>190</v>
      </c>
      <c r="R1001" s="13" t="s">
        <v>7039</v>
      </c>
      <c r="S1001" s="13" t="s">
        <v>192</v>
      </c>
      <c r="T1001" s="13" t="s">
        <v>146</v>
      </c>
      <c r="U1001" s="13" t="s">
        <v>110</v>
      </c>
      <c r="V1001" s="47">
        <f>SUMIF(Data!$E:$E,$I1001,Data!$AI:$AI)</f>
        <v>0</v>
      </c>
    </row>
    <row r="1002" spans="1:22" ht="15.75" x14ac:dyDescent="0.3">
      <c r="A1002" s="54" t="s">
        <v>5840</v>
      </c>
      <c r="B1002" s="55" t="s">
        <v>120</v>
      </c>
      <c r="C1002" s="56" t="s">
        <v>4975</v>
      </c>
      <c r="D1002" s="57">
        <v>5.5432899999999993E-3</v>
      </c>
      <c r="E1002" s="47">
        <f>SUMIF(Data!$E:$E,$C1002,Data!$AI:$AI)</f>
        <v>0</v>
      </c>
      <c r="G1002" s="13" t="s">
        <v>7040</v>
      </c>
      <c r="H1002" s="13" t="s">
        <v>7041</v>
      </c>
      <c r="I1002" s="13" t="s">
        <v>7042</v>
      </c>
      <c r="J1002" s="13" t="s">
        <v>7043</v>
      </c>
      <c r="K1002" s="13" t="s">
        <v>137</v>
      </c>
      <c r="L1002" s="13" t="s">
        <v>5639</v>
      </c>
      <c r="M1002" s="13" t="s">
        <v>7044</v>
      </c>
      <c r="N1002" s="13">
        <v>134.28299999999999</v>
      </c>
      <c r="O1002" s="13" t="s">
        <v>7045</v>
      </c>
      <c r="P1002" s="13" t="s">
        <v>7046</v>
      </c>
      <c r="Q1002" s="13" t="s">
        <v>172</v>
      </c>
      <c r="R1002" s="13" t="s">
        <v>7047</v>
      </c>
      <c r="S1002" s="13" t="s">
        <v>192</v>
      </c>
      <c r="T1002" s="13" t="s">
        <v>146</v>
      </c>
      <c r="U1002" s="13" t="s">
        <v>110</v>
      </c>
      <c r="V1002" s="47">
        <f>SUMIF(Data!$E:$E,$I1002,Data!$AI:$AI)</f>
        <v>0</v>
      </c>
    </row>
    <row r="1003" spans="1:22" ht="15.75" x14ac:dyDescent="0.3">
      <c r="A1003" s="54" t="s">
        <v>5840</v>
      </c>
      <c r="B1003" s="55" t="s">
        <v>120</v>
      </c>
      <c r="C1003" s="56" t="s">
        <v>7048</v>
      </c>
      <c r="D1003" s="57">
        <v>3.1043999999999999E-4</v>
      </c>
      <c r="E1003" s="47">
        <f>SUMIF(Data!$E:$E,$C1003,Data!$AI:$AI)</f>
        <v>0</v>
      </c>
      <c r="G1003" s="13" t="s">
        <v>7049</v>
      </c>
      <c r="H1003" s="13" t="s">
        <v>7050</v>
      </c>
      <c r="I1003" s="13" t="s">
        <v>7051</v>
      </c>
      <c r="J1003" s="13" t="s">
        <v>7052</v>
      </c>
      <c r="K1003" s="13" t="s">
        <v>137</v>
      </c>
      <c r="L1003" s="13" t="s">
        <v>5639</v>
      </c>
      <c r="M1003" s="13" t="s">
        <v>7053</v>
      </c>
      <c r="N1003" s="13">
        <v>112.264</v>
      </c>
      <c r="O1003" s="13" t="s">
        <v>7054</v>
      </c>
      <c r="P1003" s="13" t="s">
        <v>7055</v>
      </c>
      <c r="Q1003" s="13" t="s">
        <v>162</v>
      </c>
      <c r="R1003" s="13" t="s">
        <v>7056</v>
      </c>
      <c r="S1003" s="13" t="s">
        <v>192</v>
      </c>
      <c r="T1003" s="13" t="s">
        <v>146</v>
      </c>
      <c r="U1003" s="13" t="s">
        <v>110</v>
      </c>
      <c r="V1003" s="47">
        <f>SUMIF(Data!$E:$E,$I1003,Data!$AI:$AI)</f>
        <v>0</v>
      </c>
    </row>
    <row r="1004" spans="1:22" ht="15.75" x14ac:dyDescent="0.3">
      <c r="A1004" s="54" t="s">
        <v>5840</v>
      </c>
      <c r="B1004" s="55" t="s">
        <v>120</v>
      </c>
      <c r="C1004" s="56" t="s">
        <v>5218</v>
      </c>
      <c r="D1004" s="57">
        <v>3.48205E-3</v>
      </c>
      <c r="E1004" s="47">
        <f>SUMIF(Data!$E:$E,$C1004,Data!$AI:$AI)</f>
        <v>0</v>
      </c>
      <c r="G1004" s="13" t="s">
        <v>7057</v>
      </c>
      <c r="H1004" s="13" t="s">
        <v>7058</v>
      </c>
      <c r="I1004" s="13" t="s">
        <v>7059</v>
      </c>
      <c r="J1004" s="13" t="s">
        <v>7060</v>
      </c>
      <c r="K1004" s="13" t="s">
        <v>137</v>
      </c>
      <c r="L1004" s="13" t="s">
        <v>5639</v>
      </c>
      <c r="M1004" s="13" t="s">
        <v>7061</v>
      </c>
      <c r="N1004" s="13">
        <v>33.744999999999997</v>
      </c>
      <c r="O1004" s="13" t="s">
        <v>7062</v>
      </c>
      <c r="P1004" s="13" t="s">
        <v>7063</v>
      </c>
      <c r="Q1004" s="13" t="s">
        <v>190</v>
      </c>
      <c r="R1004" s="13" t="s">
        <v>7064</v>
      </c>
      <c r="S1004" s="13" t="s">
        <v>145</v>
      </c>
      <c r="T1004" s="13" t="s">
        <v>146</v>
      </c>
      <c r="U1004" s="13" t="s">
        <v>110</v>
      </c>
      <c r="V1004" s="47">
        <f>SUMIF(Data!$E:$E,$I1004,Data!$AI:$AI)</f>
        <v>0</v>
      </c>
    </row>
    <row r="1005" spans="1:22" ht="15.75" x14ac:dyDescent="0.3">
      <c r="A1005" s="54" t="s">
        <v>5840</v>
      </c>
      <c r="B1005" s="55" t="s">
        <v>120</v>
      </c>
      <c r="C1005" s="56" t="s">
        <v>5225</v>
      </c>
      <c r="D1005" s="57">
        <v>1.9397999999999998E-4</v>
      </c>
      <c r="E1005" s="47">
        <f>SUMIF(Data!$E:$E,$C1005,Data!$AI:$AI)</f>
        <v>0</v>
      </c>
      <c r="G1005" s="13" t="s">
        <v>7065</v>
      </c>
      <c r="H1005" s="13" t="s">
        <v>7066</v>
      </c>
      <c r="I1005" s="13" t="s">
        <v>7067</v>
      </c>
      <c r="J1005" s="13" t="s">
        <v>7068</v>
      </c>
      <c r="K1005" s="13" t="s">
        <v>137</v>
      </c>
      <c r="L1005" s="13" t="s">
        <v>5639</v>
      </c>
      <c r="M1005" s="13" t="s">
        <v>7069</v>
      </c>
      <c r="N1005" s="13">
        <v>42.582000000000001</v>
      </c>
      <c r="O1005" s="13" t="s">
        <v>7070</v>
      </c>
      <c r="P1005" s="13" t="s">
        <v>7071</v>
      </c>
      <c r="Q1005" s="13" t="s">
        <v>162</v>
      </c>
      <c r="R1005" s="13" t="s">
        <v>7072</v>
      </c>
      <c r="S1005" s="13" t="s">
        <v>725</v>
      </c>
      <c r="T1005" s="13" t="s">
        <v>726</v>
      </c>
      <c r="U1005" s="13" t="s">
        <v>727</v>
      </c>
      <c r="V1005" s="47">
        <f>SUMIF(Data!$E:$E,$I1005,Data!$AI:$AI)</f>
        <v>0</v>
      </c>
    </row>
    <row r="1006" spans="1:22" ht="15.75" x14ac:dyDescent="0.3">
      <c r="A1006" s="54" t="s">
        <v>5840</v>
      </c>
      <c r="B1006" s="55" t="s">
        <v>120</v>
      </c>
      <c r="C1006" s="56" t="s">
        <v>5595</v>
      </c>
      <c r="D1006" s="57">
        <v>5.3642000000000002E-4</v>
      </c>
      <c r="E1006" s="47">
        <f>SUMIF(Data!$E:$E,$C1006,Data!$AI:$AI)</f>
        <v>0</v>
      </c>
      <c r="G1006" s="13" t="s">
        <v>7073</v>
      </c>
      <c r="H1006" s="13" t="s">
        <v>7074</v>
      </c>
      <c r="I1006" s="13" t="s">
        <v>7075</v>
      </c>
      <c r="J1006" s="13" t="s">
        <v>7076</v>
      </c>
      <c r="K1006" s="13" t="s">
        <v>137</v>
      </c>
      <c r="L1006" s="13" t="s">
        <v>5639</v>
      </c>
      <c r="M1006" s="13" t="s">
        <v>7077</v>
      </c>
      <c r="N1006" s="13">
        <v>46.197000000000003</v>
      </c>
      <c r="O1006" s="13" t="s">
        <v>7078</v>
      </c>
      <c r="P1006" s="13" t="s">
        <v>7079</v>
      </c>
      <c r="Q1006" s="13" t="s">
        <v>208</v>
      </c>
      <c r="R1006" s="13" t="s">
        <v>7080</v>
      </c>
      <c r="S1006" s="13" t="s">
        <v>192</v>
      </c>
      <c r="T1006" s="13" t="s">
        <v>146</v>
      </c>
      <c r="U1006" s="13" t="s">
        <v>110</v>
      </c>
      <c r="V1006" s="47">
        <f>SUMIF(Data!$E:$E,$I1006,Data!$AI:$AI)</f>
        <v>0</v>
      </c>
    </row>
    <row r="1007" spans="1:22" ht="15.75" x14ac:dyDescent="0.3">
      <c r="A1007" s="54" t="s">
        <v>5840</v>
      </c>
      <c r="B1007" s="55" t="s">
        <v>120</v>
      </c>
      <c r="C1007" s="56" t="s">
        <v>3898</v>
      </c>
      <c r="D1007" s="57">
        <v>3.87894E-3</v>
      </c>
      <c r="E1007" s="47">
        <f>SUMIF(Data!$E:$E,$C1007,Data!$AI:$AI)</f>
        <v>0</v>
      </c>
      <c r="G1007" s="13" t="s">
        <v>7081</v>
      </c>
      <c r="H1007" s="13" t="s">
        <v>7082</v>
      </c>
      <c r="I1007" s="13" t="s">
        <v>7083</v>
      </c>
      <c r="J1007" s="13" t="s">
        <v>7084</v>
      </c>
      <c r="K1007" s="13" t="s">
        <v>137</v>
      </c>
      <c r="L1007" s="13" t="s">
        <v>5639</v>
      </c>
      <c r="M1007" s="13" t="s">
        <v>7085</v>
      </c>
      <c r="N1007" s="13">
        <v>168.78200000000001</v>
      </c>
      <c r="O1007" s="13" t="s">
        <v>7086</v>
      </c>
      <c r="P1007" s="13" t="s">
        <v>7087</v>
      </c>
      <c r="Q1007" s="13" t="s">
        <v>162</v>
      </c>
      <c r="R1007" s="13" t="s">
        <v>7088</v>
      </c>
      <c r="S1007" s="13" t="s">
        <v>192</v>
      </c>
      <c r="T1007" s="13" t="s">
        <v>146</v>
      </c>
      <c r="U1007" s="13" t="s">
        <v>110</v>
      </c>
      <c r="V1007" s="47">
        <f>SUMIF(Data!$E:$E,$I1007,Data!$AI:$AI)</f>
        <v>0</v>
      </c>
    </row>
    <row r="1008" spans="1:22" ht="15.75" x14ac:dyDescent="0.3">
      <c r="A1008" s="54" t="s">
        <v>5840</v>
      </c>
      <c r="B1008" s="55" t="s">
        <v>120</v>
      </c>
      <c r="C1008" s="56" t="s">
        <v>5306</v>
      </c>
      <c r="D1008" s="57">
        <v>1.0078800000000001E-3</v>
      </c>
      <c r="E1008" s="47">
        <f>SUMIF(Data!$E:$E,$C1008,Data!$AI:$AI)</f>
        <v>0</v>
      </c>
      <c r="G1008" s="13" t="s">
        <v>7089</v>
      </c>
      <c r="H1008" s="13" t="s">
        <v>7090</v>
      </c>
      <c r="I1008" s="13" t="s">
        <v>7091</v>
      </c>
      <c r="J1008" s="13" t="s">
        <v>7092</v>
      </c>
      <c r="K1008" s="13" t="s">
        <v>137</v>
      </c>
      <c r="L1008" s="13" t="s">
        <v>5639</v>
      </c>
      <c r="M1008" s="13" t="s">
        <v>7093</v>
      </c>
      <c r="N1008" s="13">
        <v>85.361000000000004</v>
      </c>
      <c r="O1008" s="13" t="s">
        <v>7094</v>
      </c>
      <c r="P1008" s="13" t="s">
        <v>7095</v>
      </c>
      <c r="Q1008" s="13" t="s">
        <v>416</v>
      </c>
      <c r="R1008" s="13" t="s">
        <v>7096</v>
      </c>
      <c r="S1008" s="13" t="s">
        <v>192</v>
      </c>
      <c r="T1008" s="13" t="s">
        <v>146</v>
      </c>
      <c r="U1008" s="13" t="s">
        <v>110</v>
      </c>
      <c r="V1008" s="47">
        <f>SUMIF(Data!$E:$E,$I1008,Data!$AI:$AI)</f>
        <v>0</v>
      </c>
    </row>
    <row r="1009" spans="1:22" ht="15.75" x14ac:dyDescent="0.3">
      <c r="A1009" s="54" t="s">
        <v>5840</v>
      </c>
      <c r="B1009" s="55" t="s">
        <v>120</v>
      </c>
      <c r="C1009" s="56" t="s">
        <v>5238</v>
      </c>
      <c r="D1009" s="57">
        <v>2.1586800000000001E-3</v>
      </c>
      <c r="E1009" s="47">
        <f>SUMIF(Data!$E:$E,$C1009,Data!$AI:$AI)</f>
        <v>0</v>
      </c>
      <c r="G1009" s="13" t="s">
        <v>7097</v>
      </c>
      <c r="H1009" s="13" t="s">
        <v>7098</v>
      </c>
      <c r="I1009" s="13" t="s">
        <v>7099</v>
      </c>
      <c r="J1009" s="13" t="s">
        <v>7100</v>
      </c>
      <c r="K1009" s="13" t="s">
        <v>137</v>
      </c>
      <c r="L1009" s="13" t="s">
        <v>5639</v>
      </c>
      <c r="M1009" s="13" t="s">
        <v>7101</v>
      </c>
      <c r="N1009" s="13">
        <v>43.292000000000002</v>
      </c>
      <c r="O1009" s="13" t="s">
        <v>7102</v>
      </c>
      <c r="P1009" s="13" t="s">
        <v>7103</v>
      </c>
      <c r="Q1009" s="13" t="s">
        <v>806</v>
      </c>
      <c r="R1009" s="13" t="s">
        <v>7104</v>
      </c>
      <c r="S1009" s="13" t="s">
        <v>192</v>
      </c>
      <c r="T1009" s="13" t="s">
        <v>146</v>
      </c>
      <c r="U1009" s="13" t="s">
        <v>110</v>
      </c>
      <c r="V1009" s="47">
        <f>SUMIF(Data!$E:$E,$I1009,Data!$AI:$AI)</f>
        <v>0</v>
      </c>
    </row>
    <row r="1010" spans="1:22" ht="15.75" x14ac:dyDescent="0.3">
      <c r="A1010" s="54" t="s">
        <v>5840</v>
      </c>
      <c r="B1010" s="55" t="s">
        <v>120</v>
      </c>
      <c r="C1010" s="56" t="s">
        <v>1466</v>
      </c>
      <c r="D1010" s="57">
        <v>9.346440000000001E-3</v>
      </c>
      <c r="E1010" s="47">
        <f>SUMIF(Data!$E:$E,$C1010,Data!$AI:$AI)</f>
        <v>0</v>
      </c>
      <c r="G1010" s="13" t="s">
        <v>7105</v>
      </c>
      <c r="H1010" s="13" t="s">
        <v>7106</v>
      </c>
      <c r="I1010" s="13" t="s">
        <v>7107</v>
      </c>
      <c r="J1010" s="13" t="s">
        <v>7108</v>
      </c>
      <c r="K1010" s="13" t="s">
        <v>137</v>
      </c>
      <c r="L1010" s="13" t="s">
        <v>5639</v>
      </c>
      <c r="M1010" s="13" t="s">
        <v>7109</v>
      </c>
      <c r="N1010" s="13">
        <v>29.4</v>
      </c>
      <c r="O1010" s="13" t="s">
        <v>7110</v>
      </c>
      <c r="P1010" s="13" t="s">
        <v>7111</v>
      </c>
      <c r="Q1010" s="13" t="s">
        <v>190</v>
      </c>
      <c r="R1010" s="13" t="s">
        <v>7112</v>
      </c>
      <c r="S1010" s="13" t="s">
        <v>192</v>
      </c>
      <c r="T1010" s="13" t="s">
        <v>146</v>
      </c>
      <c r="U1010" s="13" t="s">
        <v>110</v>
      </c>
      <c r="V1010" s="47">
        <f>SUMIF(Data!$E:$E,$I1010,Data!$AI:$AI)</f>
        <v>0</v>
      </c>
    </row>
    <row r="1011" spans="1:22" ht="15.75" x14ac:dyDescent="0.3">
      <c r="A1011" s="54" t="s">
        <v>5840</v>
      </c>
      <c r="B1011" s="55" t="s">
        <v>120</v>
      </c>
      <c r="C1011" s="56" t="s">
        <v>5602</v>
      </c>
      <c r="D1011" s="57">
        <v>8.0869999999999998E-4</v>
      </c>
      <c r="E1011" s="47">
        <f>SUMIF(Data!$E:$E,$C1011,Data!$AI:$AI)</f>
        <v>0</v>
      </c>
      <c r="G1011" s="13" t="s">
        <v>7113</v>
      </c>
      <c r="H1011" s="13" t="s">
        <v>7114</v>
      </c>
      <c r="I1011" s="13" t="s">
        <v>7115</v>
      </c>
      <c r="J1011" s="13" t="s">
        <v>7116</v>
      </c>
      <c r="K1011" s="13" t="s">
        <v>137</v>
      </c>
      <c r="L1011" s="13" t="s">
        <v>5639</v>
      </c>
      <c r="M1011" s="13" t="s">
        <v>7117</v>
      </c>
      <c r="N1011" s="13">
        <v>59.841999999999999</v>
      </c>
      <c r="O1011" s="13" t="s">
        <v>7118</v>
      </c>
      <c r="P1011" s="13" t="s">
        <v>7119</v>
      </c>
      <c r="Q1011" s="13" t="s">
        <v>143</v>
      </c>
      <c r="R1011" s="13" t="s">
        <v>7120</v>
      </c>
      <c r="S1011" s="13" t="s">
        <v>145</v>
      </c>
      <c r="T1011" s="13" t="s">
        <v>146</v>
      </c>
      <c r="U1011" s="13" t="s">
        <v>110</v>
      </c>
      <c r="V1011" s="47">
        <f>SUMIF(Data!$E:$E,$I1011,Data!$AI:$AI)</f>
        <v>0</v>
      </c>
    </row>
    <row r="1012" spans="1:22" ht="15.75" x14ac:dyDescent="0.3">
      <c r="A1012" s="54" t="s">
        <v>5840</v>
      </c>
      <c r="B1012" s="55" t="s">
        <v>120</v>
      </c>
      <c r="C1012" s="56" t="s">
        <v>4935</v>
      </c>
      <c r="D1012" s="57">
        <v>6.0185400000000002E-3</v>
      </c>
      <c r="E1012" s="47">
        <f>SUMIF(Data!$E:$E,$C1012,Data!$AI:$AI)</f>
        <v>0</v>
      </c>
      <c r="G1012" s="13" t="s">
        <v>7121</v>
      </c>
      <c r="H1012" s="13" t="s">
        <v>7122</v>
      </c>
      <c r="I1012" s="13" t="s">
        <v>7123</v>
      </c>
      <c r="J1012" s="13" t="s">
        <v>7124</v>
      </c>
      <c r="K1012" s="13" t="s">
        <v>137</v>
      </c>
      <c r="L1012" s="13" t="s">
        <v>5639</v>
      </c>
      <c r="M1012" s="13" t="s">
        <v>7125</v>
      </c>
      <c r="N1012" s="13">
        <v>166.03</v>
      </c>
      <c r="O1012" s="13" t="s">
        <v>7126</v>
      </c>
      <c r="P1012" s="13" t="s">
        <v>7127</v>
      </c>
      <c r="Q1012" s="13" t="s">
        <v>694</v>
      </c>
      <c r="R1012" s="13" t="s">
        <v>7128</v>
      </c>
      <c r="S1012" s="13" t="s">
        <v>192</v>
      </c>
      <c r="T1012" s="13" t="s">
        <v>146</v>
      </c>
      <c r="U1012" s="13" t="s">
        <v>110</v>
      </c>
      <c r="V1012" s="47">
        <f>SUMIF(Data!$E:$E,$I1012,Data!$AI:$AI)</f>
        <v>0</v>
      </c>
    </row>
    <row r="1013" spans="1:22" ht="16.5" thickBot="1" x14ac:dyDescent="0.35">
      <c r="A1013" s="58" t="s">
        <v>5840</v>
      </c>
      <c r="B1013" s="59" t="s">
        <v>120</v>
      </c>
      <c r="C1013" s="60" t="s">
        <v>5609</v>
      </c>
      <c r="D1013" s="61">
        <v>4.4790000000000005E-4</v>
      </c>
      <c r="E1013" s="47">
        <f>SUMIF(Data!$E:$E,$C1013,Data!$AI:$AI)</f>
        <v>0</v>
      </c>
      <c r="G1013" s="13" t="s">
        <v>7129</v>
      </c>
      <c r="H1013" s="13" t="s">
        <v>7130</v>
      </c>
      <c r="I1013" s="13" t="s">
        <v>7131</v>
      </c>
      <c r="J1013" s="13" t="s">
        <v>7132</v>
      </c>
      <c r="K1013" s="13" t="s">
        <v>137</v>
      </c>
      <c r="L1013" s="13" t="s">
        <v>5639</v>
      </c>
      <c r="M1013" s="13" t="s">
        <v>7133</v>
      </c>
      <c r="N1013" s="13">
        <v>33.941000000000003</v>
      </c>
      <c r="O1013" s="13" t="s">
        <v>7134</v>
      </c>
      <c r="P1013" s="13" t="s">
        <v>7135</v>
      </c>
      <c r="Q1013" s="13" t="s">
        <v>143</v>
      </c>
      <c r="R1013" s="13" t="s">
        <v>7136</v>
      </c>
      <c r="S1013" s="13" t="s">
        <v>145</v>
      </c>
      <c r="T1013" s="13" t="s">
        <v>146</v>
      </c>
      <c r="U1013" s="13" t="s">
        <v>110</v>
      </c>
      <c r="V1013" s="47">
        <f>SUMIF(Data!$E:$E,$I1013,Data!$AI:$AI)</f>
        <v>0</v>
      </c>
    </row>
    <row r="1014" spans="1:22" x14ac:dyDescent="0.25">
      <c r="A1014" s="46" t="s">
        <v>7137</v>
      </c>
      <c r="B1014" s="46" t="s">
        <v>120</v>
      </c>
      <c r="C1014" s="46" t="s">
        <v>7138</v>
      </c>
      <c r="D1014" s="46">
        <v>2.6166589712781501</v>
      </c>
      <c r="E1014" s="47">
        <f>SUMIF(Data!$E:$E,$C1014,Data!$AI:$AI)</f>
        <v>0</v>
      </c>
      <c r="I1014" s="13" t="s">
        <v>7139</v>
      </c>
      <c r="J1014" s="13" t="s">
        <v>7140</v>
      </c>
      <c r="K1014" s="13" t="s">
        <v>137</v>
      </c>
      <c r="L1014" s="13" t="s">
        <v>5639</v>
      </c>
      <c r="M1014" s="13" t="s">
        <v>7141</v>
      </c>
      <c r="N1014" s="13">
        <v>30.702999999999999</v>
      </c>
      <c r="O1014" s="13" t="s">
        <v>7142</v>
      </c>
      <c r="P1014" s="13" t="s">
        <v>7143</v>
      </c>
      <c r="Q1014" s="13" t="s">
        <v>143</v>
      </c>
      <c r="R1014" s="13" t="s">
        <v>7144</v>
      </c>
      <c r="S1014" s="13" t="s">
        <v>145</v>
      </c>
      <c r="T1014" s="13" t="s">
        <v>146</v>
      </c>
      <c r="U1014" s="13" t="s">
        <v>110</v>
      </c>
      <c r="V1014" s="47">
        <f>SUMIF(Data!$E:$E,$I1014,Data!$AI:$AI)</f>
        <v>0</v>
      </c>
    </row>
    <row r="1015" spans="1:22" x14ac:dyDescent="0.25">
      <c r="A1015" s="46" t="s">
        <v>7137</v>
      </c>
      <c r="B1015" s="46" t="s">
        <v>120</v>
      </c>
      <c r="C1015" s="46" t="s">
        <v>7145</v>
      </c>
      <c r="D1015" s="46">
        <v>0.23003409054417001</v>
      </c>
      <c r="E1015" s="47">
        <f>SUMIF(Data!$E:$E,$C1015,Data!$AI:$AI)</f>
        <v>0</v>
      </c>
      <c r="I1015" s="13" t="s">
        <v>7146</v>
      </c>
      <c r="J1015" s="13" t="s">
        <v>7147</v>
      </c>
      <c r="K1015" s="13" t="s">
        <v>137</v>
      </c>
      <c r="L1015" s="13" t="s">
        <v>5639</v>
      </c>
      <c r="M1015" s="13" t="s">
        <v>7148</v>
      </c>
      <c r="N1015" s="13">
        <v>31.088999999999999</v>
      </c>
      <c r="O1015" s="13" t="s">
        <v>7149</v>
      </c>
      <c r="P1015" s="13" t="s">
        <v>7150</v>
      </c>
      <c r="Q1015" s="13" t="s">
        <v>208</v>
      </c>
      <c r="R1015" s="13" t="s">
        <v>7151</v>
      </c>
      <c r="S1015" s="13" t="s">
        <v>145</v>
      </c>
      <c r="T1015" s="13" t="s">
        <v>146</v>
      </c>
      <c r="U1015" s="13" t="s">
        <v>110</v>
      </c>
      <c r="V1015" s="47">
        <f>SUMIF(Data!$E:$E,$I1015,Data!$AI:$AI)</f>
        <v>0</v>
      </c>
    </row>
    <row r="1016" spans="1:22" x14ac:dyDescent="0.25">
      <c r="A1016" s="46" t="s">
        <v>7137</v>
      </c>
      <c r="B1016" s="46" t="s">
        <v>120</v>
      </c>
      <c r="C1016" s="46" t="s">
        <v>3244</v>
      </c>
      <c r="D1016" s="46">
        <v>0.47275521049378399</v>
      </c>
      <c r="E1016" s="47">
        <f>SUMIF(Data!$E:$E,$C1016,Data!$AI:$AI)</f>
        <v>0</v>
      </c>
      <c r="I1016" s="13" t="s">
        <v>7152</v>
      </c>
      <c r="J1016" s="13" t="s">
        <v>7153</v>
      </c>
      <c r="K1016" s="13" t="s">
        <v>137</v>
      </c>
      <c r="L1016" s="13" t="s">
        <v>5639</v>
      </c>
      <c r="M1016" s="13" t="s">
        <v>7154</v>
      </c>
      <c r="N1016" s="13">
        <v>236.96700000000001</v>
      </c>
      <c r="O1016" s="13" t="s">
        <v>7155</v>
      </c>
      <c r="P1016" s="13" t="s">
        <v>7156</v>
      </c>
      <c r="Q1016" s="13" t="s">
        <v>162</v>
      </c>
      <c r="R1016" s="13" t="s">
        <v>7157</v>
      </c>
      <c r="S1016" s="13" t="s">
        <v>145</v>
      </c>
      <c r="T1016" s="13" t="s">
        <v>146</v>
      </c>
      <c r="U1016" s="13" t="s">
        <v>110</v>
      </c>
      <c r="V1016" s="47">
        <f>SUMIF(Data!$E:$E,$I1016,Data!$AI:$AI)</f>
        <v>0</v>
      </c>
    </row>
    <row r="1017" spans="1:22" x14ac:dyDescent="0.25">
      <c r="A1017" s="46" t="s">
        <v>7137</v>
      </c>
      <c r="B1017" s="46" t="s">
        <v>120</v>
      </c>
      <c r="C1017" s="46" t="s">
        <v>7158</v>
      </c>
      <c r="D1017" s="46">
        <v>0.33437535285700698</v>
      </c>
      <c r="E1017" s="47">
        <f>SUMIF(Data!$E:$E,$C1017,Data!$AI:$AI)</f>
        <v>0</v>
      </c>
      <c r="I1017" s="13" t="s">
        <v>7159</v>
      </c>
      <c r="J1017" s="13" t="s">
        <v>7160</v>
      </c>
      <c r="K1017" s="13" t="s">
        <v>137</v>
      </c>
      <c r="L1017" s="13" t="s">
        <v>5639</v>
      </c>
      <c r="M1017" s="13" t="s">
        <v>7161</v>
      </c>
      <c r="N1017" s="13">
        <v>103.078</v>
      </c>
      <c r="O1017" s="13" t="s">
        <v>7162</v>
      </c>
      <c r="P1017" s="13" t="s">
        <v>7163</v>
      </c>
      <c r="Q1017" s="13" t="s">
        <v>694</v>
      </c>
      <c r="R1017" s="13" t="s">
        <v>7164</v>
      </c>
      <c r="S1017" s="13" t="s">
        <v>192</v>
      </c>
      <c r="T1017" s="13" t="s">
        <v>146</v>
      </c>
      <c r="U1017" s="13" t="s">
        <v>110</v>
      </c>
      <c r="V1017" s="47">
        <f>SUMIF(Data!$E:$E,$I1017,Data!$AI:$AI)</f>
        <v>0</v>
      </c>
    </row>
    <row r="1018" spans="1:22" x14ac:dyDescent="0.25">
      <c r="A1018" s="46" t="s">
        <v>7137</v>
      </c>
      <c r="B1018" s="46" t="s">
        <v>120</v>
      </c>
      <c r="C1018" s="46" t="s">
        <v>7165</v>
      </c>
      <c r="D1018" s="46">
        <v>0.89030308682582404</v>
      </c>
      <c r="E1018" s="47">
        <f>SUMIF(Data!$E:$E,$C1018,Data!$AI:$AI)</f>
        <v>0</v>
      </c>
      <c r="I1018" s="13" t="s">
        <v>7166</v>
      </c>
      <c r="J1018" s="13" t="s">
        <v>7167</v>
      </c>
      <c r="K1018" s="13" t="s">
        <v>137</v>
      </c>
      <c r="L1018" s="13" t="s">
        <v>5639</v>
      </c>
      <c r="M1018" s="13" t="s">
        <v>7168</v>
      </c>
      <c r="N1018" s="13">
        <v>364.71300000000002</v>
      </c>
      <c r="O1018" s="13" t="s">
        <v>7169</v>
      </c>
      <c r="P1018" s="13" t="s">
        <v>7170</v>
      </c>
      <c r="Q1018" s="13" t="s">
        <v>806</v>
      </c>
      <c r="R1018" s="13" t="s">
        <v>7171</v>
      </c>
      <c r="S1018" s="13" t="s">
        <v>476</v>
      </c>
      <c r="T1018" s="13" t="s">
        <v>477</v>
      </c>
      <c r="U1018" s="13" t="s">
        <v>478</v>
      </c>
      <c r="V1018" s="47">
        <f>SUMIF(Data!$E:$E,$I1018,Data!$AI:$AI)</f>
        <v>0</v>
      </c>
    </row>
    <row r="1019" spans="1:22" x14ac:dyDescent="0.25">
      <c r="A1019" s="46" t="s">
        <v>7137</v>
      </c>
      <c r="B1019" s="46" t="s">
        <v>120</v>
      </c>
      <c r="C1019" s="46" t="s">
        <v>7172</v>
      </c>
      <c r="D1019" s="46">
        <v>0.58103422266843396</v>
      </c>
      <c r="E1019" s="47">
        <f>SUMIF(Data!$E:$E,$C1019,Data!$AI:$AI)</f>
        <v>0</v>
      </c>
      <c r="I1019" s="13" t="s">
        <v>7173</v>
      </c>
      <c r="J1019" s="13" t="s">
        <v>7174</v>
      </c>
      <c r="K1019" s="13" t="s">
        <v>137</v>
      </c>
      <c r="L1019" s="13" t="s">
        <v>5639</v>
      </c>
      <c r="M1019" s="13" t="s">
        <v>7175</v>
      </c>
      <c r="N1019" s="13">
        <v>187.91800000000001</v>
      </c>
      <c r="O1019" s="13" t="s">
        <v>7176</v>
      </c>
      <c r="P1019" s="13" t="s">
        <v>7177</v>
      </c>
      <c r="Q1019" s="13" t="s">
        <v>143</v>
      </c>
      <c r="R1019" s="13" t="s">
        <v>7178</v>
      </c>
      <c r="S1019" s="13" t="s">
        <v>192</v>
      </c>
      <c r="T1019" s="13" t="s">
        <v>146</v>
      </c>
      <c r="U1019" s="13" t="s">
        <v>110</v>
      </c>
      <c r="V1019" s="47">
        <f>SUMIF(Data!$E:$E,$I1019,Data!$AI:$AI)</f>
        <v>0</v>
      </c>
    </row>
    <row r="1020" spans="1:22" x14ac:dyDescent="0.25">
      <c r="A1020" s="46" t="s">
        <v>7137</v>
      </c>
      <c r="B1020" s="46" t="s">
        <v>120</v>
      </c>
      <c r="C1020" s="46" t="s">
        <v>7179</v>
      </c>
      <c r="D1020" s="46">
        <v>7.7863251838373004E-2</v>
      </c>
      <c r="E1020" s="47">
        <f>SUMIF(Data!$E:$E,$C1020,Data!$AI:$AI)</f>
        <v>0</v>
      </c>
      <c r="I1020" s="13" t="s">
        <v>7180</v>
      </c>
      <c r="J1020" s="13" t="s">
        <v>7181</v>
      </c>
      <c r="K1020" s="13" t="s">
        <v>137</v>
      </c>
      <c r="L1020" s="13" t="s">
        <v>5639</v>
      </c>
      <c r="M1020" s="13" t="s">
        <v>7182</v>
      </c>
      <c r="N1020" s="13">
        <v>102.789</v>
      </c>
      <c r="O1020" s="13" t="s">
        <v>7183</v>
      </c>
      <c r="P1020" s="13" t="s">
        <v>7184</v>
      </c>
      <c r="Q1020" s="13" t="s">
        <v>694</v>
      </c>
      <c r="R1020" s="13" t="s">
        <v>7185</v>
      </c>
      <c r="S1020" s="13" t="s">
        <v>192</v>
      </c>
      <c r="T1020" s="13" t="s">
        <v>146</v>
      </c>
      <c r="U1020" s="13" t="s">
        <v>110</v>
      </c>
      <c r="V1020" s="47">
        <f>SUMIF(Data!$E:$E,$I1020,Data!$AI:$AI)</f>
        <v>0</v>
      </c>
    </row>
    <row r="1021" spans="1:22" x14ac:dyDescent="0.25">
      <c r="A1021" s="46" t="s">
        <v>7137</v>
      </c>
      <c r="B1021" s="46" t="s">
        <v>120</v>
      </c>
      <c r="C1021" s="46" t="s">
        <v>945</v>
      </c>
      <c r="D1021" s="46">
        <v>2.9348904204241602</v>
      </c>
      <c r="E1021" s="47">
        <f>SUMIF(Data!$E:$E,$C1021,Data!$AI:$AI)</f>
        <v>0</v>
      </c>
      <c r="I1021" s="13" t="s">
        <v>7186</v>
      </c>
      <c r="J1021" s="13" t="s">
        <v>7187</v>
      </c>
      <c r="K1021" s="13" t="s">
        <v>137</v>
      </c>
      <c r="L1021" s="13" t="s">
        <v>5639</v>
      </c>
      <c r="M1021" s="13" t="s">
        <v>7188</v>
      </c>
      <c r="N1021" s="13">
        <v>26.756</v>
      </c>
      <c r="O1021" s="13" t="s">
        <v>7189</v>
      </c>
      <c r="P1021" s="13" t="s">
        <v>7190</v>
      </c>
      <c r="Q1021" s="13" t="s">
        <v>416</v>
      </c>
      <c r="R1021" s="13" t="s">
        <v>7191</v>
      </c>
      <c r="S1021" s="13" t="s">
        <v>226</v>
      </c>
      <c r="T1021" s="13" t="s">
        <v>227</v>
      </c>
      <c r="U1021" s="13" t="s">
        <v>228</v>
      </c>
      <c r="V1021" s="47">
        <f>SUMIF(Data!$E:$E,$I1021,Data!$AI:$AI)</f>
        <v>0</v>
      </c>
    </row>
    <row r="1022" spans="1:22" x14ac:dyDescent="0.25">
      <c r="A1022" s="46" t="s">
        <v>7137</v>
      </c>
      <c r="B1022" s="46" t="s">
        <v>120</v>
      </c>
      <c r="C1022" s="46" t="s">
        <v>7192</v>
      </c>
      <c r="D1022" s="46">
        <v>0.51673074245486095</v>
      </c>
      <c r="E1022" s="47">
        <f>SUMIF(Data!$E:$E,$C1022,Data!$AI:$AI)</f>
        <v>0</v>
      </c>
      <c r="I1022" s="13">
        <v>17</v>
      </c>
      <c r="J1022" s="13" t="s">
        <v>7193</v>
      </c>
      <c r="K1022" s="13" t="s">
        <v>137</v>
      </c>
      <c r="L1022" s="13" t="s">
        <v>5639</v>
      </c>
      <c r="M1022" s="13" t="s">
        <v>7194</v>
      </c>
      <c r="N1022" s="13" t="s">
        <v>7195</v>
      </c>
      <c r="O1022" s="13" t="s">
        <v>7196</v>
      </c>
      <c r="P1022" s="13" t="s">
        <v>7197</v>
      </c>
      <c r="Q1022" s="13" t="s">
        <v>806</v>
      </c>
      <c r="R1022" s="13" t="s">
        <v>7198</v>
      </c>
      <c r="S1022" s="13" t="s">
        <v>549</v>
      </c>
      <c r="T1022" s="13" t="s">
        <v>550</v>
      </c>
      <c r="U1022" s="13" t="s">
        <v>551</v>
      </c>
      <c r="V1022" s="47">
        <f>SUMIF(Data!$E:$E,$I1022,Data!$AI:$AI)</f>
        <v>0</v>
      </c>
    </row>
    <row r="1023" spans="1:22" x14ac:dyDescent="0.25">
      <c r="A1023" s="46" t="s">
        <v>7137</v>
      </c>
      <c r="B1023" s="46" t="s">
        <v>120</v>
      </c>
      <c r="C1023" s="46" t="s">
        <v>7199</v>
      </c>
      <c r="D1023" s="46">
        <v>1.5964137429043099</v>
      </c>
      <c r="E1023" s="47">
        <f>SUMIF(Data!$E:$E,$C1023,Data!$AI:$AI)</f>
        <v>0</v>
      </c>
      <c r="I1023" s="13">
        <v>9613</v>
      </c>
      <c r="J1023" s="13" t="s">
        <v>7200</v>
      </c>
      <c r="K1023" s="13" t="s">
        <v>137</v>
      </c>
      <c r="L1023" s="13" t="s">
        <v>5639</v>
      </c>
      <c r="M1023" s="13" t="s">
        <v>7201</v>
      </c>
      <c r="N1023" s="13">
        <v>317.56</v>
      </c>
      <c r="O1023" s="13" t="s">
        <v>7202</v>
      </c>
      <c r="P1023" s="13" t="s">
        <v>7203</v>
      </c>
      <c r="Q1023" s="13" t="s">
        <v>143</v>
      </c>
      <c r="R1023" s="13" t="s">
        <v>7204</v>
      </c>
      <c r="S1023" s="13" t="s">
        <v>441</v>
      </c>
      <c r="T1023" s="13" t="s">
        <v>442</v>
      </c>
      <c r="U1023" s="13" t="s">
        <v>443</v>
      </c>
      <c r="V1023" s="47">
        <f>SUMIF(Data!$E:$E,$I1023,Data!$AI:$AI)</f>
        <v>0</v>
      </c>
    </row>
    <row r="1024" spans="1:22" x14ac:dyDescent="0.25">
      <c r="A1024" s="46" t="s">
        <v>7137</v>
      </c>
      <c r="B1024" s="46" t="s">
        <v>120</v>
      </c>
      <c r="C1024" s="46" t="s">
        <v>7205</v>
      </c>
      <c r="D1024" s="46">
        <v>1.39843610408857</v>
      </c>
      <c r="E1024" s="47">
        <f>SUMIF(Data!$E:$E,$C1024,Data!$AI:$AI)</f>
        <v>0</v>
      </c>
      <c r="I1024" s="13" t="s">
        <v>7206</v>
      </c>
      <c r="J1024" s="13" t="s">
        <v>7207</v>
      </c>
      <c r="K1024" s="13" t="s">
        <v>137</v>
      </c>
      <c r="L1024" s="13" t="s">
        <v>5639</v>
      </c>
      <c r="M1024" s="13" t="s">
        <v>7208</v>
      </c>
      <c r="N1024" s="13">
        <v>132.00800000000001</v>
      </c>
      <c r="O1024" s="13" t="s">
        <v>7209</v>
      </c>
      <c r="P1024" s="13" t="s">
        <v>7210</v>
      </c>
      <c r="Q1024" s="13" t="s">
        <v>416</v>
      </c>
      <c r="R1024" s="13" t="s">
        <v>7211</v>
      </c>
      <c r="S1024" s="13" t="s">
        <v>192</v>
      </c>
      <c r="T1024" s="13" t="s">
        <v>146</v>
      </c>
      <c r="U1024" s="13" t="s">
        <v>110</v>
      </c>
      <c r="V1024" s="47">
        <f>SUMIF(Data!$E:$E,$I1024,Data!$AI:$AI)</f>
        <v>0</v>
      </c>
    </row>
    <row r="1025" spans="1:22" x14ac:dyDescent="0.25">
      <c r="A1025" s="46" t="s">
        <v>7137</v>
      </c>
      <c r="B1025" s="46" t="s">
        <v>120</v>
      </c>
      <c r="C1025" s="46" t="s">
        <v>7212</v>
      </c>
      <c r="D1025" s="46">
        <v>3.6614911537043E-2</v>
      </c>
      <c r="E1025" s="47">
        <f>SUMIF(Data!$E:$E,$C1025,Data!$AI:$AI)</f>
        <v>0</v>
      </c>
      <c r="I1025" s="13" t="s">
        <v>7213</v>
      </c>
      <c r="J1025" s="13" t="s">
        <v>7214</v>
      </c>
      <c r="K1025" s="13" t="s">
        <v>137</v>
      </c>
      <c r="L1025" s="13" t="s">
        <v>5639</v>
      </c>
      <c r="M1025" s="13" t="s">
        <v>7215</v>
      </c>
      <c r="N1025" s="13">
        <v>126.875</v>
      </c>
      <c r="O1025" s="13" t="s">
        <v>7216</v>
      </c>
      <c r="P1025" s="13" t="s">
        <v>7217</v>
      </c>
      <c r="Q1025" s="13" t="s">
        <v>172</v>
      </c>
      <c r="R1025" s="13" t="s">
        <v>7218</v>
      </c>
      <c r="S1025" s="13" t="s">
        <v>145</v>
      </c>
      <c r="T1025" s="13" t="s">
        <v>146</v>
      </c>
      <c r="U1025" s="13" t="s">
        <v>110</v>
      </c>
      <c r="V1025" s="47">
        <f>SUMIF(Data!$E:$E,$I1025,Data!$AI:$AI)</f>
        <v>0</v>
      </c>
    </row>
    <row r="1026" spans="1:22" x14ac:dyDescent="0.25">
      <c r="A1026" s="46" t="s">
        <v>7137</v>
      </c>
      <c r="B1026" s="46" t="s">
        <v>120</v>
      </c>
      <c r="C1026" s="46" t="s">
        <v>7219</v>
      </c>
      <c r="D1026" s="46">
        <v>2.2190711044684401</v>
      </c>
      <c r="E1026" s="47">
        <f>SUMIF(Data!$E:$E,$C1026,Data!$AI:$AI)</f>
        <v>0</v>
      </c>
      <c r="I1026" s="13" t="s">
        <v>7220</v>
      </c>
      <c r="J1026" s="13" t="s">
        <v>7221</v>
      </c>
      <c r="K1026" s="13" t="s">
        <v>137</v>
      </c>
      <c r="L1026" s="13" t="s">
        <v>5639</v>
      </c>
      <c r="M1026" s="13" t="s">
        <v>7222</v>
      </c>
      <c r="N1026" s="13" t="s">
        <v>7223</v>
      </c>
      <c r="O1026" s="13" t="s">
        <v>7224</v>
      </c>
      <c r="P1026" s="13" t="s">
        <v>7225</v>
      </c>
      <c r="Q1026" s="13" t="s">
        <v>806</v>
      </c>
      <c r="R1026" s="13" t="s">
        <v>7226</v>
      </c>
      <c r="S1026" s="13" t="s">
        <v>2365</v>
      </c>
      <c r="T1026" s="13" t="s">
        <v>2366</v>
      </c>
      <c r="U1026" s="13" t="s">
        <v>2367</v>
      </c>
      <c r="V1026" s="47">
        <f>SUMIF(Data!$E:$E,$I1026,Data!$AI:$AI)</f>
        <v>0</v>
      </c>
    </row>
    <row r="1027" spans="1:22" x14ac:dyDescent="0.25">
      <c r="A1027" s="46" t="s">
        <v>7137</v>
      </c>
      <c r="B1027" s="46" t="s">
        <v>120</v>
      </c>
      <c r="C1027" s="46" t="s">
        <v>7227</v>
      </c>
      <c r="D1027" s="46">
        <v>0.82309125511438597</v>
      </c>
      <c r="E1027" s="47">
        <f>SUMIF(Data!$E:$E,$C1027,Data!$AI:$AI)</f>
        <v>0</v>
      </c>
      <c r="I1027" s="13" t="s">
        <v>7228</v>
      </c>
      <c r="J1027" s="13" t="s">
        <v>7229</v>
      </c>
      <c r="K1027" s="13" t="s">
        <v>137</v>
      </c>
      <c r="L1027" s="13" t="s">
        <v>5639</v>
      </c>
      <c r="M1027" s="13" t="s">
        <v>7230</v>
      </c>
      <c r="N1027" s="13">
        <v>382.27199999999999</v>
      </c>
      <c r="O1027" s="13" t="s">
        <v>7231</v>
      </c>
      <c r="P1027" s="13" t="s">
        <v>7232</v>
      </c>
      <c r="Q1027" s="13" t="s">
        <v>224</v>
      </c>
      <c r="R1027" s="13" t="s">
        <v>7233</v>
      </c>
      <c r="S1027" s="13" t="s">
        <v>847</v>
      </c>
      <c r="T1027" s="13" t="s">
        <v>848</v>
      </c>
      <c r="U1027" s="13" t="s">
        <v>849</v>
      </c>
      <c r="V1027" s="47">
        <f>SUMIF(Data!$E:$E,$I1027,Data!$AI:$AI)</f>
        <v>0</v>
      </c>
    </row>
    <row r="1028" spans="1:22" x14ac:dyDescent="0.25">
      <c r="A1028" s="46" t="s">
        <v>7137</v>
      </c>
      <c r="B1028" s="46" t="s">
        <v>120</v>
      </c>
      <c r="C1028" s="46" t="s">
        <v>7234</v>
      </c>
      <c r="D1028" s="46">
        <v>2.0448044184343899</v>
      </c>
      <c r="E1028" s="47">
        <f>SUMIF(Data!$E:$E,$C1028,Data!$AI:$AI)</f>
        <v>0</v>
      </c>
      <c r="I1028" s="13">
        <v>8473</v>
      </c>
      <c r="J1028" s="13" t="s">
        <v>7235</v>
      </c>
      <c r="K1028" s="13" t="s">
        <v>137</v>
      </c>
      <c r="L1028" s="13" t="s">
        <v>5639</v>
      </c>
      <c r="M1028" s="13" t="s">
        <v>5551</v>
      </c>
      <c r="N1028" s="13">
        <v>200.4</v>
      </c>
      <c r="O1028" s="13" t="s">
        <v>7236</v>
      </c>
      <c r="P1028" s="13" t="s">
        <v>7237</v>
      </c>
      <c r="Q1028" s="13" t="s">
        <v>190</v>
      </c>
      <c r="R1028" s="13" t="s">
        <v>7238</v>
      </c>
      <c r="S1028" s="13" t="s">
        <v>441</v>
      </c>
      <c r="T1028" s="13" t="s">
        <v>442</v>
      </c>
      <c r="U1028" s="13" t="s">
        <v>443</v>
      </c>
      <c r="V1028" s="47">
        <f>SUMIF(Data!$E:$E,$I1028,Data!$AI:$AI)</f>
        <v>0</v>
      </c>
    </row>
    <row r="1029" spans="1:22" x14ac:dyDescent="0.25">
      <c r="A1029" s="46" t="s">
        <v>7137</v>
      </c>
      <c r="B1029" s="46" t="s">
        <v>120</v>
      </c>
      <c r="C1029" s="46" t="s">
        <v>5697</v>
      </c>
      <c r="D1029" s="46">
        <v>0.17141323962066399</v>
      </c>
      <c r="E1029" s="47">
        <f>SUMIF(Data!$E:$E,$C1029,Data!$AI:$AI)</f>
        <v>0</v>
      </c>
      <c r="I1029" s="13" t="s">
        <v>7239</v>
      </c>
      <c r="J1029" s="13" t="s">
        <v>7240</v>
      </c>
      <c r="K1029" s="13" t="s">
        <v>137</v>
      </c>
      <c r="L1029" s="13" t="s">
        <v>5639</v>
      </c>
      <c r="M1029" s="13" t="s">
        <v>7241</v>
      </c>
      <c r="N1029" s="13" t="s">
        <v>7242</v>
      </c>
      <c r="O1029" s="13" t="s">
        <v>7243</v>
      </c>
      <c r="P1029" s="13" t="s">
        <v>7244</v>
      </c>
      <c r="Q1029" s="13" t="s">
        <v>190</v>
      </c>
      <c r="R1029" s="13" t="s">
        <v>7245</v>
      </c>
      <c r="S1029" s="13" t="s">
        <v>476</v>
      </c>
      <c r="T1029" s="13" t="s">
        <v>477</v>
      </c>
      <c r="U1029" s="13" t="s">
        <v>478</v>
      </c>
      <c r="V1029" s="47">
        <f>SUMIF(Data!$E:$E,$I1029,Data!$AI:$AI)</f>
        <v>0</v>
      </c>
    </row>
    <row r="1030" spans="1:22" x14ac:dyDescent="0.25">
      <c r="A1030" s="46" t="s">
        <v>7137</v>
      </c>
      <c r="B1030" s="46" t="s">
        <v>120</v>
      </c>
      <c r="C1030" s="46" t="s">
        <v>7246</v>
      </c>
      <c r="D1030" s="46">
        <v>1.7854067407901699</v>
      </c>
      <c r="E1030" s="47">
        <f>SUMIF(Data!$E:$E,$C1030,Data!$AI:$AI)</f>
        <v>0</v>
      </c>
      <c r="I1030" s="13" t="s">
        <v>7247</v>
      </c>
      <c r="J1030" s="13" t="s">
        <v>7248</v>
      </c>
      <c r="K1030" s="13" t="s">
        <v>137</v>
      </c>
      <c r="L1030" s="13" t="s">
        <v>5639</v>
      </c>
      <c r="M1030" s="13" t="s">
        <v>7249</v>
      </c>
      <c r="N1030" s="13">
        <v>66.97</v>
      </c>
      <c r="O1030" s="13" t="s">
        <v>7250</v>
      </c>
      <c r="P1030" s="13" t="s">
        <v>7251</v>
      </c>
      <c r="Q1030" s="13" t="s">
        <v>190</v>
      </c>
      <c r="R1030" s="13" t="s">
        <v>7252</v>
      </c>
      <c r="S1030" s="13" t="s">
        <v>725</v>
      </c>
      <c r="T1030" s="13" t="s">
        <v>726</v>
      </c>
      <c r="U1030" s="13" t="s">
        <v>727</v>
      </c>
      <c r="V1030" s="47">
        <f>SUMIF(Data!$E:$E,$I1030,Data!$AI:$AI)</f>
        <v>0</v>
      </c>
    </row>
    <row r="1031" spans="1:22" x14ac:dyDescent="0.25">
      <c r="A1031" s="46" t="s">
        <v>7137</v>
      </c>
      <c r="B1031" s="46" t="s">
        <v>120</v>
      </c>
      <c r="C1031" s="46" t="s">
        <v>7253</v>
      </c>
      <c r="D1031" s="46">
        <v>1.5582855847366199</v>
      </c>
      <c r="E1031" s="47">
        <f>SUMIF(Data!$E:$E,$C1031,Data!$AI:$AI)</f>
        <v>0</v>
      </c>
      <c r="I1031" s="13" t="s">
        <v>7254</v>
      </c>
      <c r="J1031" s="13" t="s">
        <v>7255</v>
      </c>
      <c r="K1031" s="13" t="s">
        <v>137</v>
      </c>
      <c r="L1031" s="13" t="s">
        <v>5639</v>
      </c>
      <c r="M1031" s="13" t="s">
        <v>7256</v>
      </c>
      <c r="N1031" s="13">
        <v>78.981999999999999</v>
      </c>
      <c r="O1031" s="13" t="s">
        <v>7257</v>
      </c>
      <c r="P1031" s="13" t="s">
        <v>7258</v>
      </c>
      <c r="Q1031" s="13" t="s">
        <v>260</v>
      </c>
      <c r="R1031" s="13" t="s">
        <v>7259</v>
      </c>
      <c r="S1031" s="13" t="s">
        <v>5888</v>
      </c>
      <c r="T1031" s="13" t="s">
        <v>5889</v>
      </c>
      <c r="U1031" s="13" t="s">
        <v>525</v>
      </c>
      <c r="V1031" s="47">
        <f>SUMIF(Data!$E:$E,$I1031,Data!$AI:$AI)</f>
        <v>0</v>
      </c>
    </row>
    <row r="1032" spans="1:22" x14ac:dyDescent="0.25">
      <c r="A1032" s="46" t="s">
        <v>7137</v>
      </c>
      <c r="B1032" s="46" t="s">
        <v>120</v>
      </c>
      <c r="C1032" s="46" t="s">
        <v>7260</v>
      </c>
      <c r="D1032" s="46">
        <v>0.92960473899219698</v>
      </c>
      <c r="E1032" s="47">
        <f>SUMIF(Data!$E:$E,$C1032,Data!$AI:$AI)</f>
        <v>0</v>
      </c>
      <c r="I1032" s="13" t="s">
        <v>7261</v>
      </c>
      <c r="J1032" s="13" t="s">
        <v>7262</v>
      </c>
      <c r="K1032" s="13" t="s">
        <v>137</v>
      </c>
      <c r="L1032" s="13" t="s">
        <v>5639</v>
      </c>
      <c r="M1032" s="13" t="s">
        <v>7263</v>
      </c>
      <c r="N1032" s="13">
        <v>254.40100000000001</v>
      </c>
      <c r="O1032" s="13" t="s">
        <v>7264</v>
      </c>
      <c r="P1032" s="13" t="s">
        <v>7265</v>
      </c>
      <c r="Q1032" s="13" t="s">
        <v>260</v>
      </c>
      <c r="R1032" s="13" t="s">
        <v>7266</v>
      </c>
      <c r="S1032" s="13" t="s">
        <v>192</v>
      </c>
      <c r="T1032" s="13" t="s">
        <v>146</v>
      </c>
      <c r="U1032" s="13" t="s">
        <v>110</v>
      </c>
      <c r="V1032" s="47">
        <f>SUMIF(Data!$E:$E,$I1032,Data!$AI:$AI)</f>
        <v>0</v>
      </c>
    </row>
    <row r="1033" spans="1:22" x14ac:dyDescent="0.25">
      <c r="A1033" s="46" t="s">
        <v>7137</v>
      </c>
      <c r="B1033" s="46" t="s">
        <v>120</v>
      </c>
      <c r="C1033" s="46" t="s">
        <v>7267</v>
      </c>
      <c r="D1033" s="46">
        <v>0.206408462711513</v>
      </c>
      <c r="E1033" s="47">
        <f>SUMIF(Data!$E:$E,$C1033,Data!$AI:$AI)</f>
        <v>0</v>
      </c>
      <c r="I1033" s="13" t="s">
        <v>7268</v>
      </c>
      <c r="J1033" s="13" t="s">
        <v>7269</v>
      </c>
      <c r="K1033" s="13" t="s">
        <v>137</v>
      </c>
      <c r="L1033" s="13" t="s">
        <v>5639</v>
      </c>
      <c r="M1033" s="13" t="s">
        <v>7270</v>
      </c>
      <c r="N1033" s="13">
        <v>217.64599999999999</v>
      </c>
      <c r="O1033" s="13" t="s">
        <v>7271</v>
      </c>
      <c r="P1033" s="13" t="s">
        <v>7272</v>
      </c>
      <c r="Q1033" s="13" t="s">
        <v>734</v>
      </c>
      <c r="R1033" s="13" t="s">
        <v>7273</v>
      </c>
      <c r="S1033" s="13" t="s">
        <v>847</v>
      </c>
      <c r="T1033" s="13" t="s">
        <v>848</v>
      </c>
      <c r="U1033" s="13" t="s">
        <v>849</v>
      </c>
      <c r="V1033" s="47">
        <f>SUMIF(Data!$E:$E,$I1033,Data!$AI:$AI)</f>
        <v>0</v>
      </c>
    </row>
    <row r="1034" spans="1:22" x14ac:dyDescent="0.25">
      <c r="A1034" s="46" t="s">
        <v>7137</v>
      </c>
      <c r="B1034" s="46" t="s">
        <v>120</v>
      </c>
      <c r="C1034" s="46" t="s">
        <v>7274</v>
      </c>
      <c r="D1034" s="46">
        <v>2.86556820445136</v>
      </c>
      <c r="E1034" s="47">
        <f>SUMIF(Data!$E:$E,$C1034,Data!$AI:$AI)</f>
        <v>0</v>
      </c>
      <c r="I1034" s="13" t="s">
        <v>7275</v>
      </c>
      <c r="J1034" s="13" t="s">
        <v>7276</v>
      </c>
      <c r="K1034" s="13" t="s">
        <v>137</v>
      </c>
      <c r="L1034" s="13" t="s">
        <v>5639</v>
      </c>
      <c r="M1034" s="13" t="s">
        <v>7277</v>
      </c>
      <c r="N1034" s="13" t="s">
        <v>7278</v>
      </c>
      <c r="O1034" s="13" t="s">
        <v>7279</v>
      </c>
      <c r="P1034" s="13" t="s">
        <v>7280</v>
      </c>
      <c r="Q1034" s="13" t="s">
        <v>806</v>
      </c>
      <c r="R1034" s="13" t="s">
        <v>3488</v>
      </c>
      <c r="S1034" s="13" t="s">
        <v>2365</v>
      </c>
      <c r="T1034" s="13" t="s">
        <v>2366</v>
      </c>
      <c r="U1034" s="13" t="s">
        <v>2367</v>
      </c>
      <c r="V1034" s="47">
        <f>SUMIF(Data!$E:$E,$I1034,Data!$AI:$AI)</f>
        <v>0</v>
      </c>
    </row>
    <row r="1035" spans="1:22" x14ac:dyDescent="0.25">
      <c r="A1035" s="46" t="s">
        <v>7137</v>
      </c>
      <c r="B1035" s="46" t="s">
        <v>120</v>
      </c>
      <c r="C1035" s="46" t="s">
        <v>7281</v>
      </c>
      <c r="D1035" s="46">
        <v>0.67001922792115198</v>
      </c>
      <c r="E1035" s="47">
        <f>SUMIF(Data!$E:$E,$C1035,Data!$AI:$AI)</f>
        <v>0</v>
      </c>
      <c r="I1035" s="13" t="s">
        <v>7282</v>
      </c>
      <c r="J1035" s="13" t="s">
        <v>7283</v>
      </c>
      <c r="K1035" s="13" t="s">
        <v>137</v>
      </c>
      <c r="L1035" s="13" t="s">
        <v>5639</v>
      </c>
      <c r="M1035" s="13" t="s">
        <v>7284</v>
      </c>
      <c r="N1035" s="13">
        <v>534.34400000000005</v>
      </c>
      <c r="O1035" s="13" t="s">
        <v>7285</v>
      </c>
      <c r="P1035" s="13" t="s">
        <v>7286</v>
      </c>
      <c r="Q1035" s="13" t="s">
        <v>806</v>
      </c>
      <c r="R1035" s="13" t="s">
        <v>7287</v>
      </c>
      <c r="S1035" s="13" t="s">
        <v>847</v>
      </c>
      <c r="T1035" s="13" t="s">
        <v>848</v>
      </c>
      <c r="U1035" s="13" t="s">
        <v>849</v>
      </c>
      <c r="V1035" s="47">
        <f>SUMIF(Data!$E:$E,$I1035,Data!$AI:$AI)</f>
        <v>0</v>
      </c>
    </row>
    <row r="1036" spans="1:22" x14ac:dyDescent="0.25">
      <c r="A1036" s="46" t="s">
        <v>7137</v>
      </c>
      <c r="B1036" s="46" t="s">
        <v>120</v>
      </c>
      <c r="C1036" s="46" t="s">
        <v>7152</v>
      </c>
      <c r="D1036" s="46">
        <v>0.71656481200480204</v>
      </c>
      <c r="E1036" s="47">
        <f>SUMIF(Data!$E:$E,$C1036,Data!$AI:$AI)</f>
        <v>0</v>
      </c>
      <c r="I1036" s="13">
        <v>1803</v>
      </c>
      <c r="J1036" s="13" t="s">
        <v>7288</v>
      </c>
      <c r="K1036" s="13" t="s">
        <v>137</v>
      </c>
      <c r="L1036" s="13" t="s">
        <v>5639</v>
      </c>
      <c r="M1036" s="13" t="s">
        <v>7289</v>
      </c>
      <c r="N1036" s="13">
        <v>429.22399999999999</v>
      </c>
      <c r="O1036" s="13" t="s">
        <v>7290</v>
      </c>
      <c r="P1036" s="13" t="s">
        <v>7291</v>
      </c>
      <c r="Q1036" s="13" t="s">
        <v>416</v>
      </c>
      <c r="R1036" s="13" t="s">
        <v>7292</v>
      </c>
      <c r="S1036" s="13" t="s">
        <v>441</v>
      </c>
      <c r="T1036" s="13" t="s">
        <v>442</v>
      </c>
      <c r="U1036" s="13" t="s">
        <v>443</v>
      </c>
      <c r="V1036" s="47">
        <f>SUMIF(Data!$E:$E,$I1036,Data!$AI:$AI)</f>
        <v>0</v>
      </c>
    </row>
    <row r="1037" spans="1:22" x14ac:dyDescent="0.25">
      <c r="A1037" s="46" t="s">
        <v>7137</v>
      </c>
      <c r="B1037" s="46" t="s">
        <v>120</v>
      </c>
      <c r="C1037" s="46" t="s">
        <v>7293</v>
      </c>
      <c r="D1037" s="46">
        <v>0.55543069555031299</v>
      </c>
      <c r="E1037" s="47">
        <f>SUMIF(Data!$E:$E,$C1037,Data!$AI:$AI)</f>
        <v>0</v>
      </c>
      <c r="I1037" s="13">
        <v>6952</v>
      </c>
      <c r="J1037" s="13" t="s">
        <v>7294</v>
      </c>
      <c r="K1037" s="13" t="s">
        <v>137</v>
      </c>
      <c r="L1037" s="13" t="s">
        <v>5639</v>
      </c>
      <c r="M1037" s="13" t="s">
        <v>7295</v>
      </c>
      <c r="N1037" s="13">
        <v>211.6</v>
      </c>
      <c r="O1037" s="13" t="s">
        <v>7296</v>
      </c>
      <c r="P1037" s="13" t="s">
        <v>7297</v>
      </c>
      <c r="Q1037" s="13" t="s">
        <v>162</v>
      </c>
      <c r="R1037" s="13" t="s">
        <v>7298</v>
      </c>
      <c r="S1037" s="13" t="s">
        <v>441</v>
      </c>
      <c r="T1037" s="13" t="s">
        <v>442</v>
      </c>
      <c r="U1037" s="13" t="s">
        <v>443</v>
      </c>
      <c r="V1037" s="47">
        <f>SUMIF(Data!$E:$E,$I1037,Data!$AI:$AI)</f>
        <v>0</v>
      </c>
    </row>
    <row r="1038" spans="1:22" x14ac:dyDescent="0.25">
      <c r="A1038" s="46" t="s">
        <v>7137</v>
      </c>
      <c r="B1038" s="46" t="s">
        <v>120</v>
      </c>
      <c r="C1038" s="46" t="s">
        <v>6182</v>
      </c>
      <c r="D1038" s="46">
        <v>0.576839922198917</v>
      </c>
      <c r="E1038" s="47">
        <f>SUMIF(Data!$E:$E,$C1038,Data!$AI:$AI)</f>
        <v>0</v>
      </c>
      <c r="I1038" s="13" t="s">
        <v>7299</v>
      </c>
      <c r="J1038" s="13" t="s">
        <v>7300</v>
      </c>
      <c r="K1038" s="13" t="s">
        <v>137</v>
      </c>
      <c r="L1038" s="13" t="s">
        <v>5639</v>
      </c>
      <c r="M1038" s="13" t="s">
        <v>7301</v>
      </c>
      <c r="N1038" s="13">
        <v>169.834</v>
      </c>
      <c r="O1038" s="13" t="s">
        <v>7302</v>
      </c>
      <c r="P1038" s="13" t="s">
        <v>7303</v>
      </c>
      <c r="Q1038" s="13" t="s">
        <v>190</v>
      </c>
      <c r="R1038" s="13" t="s">
        <v>7304</v>
      </c>
      <c r="S1038" s="13" t="s">
        <v>725</v>
      </c>
      <c r="T1038" s="13" t="s">
        <v>726</v>
      </c>
      <c r="U1038" s="13" t="s">
        <v>727</v>
      </c>
      <c r="V1038" s="47">
        <f>SUMIF(Data!$E:$E,$I1038,Data!$AI:$AI)</f>
        <v>0</v>
      </c>
    </row>
    <row r="1039" spans="1:22" x14ac:dyDescent="0.25">
      <c r="A1039" s="46" t="s">
        <v>7137</v>
      </c>
      <c r="B1039" s="46" t="s">
        <v>120</v>
      </c>
      <c r="C1039" s="46" t="s">
        <v>7305</v>
      </c>
      <c r="D1039" s="46">
        <v>0.227244099414039</v>
      </c>
      <c r="E1039" s="47">
        <f>SUMIF(Data!$E:$E,$C1039,Data!$AI:$AI)</f>
        <v>0</v>
      </c>
      <c r="I1039" s="13" t="s">
        <v>7306</v>
      </c>
      <c r="J1039" s="13" t="s">
        <v>7307</v>
      </c>
      <c r="K1039" s="13" t="s">
        <v>137</v>
      </c>
      <c r="L1039" s="13" t="s">
        <v>5639</v>
      </c>
      <c r="M1039" s="13" t="s">
        <v>7308</v>
      </c>
      <c r="N1039" s="13">
        <v>34.944000000000003</v>
      </c>
      <c r="O1039" s="13" t="s">
        <v>7309</v>
      </c>
      <c r="P1039" s="13" t="s">
        <v>7310</v>
      </c>
      <c r="Q1039" s="13" t="s">
        <v>806</v>
      </c>
      <c r="R1039" s="13" t="s">
        <v>7311</v>
      </c>
      <c r="S1039" s="13" t="s">
        <v>192</v>
      </c>
      <c r="T1039" s="13" t="s">
        <v>146</v>
      </c>
      <c r="U1039" s="13" t="s">
        <v>110</v>
      </c>
      <c r="V1039" s="47">
        <f>SUMIF(Data!$E:$E,$I1039,Data!$AI:$AI)</f>
        <v>0</v>
      </c>
    </row>
    <row r="1040" spans="1:22" x14ac:dyDescent="0.25">
      <c r="A1040" s="46" t="s">
        <v>7137</v>
      </c>
      <c r="B1040" s="46" t="s">
        <v>120</v>
      </c>
      <c r="C1040" s="46" t="s">
        <v>7312</v>
      </c>
      <c r="D1040" s="46">
        <v>0.122902102775525</v>
      </c>
      <c r="E1040" s="47">
        <f>SUMIF(Data!$E:$E,$C1040,Data!$AI:$AI)</f>
        <v>0</v>
      </c>
      <c r="I1040" s="13" t="s">
        <v>7313</v>
      </c>
      <c r="J1040" s="13" t="s">
        <v>7314</v>
      </c>
      <c r="K1040" s="13" t="s">
        <v>137</v>
      </c>
      <c r="L1040" s="13" t="s">
        <v>5639</v>
      </c>
      <c r="M1040" s="13" t="s">
        <v>7315</v>
      </c>
      <c r="N1040" s="13">
        <v>51.779000000000003</v>
      </c>
      <c r="O1040" s="13" t="s">
        <v>7316</v>
      </c>
      <c r="P1040" s="13" t="s">
        <v>7317</v>
      </c>
      <c r="Q1040" s="13" t="s">
        <v>416</v>
      </c>
      <c r="R1040" s="13" t="s">
        <v>7318</v>
      </c>
      <c r="S1040" s="13" t="s">
        <v>476</v>
      </c>
      <c r="T1040" s="13" t="s">
        <v>477</v>
      </c>
      <c r="U1040" s="13" t="s">
        <v>478</v>
      </c>
      <c r="V1040" s="47">
        <f>SUMIF(Data!$E:$E,$I1040,Data!$AI:$AI)</f>
        <v>0</v>
      </c>
    </row>
    <row r="1041" spans="1:22" x14ac:dyDescent="0.25">
      <c r="A1041" s="46" t="s">
        <v>7137</v>
      </c>
      <c r="B1041" s="46" t="s">
        <v>120</v>
      </c>
      <c r="C1041" s="46" t="s">
        <v>7319</v>
      </c>
      <c r="D1041" s="46">
        <v>0.77122843881109904</v>
      </c>
      <c r="E1041" s="47">
        <f>SUMIF(Data!$E:$E,$C1041,Data!$AI:$AI)</f>
        <v>0</v>
      </c>
      <c r="I1041" s="13" t="s">
        <v>7320</v>
      </c>
      <c r="J1041" s="13" t="s">
        <v>7321</v>
      </c>
      <c r="K1041" s="13" t="s">
        <v>137</v>
      </c>
      <c r="L1041" s="13" t="s">
        <v>5639</v>
      </c>
      <c r="M1041" s="13" t="s">
        <v>7322</v>
      </c>
      <c r="N1041" s="13">
        <v>360.76</v>
      </c>
      <c r="O1041" s="13" t="s">
        <v>7323</v>
      </c>
      <c r="P1041" s="13" t="s">
        <v>7324</v>
      </c>
      <c r="Q1041" s="13" t="s">
        <v>143</v>
      </c>
      <c r="R1041" s="13" t="s">
        <v>7325</v>
      </c>
      <c r="S1041" s="13" t="s">
        <v>847</v>
      </c>
      <c r="T1041" s="13" t="s">
        <v>848</v>
      </c>
      <c r="U1041" s="13" t="s">
        <v>849</v>
      </c>
      <c r="V1041" s="47">
        <f>SUMIF(Data!$E:$E,$I1041,Data!$AI:$AI)</f>
        <v>0</v>
      </c>
    </row>
    <row r="1042" spans="1:22" x14ac:dyDescent="0.25">
      <c r="A1042" s="46" t="s">
        <v>7137</v>
      </c>
      <c r="B1042" s="46" t="s">
        <v>120</v>
      </c>
      <c r="C1042" s="46" t="s">
        <v>7326</v>
      </c>
      <c r="D1042" s="46">
        <v>0.67315784824900304</v>
      </c>
      <c r="E1042" s="47">
        <f>SUMIF(Data!$E:$E,$C1042,Data!$AI:$AI)</f>
        <v>0</v>
      </c>
      <c r="I1042" s="13" t="s">
        <v>7327</v>
      </c>
      <c r="J1042" s="13" t="s">
        <v>7328</v>
      </c>
      <c r="K1042" s="13" t="s">
        <v>137</v>
      </c>
      <c r="L1042" s="13" t="s">
        <v>5639</v>
      </c>
      <c r="M1042" s="13" t="s">
        <v>7329</v>
      </c>
      <c r="N1042" s="13">
        <v>209.54599999999999</v>
      </c>
      <c r="O1042" s="13" t="s">
        <v>7330</v>
      </c>
      <c r="P1042" s="13" t="s">
        <v>7331</v>
      </c>
      <c r="Q1042" s="13" t="s">
        <v>208</v>
      </c>
      <c r="R1042" s="13" t="s">
        <v>7332</v>
      </c>
      <c r="S1042" s="13" t="s">
        <v>847</v>
      </c>
      <c r="T1042" s="13" t="s">
        <v>848</v>
      </c>
      <c r="U1042" s="13" t="s">
        <v>849</v>
      </c>
      <c r="V1042" s="47">
        <f>SUMIF(Data!$E:$E,$I1042,Data!$AI:$AI)</f>
        <v>0</v>
      </c>
    </row>
    <row r="1043" spans="1:22" x14ac:dyDescent="0.25">
      <c r="A1043" s="46" t="s">
        <v>7137</v>
      </c>
      <c r="B1043" s="46" t="s">
        <v>120</v>
      </c>
      <c r="C1043" s="46" t="s">
        <v>7333</v>
      </c>
      <c r="D1043" s="46">
        <v>0.131111152619276</v>
      </c>
      <c r="E1043" s="47">
        <f>SUMIF(Data!$E:$E,$C1043,Data!$AI:$AI)</f>
        <v>0</v>
      </c>
      <c r="I1043" s="13">
        <v>6201</v>
      </c>
      <c r="J1043" s="13" t="s">
        <v>7334</v>
      </c>
      <c r="K1043" s="13" t="s">
        <v>137</v>
      </c>
      <c r="L1043" s="13" t="s">
        <v>5639</v>
      </c>
      <c r="M1043" s="13" t="s">
        <v>7335</v>
      </c>
      <c r="N1043" s="13">
        <v>75.763000000000005</v>
      </c>
      <c r="O1043" s="13" t="s">
        <v>7336</v>
      </c>
      <c r="P1043" s="13" t="s">
        <v>7337</v>
      </c>
      <c r="Q1043" s="13" t="s">
        <v>162</v>
      </c>
      <c r="R1043" s="13" t="s">
        <v>7338</v>
      </c>
      <c r="S1043" s="13" t="s">
        <v>441</v>
      </c>
      <c r="T1043" s="13" t="s">
        <v>442</v>
      </c>
      <c r="U1043" s="13" t="s">
        <v>443</v>
      </c>
      <c r="V1043" s="47">
        <f>SUMIF(Data!$E:$E,$I1043,Data!$AI:$AI)</f>
        <v>0</v>
      </c>
    </row>
    <row r="1044" spans="1:22" x14ac:dyDescent="0.25">
      <c r="A1044" s="46" t="s">
        <v>7137</v>
      </c>
      <c r="B1044" s="46" t="s">
        <v>120</v>
      </c>
      <c r="C1044" s="46" t="s">
        <v>7339</v>
      </c>
      <c r="D1044" s="46">
        <v>2.2521488354127001E-2</v>
      </c>
      <c r="E1044" s="47">
        <f>SUMIF(Data!$E:$E,$C1044,Data!$AI:$AI)</f>
        <v>0</v>
      </c>
      <c r="I1044" s="13">
        <v>8953</v>
      </c>
      <c r="J1044" s="13" t="s">
        <v>7340</v>
      </c>
      <c r="K1044" s="13" t="s">
        <v>137</v>
      </c>
      <c r="L1044" s="13" t="s">
        <v>5639</v>
      </c>
      <c r="M1044" s="13" t="s">
        <v>7341</v>
      </c>
      <c r="N1044" s="13">
        <v>2.0739999999999998</v>
      </c>
      <c r="O1044" s="13" t="s">
        <v>7342</v>
      </c>
      <c r="P1044" s="13" t="s">
        <v>7343</v>
      </c>
      <c r="Q1044" s="13" t="s">
        <v>806</v>
      </c>
      <c r="R1044" s="13" t="s">
        <v>7344</v>
      </c>
      <c r="S1044" s="13" t="s">
        <v>441</v>
      </c>
      <c r="T1044" s="13" t="s">
        <v>442</v>
      </c>
      <c r="U1044" s="13" t="s">
        <v>443</v>
      </c>
      <c r="V1044" s="47">
        <f>SUMIF(Data!$E:$E,$I1044,Data!$AI:$AI)</f>
        <v>0</v>
      </c>
    </row>
    <row r="1045" spans="1:22" x14ac:dyDescent="0.25">
      <c r="A1045" s="46" t="s">
        <v>7137</v>
      </c>
      <c r="B1045" s="46" t="s">
        <v>120</v>
      </c>
      <c r="C1045" s="46" t="s">
        <v>7345</v>
      </c>
      <c r="D1045" s="46">
        <v>0.41252971017554202</v>
      </c>
      <c r="E1045" s="47">
        <f>SUMIF(Data!$E:$E,$C1045,Data!$AI:$AI)</f>
        <v>0</v>
      </c>
      <c r="I1045" s="13">
        <v>8952</v>
      </c>
      <c r="J1045" s="13" t="s">
        <v>7346</v>
      </c>
      <c r="K1045" s="13" t="s">
        <v>137</v>
      </c>
      <c r="L1045" s="13" t="s">
        <v>5639</v>
      </c>
      <c r="M1045" s="13" t="s">
        <v>7347</v>
      </c>
      <c r="N1045" s="13">
        <v>663</v>
      </c>
      <c r="O1045" s="13" t="s">
        <v>7348</v>
      </c>
      <c r="P1045" s="13" t="s">
        <v>7349</v>
      </c>
      <c r="Q1045" s="13" t="s">
        <v>806</v>
      </c>
      <c r="R1045" s="13" t="s">
        <v>7350</v>
      </c>
      <c r="S1045" s="13" t="s">
        <v>441</v>
      </c>
      <c r="T1045" s="13" t="s">
        <v>442</v>
      </c>
      <c r="U1045" s="13" t="s">
        <v>443</v>
      </c>
      <c r="V1045" s="47">
        <f>SUMIF(Data!$E:$E,$I1045,Data!$AI:$AI)</f>
        <v>0</v>
      </c>
    </row>
    <row r="1046" spans="1:22" x14ac:dyDescent="0.25">
      <c r="A1046" s="46" t="s">
        <v>7137</v>
      </c>
      <c r="B1046" s="46" t="s">
        <v>120</v>
      </c>
      <c r="C1046" s="46" t="s">
        <v>7351</v>
      </c>
      <c r="D1046" s="46">
        <v>0.640714280652112</v>
      </c>
      <c r="E1046" s="47">
        <f>SUMIF(Data!$E:$E,$C1046,Data!$AI:$AI)</f>
        <v>0</v>
      </c>
      <c r="I1046" s="13" t="s">
        <v>7352</v>
      </c>
      <c r="J1046" s="13" t="s">
        <v>7353</v>
      </c>
      <c r="K1046" s="13" t="s">
        <v>137</v>
      </c>
      <c r="L1046" s="13" t="s">
        <v>5639</v>
      </c>
      <c r="M1046" s="13" t="s">
        <v>7354</v>
      </c>
      <c r="N1046" s="13">
        <v>62.591999999999999</v>
      </c>
      <c r="O1046" s="13" t="s">
        <v>7355</v>
      </c>
      <c r="P1046" s="13" t="s">
        <v>7356</v>
      </c>
      <c r="Q1046" s="13" t="s">
        <v>416</v>
      </c>
      <c r="R1046" s="13" t="s">
        <v>7357</v>
      </c>
      <c r="S1046" s="13" t="s">
        <v>192</v>
      </c>
      <c r="T1046" s="13" t="s">
        <v>146</v>
      </c>
      <c r="U1046" s="13" t="s">
        <v>110</v>
      </c>
      <c r="V1046" s="47">
        <f>SUMIF(Data!$E:$E,$I1046,Data!$AI:$AI)</f>
        <v>0</v>
      </c>
    </row>
    <row r="1047" spans="1:22" x14ac:dyDescent="0.25">
      <c r="A1047" s="46" t="s">
        <v>7137</v>
      </c>
      <c r="B1047" s="46" t="s">
        <v>120</v>
      </c>
      <c r="C1047" s="46" t="s">
        <v>4532</v>
      </c>
      <c r="D1047" s="46">
        <v>4.4527512411265999E-2</v>
      </c>
      <c r="E1047" s="47">
        <f>SUMIF(Data!$E:$E,$C1047,Data!$AI:$AI)</f>
        <v>0</v>
      </c>
      <c r="I1047" s="13" t="s">
        <v>7358</v>
      </c>
      <c r="J1047" s="13" t="s">
        <v>7359</v>
      </c>
      <c r="K1047" s="13" t="s">
        <v>137</v>
      </c>
      <c r="L1047" s="13" t="s">
        <v>5639</v>
      </c>
      <c r="M1047" s="13" t="s">
        <v>7360</v>
      </c>
      <c r="N1047" s="13">
        <v>174.15899999999999</v>
      </c>
      <c r="O1047" s="13" t="s">
        <v>7361</v>
      </c>
      <c r="P1047" s="13" t="s">
        <v>7362</v>
      </c>
      <c r="Q1047" s="13" t="s">
        <v>190</v>
      </c>
      <c r="R1047" s="13" t="s">
        <v>7363</v>
      </c>
      <c r="S1047" s="13" t="s">
        <v>192</v>
      </c>
      <c r="T1047" s="13" t="s">
        <v>146</v>
      </c>
      <c r="U1047" s="13" t="s">
        <v>110</v>
      </c>
      <c r="V1047" s="47">
        <f>SUMIF(Data!$E:$E,$I1047,Data!$AI:$AI)</f>
        <v>0</v>
      </c>
    </row>
    <row r="1048" spans="1:22" x14ac:dyDescent="0.25">
      <c r="A1048" s="46" t="s">
        <v>7137</v>
      </c>
      <c r="B1048" s="46" t="s">
        <v>120</v>
      </c>
      <c r="C1048" s="46" t="s">
        <v>7364</v>
      </c>
      <c r="D1048" s="46">
        <v>0.41085833567000801</v>
      </c>
      <c r="E1048" s="47">
        <f>SUMIF(Data!$E:$E,$C1048,Data!$AI:$AI)</f>
        <v>0</v>
      </c>
      <c r="I1048" s="13" t="s">
        <v>7365</v>
      </c>
      <c r="J1048" s="13" t="s">
        <v>7366</v>
      </c>
      <c r="K1048" s="13" t="s">
        <v>137</v>
      </c>
      <c r="L1048" s="13" t="s">
        <v>5639</v>
      </c>
      <c r="M1048" s="13" t="s">
        <v>7367</v>
      </c>
      <c r="N1048" s="13">
        <v>65.948999999999998</v>
      </c>
      <c r="O1048" s="13" t="s">
        <v>7368</v>
      </c>
      <c r="P1048" s="13" t="s">
        <v>7369</v>
      </c>
      <c r="Q1048" s="13" t="s">
        <v>734</v>
      </c>
      <c r="R1048" s="13" t="s">
        <v>7370</v>
      </c>
      <c r="S1048" s="13" t="s">
        <v>476</v>
      </c>
      <c r="T1048" s="13" t="s">
        <v>477</v>
      </c>
      <c r="U1048" s="13" t="s">
        <v>478</v>
      </c>
      <c r="V1048" s="47">
        <f>SUMIF(Data!$E:$E,$I1048,Data!$AI:$AI)</f>
        <v>0</v>
      </c>
    </row>
    <row r="1049" spans="1:22" x14ac:dyDescent="0.25">
      <c r="A1049" s="46" t="s">
        <v>7137</v>
      </c>
      <c r="B1049" s="46" t="s">
        <v>120</v>
      </c>
      <c r="C1049" s="46" t="s">
        <v>7371</v>
      </c>
      <c r="D1049" s="46">
        <v>0.66342865650266603</v>
      </c>
      <c r="E1049" s="47">
        <f>SUMIF(Data!$E:$E,$C1049,Data!$AI:$AI)</f>
        <v>0</v>
      </c>
      <c r="I1049" s="13" t="s">
        <v>7372</v>
      </c>
      <c r="J1049" s="13" t="s">
        <v>7373</v>
      </c>
      <c r="K1049" s="13" t="s">
        <v>137</v>
      </c>
      <c r="L1049" s="13" t="s">
        <v>5639</v>
      </c>
      <c r="M1049" s="13" t="s">
        <v>7374</v>
      </c>
      <c r="N1049" s="13">
        <v>11.923999999999999</v>
      </c>
      <c r="O1049" s="13" t="s">
        <v>7375</v>
      </c>
      <c r="P1049" s="13" t="s">
        <v>7376</v>
      </c>
      <c r="Q1049" s="13" t="s">
        <v>416</v>
      </c>
      <c r="R1049" s="13" t="s">
        <v>7377</v>
      </c>
      <c r="S1049" s="13" t="s">
        <v>192</v>
      </c>
      <c r="T1049" s="13" t="s">
        <v>146</v>
      </c>
      <c r="U1049" s="13" t="s">
        <v>110</v>
      </c>
      <c r="V1049" s="47">
        <f>SUMIF(Data!$E:$E,$I1049,Data!$AI:$AI)</f>
        <v>0</v>
      </c>
    </row>
    <row r="1050" spans="1:22" x14ac:dyDescent="0.25">
      <c r="A1050" s="46" t="s">
        <v>7137</v>
      </c>
      <c r="B1050" s="46" t="s">
        <v>120</v>
      </c>
      <c r="C1050" s="46" t="s">
        <v>7378</v>
      </c>
      <c r="D1050" s="46">
        <v>0.39450527537712599</v>
      </c>
      <c r="E1050" s="47">
        <f>SUMIF(Data!$E:$E,$C1050,Data!$AI:$AI)</f>
        <v>0</v>
      </c>
      <c r="I1050" s="13" t="s">
        <v>7379</v>
      </c>
      <c r="J1050" s="13" t="s">
        <v>7380</v>
      </c>
      <c r="K1050" s="13" t="s">
        <v>137</v>
      </c>
      <c r="L1050" s="13" t="s">
        <v>5639</v>
      </c>
      <c r="M1050" s="13" t="s">
        <v>7381</v>
      </c>
      <c r="N1050" s="13">
        <v>64.177000000000007</v>
      </c>
      <c r="O1050" s="13" t="s">
        <v>7382</v>
      </c>
      <c r="P1050" s="13" t="s">
        <v>7383</v>
      </c>
      <c r="Q1050" s="13" t="s">
        <v>143</v>
      </c>
      <c r="R1050" s="13" t="s">
        <v>7384</v>
      </c>
      <c r="S1050" s="13" t="s">
        <v>145</v>
      </c>
      <c r="T1050" s="13" t="s">
        <v>146</v>
      </c>
      <c r="U1050" s="13" t="s">
        <v>110</v>
      </c>
      <c r="V1050" s="47">
        <f>SUMIF(Data!$E:$E,$I1050,Data!$AI:$AI)</f>
        <v>0</v>
      </c>
    </row>
    <row r="1051" spans="1:22" x14ac:dyDescent="0.25">
      <c r="A1051" s="46" t="s">
        <v>7137</v>
      </c>
      <c r="B1051" s="46" t="s">
        <v>120</v>
      </c>
      <c r="C1051" s="46" t="s">
        <v>7385</v>
      </c>
      <c r="D1051" s="46">
        <v>7.5103478902642004E-2</v>
      </c>
      <c r="E1051" s="47">
        <f>SUMIF(Data!$E:$E,$C1051,Data!$AI:$AI)</f>
        <v>0</v>
      </c>
      <c r="I1051" s="13">
        <v>4151</v>
      </c>
      <c r="J1051" s="13" t="s">
        <v>7386</v>
      </c>
      <c r="K1051" s="13" t="s">
        <v>137</v>
      </c>
      <c r="L1051" s="13" t="s">
        <v>5639</v>
      </c>
      <c r="M1051" s="13" t="s">
        <v>7387</v>
      </c>
      <c r="N1051" s="13">
        <v>178.31200000000001</v>
      </c>
      <c r="O1051" s="13" t="s">
        <v>7388</v>
      </c>
      <c r="P1051" s="13" t="s">
        <v>7389</v>
      </c>
      <c r="Q1051" s="13" t="s">
        <v>208</v>
      </c>
      <c r="R1051" s="13" t="s">
        <v>7390</v>
      </c>
      <c r="S1051" s="13" t="s">
        <v>441</v>
      </c>
      <c r="T1051" s="13" t="s">
        <v>442</v>
      </c>
      <c r="U1051" s="13" t="s">
        <v>443</v>
      </c>
      <c r="V1051" s="47">
        <f>SUMIF(Data!$E:$E,$I1051,Data!$AI:$AI)</f>
        <v>0</v>
      </c>
    </row>
    <row r="1052" spans="1:22" x14ac:dyDescent="0.25">
      <c r="A1052" s="46" t="s">
        <v>7137</v>
      </c>
      <c r="B1052" s="46" t="s">
        <v>120</v>
      </c>
      <c r="C1052" s="46" t="s">
        <v>7391</v>
      </c>
      <c r="D1052" s="46">
        <v>0.29478397149381702</v>
      </c>
      <c r="E1052" s="47">
        <f>SUMIF(Data!$E:$E,$C1052,Data!$AI:$AI)</f>
        <v>0</v>
      </c>
      <c r="I1052" s="13" t="s">
        <v>7392</v>
      </c>
      <c r="J1052" s="13" t="s">
        <v>7393</v>
      </c>
      <c r="K1052" s="13" t="s">
        <v>137</v>
      </c>
      <c r="L1052" s="13" t="s">
        <v>5639</v>
      </c>
      <c r="M1052" s="13" t="s">
        <v>7394</v>
      </c>
      <c r="N1052" s="13">
        <v>117.532</v>
      </c>
      <c r="O1052" s="13" t="s">
        <v>7395</v>
      </c>
      <c r="P1052" s="13" t="s">
        <v>7396</v>
      </c>
      <c r="Q1052" s="13" t="s">
        <v>734</v>
      </c>
      <c r="R1052" s="13" t="s">
        <v>7397</v>
      </c>
      <c r="S1052" s="13" t="s">
        <v>2410</v>
      </c>
      <c r="T1052" s="13" t="s">
        <v>1282</v>
      </c>
      <c r="U1052" s="13" t="s">
        <v>525</v>
      </c>
      <c r="V1052" s="47">
        <f>SUMIF(Data!$E:$E,$I1052,Data!$AI:$AI)</f>
        <v>0</v>
      </c>
    </row>
    <row r="1053" spans="1:22" x14ac:dyDescent="0.25">
      <c r="A1053" s="46" t="s">
        <v>7137</v>
      </c>
      <c r="B1053" s="46" t="s">
        <v>120</v>
      </c>
      <c r="C1053" s="46" t="s">
        <v>7398</v>
      </c>
      <c r="D1053" s="46">
        <v>1.62563066192056</v>
      </c>
      <c r="E1053" s="47">
        <f>SUMIF(Data!$E:$E,$C1053,Data!$AI:$AI)</f>
        <v>0</v>
      </c>
      <c r="I1053" s="13" t="s">
        <v>7399</v>
      </c>
      <c r="J1053" s="13" t="s">
        <v>7400</v>
      </c>
      <c r="K1053" s="13" t="s">
        <v>137</v>
      </c>
      <c r="L1053" s="13" t="s">
        <v>5639</v>
      </c>
      <c r="M1053" s="13" t="s">
        <v>7401</v>
      </c>
      <c r="N1053" s="13">
        <v>37.164999999999999</v>
      </c>
      <c r="O1053" s="13" t="s">
        <v>7402</v>
      </c>
      <c r="P1053" s="13" t="s">
        <v>7403</v>
      </c>
      <c r="Q1053" s="13" t="s">
        <v>416</v>
      </c>
      <c r="R1053" s="13" t="s">
        <v>7404</v>
      </c>
      <c r="S1053" s="13" t="s">
        <v>560</v>
      </c>
      <c r="T1053" s="13" t="s">
        <v>561</v>
      </c>
      <c r="U1053" s="13" t="s">
        <v>525</v>
      </c>
      <c r="V1053" s="47">
        <f>SUMIF(Data!$E:$E,$I1053,Data!$AI:$AI)</f>
        <v>0</v>
      </c>
    </row>
    <row r="1054" spans="1:22" x14ac:dyDescent="0.25">
      <c r="A1054" s="46" t="s">
        <v>7137</v>
      </c>
      <c r="B1054" s="46" t="s">
        <v>120</v>
      </c>
      <c r="C1054" s="46" t="s">
        <v>7405</v>
      </c>
      <c r="D1054" s="46">
        <v>0.33212188593009401</v>
      </c>
      <c r="E1054" s="47">
        <f>SUMIF(Data!$E:$E,$C1054,Data!$AI:$AI)</f>
        <v>0</v>
      </c>
      <c r="I1054" s="13">
        <v>9007</v>
      </c>
      <c r="J1054" s="13" t="s">
        <v>7406</v>
      </c>
      <c r="K1054" s="13" t="s">
        <v>137</v>
      </c>
      <c r="L1054" s="13" t="s">
        <v>5639</v>
      </c>
      <c r="M1054" s="13" t="s">
        <v>7407</v>
      </c>
      <c r="N1054" s="13">
        <v>185.00399999999999</v>
      </c>
      <c r="O1054" s="13" t="s">
        <v>7408</v>
      </c>
      <c r="P1054" s="13" t="s">
        <v>7409</v>
      </c>
      <c r="Q1054" s="13" t="s">
        <v>416</v>
      </c>
      <c r="R1054" s="13" t="s">
        <v>7410</v>
      </c>
      <c r="S1054" s="13" t="s">
        <v>441</v>
      </c>
      <c r="T1054" s="13" t="s">
        <v>442</v>
      </c>
      <c r="U1054" s="13" t="s">
        <v>443</v>
      </c>
      <c r="V1054" s="47">
        <f>SUMIF(Data!$E:$E,$I1054,Data!$AI:$AI)</f>
        <v>0</v>
      </c>
    </row>
    <row r="1055" spans="1:22" x14ac:dyDescent="0.25">
      <c r="A1055" s="46" t="s">
        <v>7137</v>
      </c>
      <c r="B1055" s="46" t="s">
        <v>120</v>
      </c>
      <c r="C1055" s="46" t="s">
        <v>7411</v>
      </c>
      <c r="D1055" s="46">
        <v>7.2034907394476003E-2</v>
      </c>
      <c r="E1055" s="47">
        <f>SUMIF(Data!$E:$E,$C1055,Data!$AI:$AI)</f>
        <v>0</v>
      </c>
      <c r="I1055" s="13" t="s">
        <v>7412</v>
      </c>
      <c r="J1055" s="13" t="s">
        <v>7413</v>
      </c>
      <c r="K1055" s="13" t="s">
        <v>137</v>
      </c>
      <c r="L1055" s="13" t="s">
        <v>5639</v>
      </c>
      <c r="M1055" s="13" t="s">
        <v>7414</v>
      </c>
      <c r="N1055" s="13">
        <v>274.68299999999999</v>
      </c>
      <c r="O1055" s="13" t="s">
        <v>7415</v>
      </c>
      <c r="P1055" s="13" t="s">
        <v>7416</v>
      </c>
      <c r="Q1055" s="13" t="s">
        <v>734</v>
      </c>
      <c r="R1055" s="13" t="s">
        <v>7417</v>
      </c>
      <c r="S1055" s="13" t="s">
        <v>847</v>
      </c>
      <c r="T1055" s="13" t="s">
        <v>848</v>
      </c>
      <c r="U1055" s="13" t="s">
        <v>849</v>
      </c>
      <c r="V1055" s="47">
        <f>SUMIF(Data!$E:$E,$I1055,Data!$AI:$AI)</f>
        <v>0</v>
      </c>
    </row>
    <row r="1056" spans="1:22" x14ac:dyDescent="0.25">
      <c r="A1056" s="46" t="s">
        <v>7137</v>
      </c>
      <c r="B1056" s="46" t="s">
        <v>120</v>
      </c>
      <c r="C1056" s="46" t="s">
        <v>1771</v>
      </c>
      <c r="D1056" s="46">
        <v>1.4805516173226001</v>
      </c>
      <c r="E1056" s="47">
        <f>SUMIF(Data!$E:$E,$C1056,Data!$AI:$AI)</f>
        <v>0</v>
      </c>
      <c r="I1056" s="13" t="s">
        <v>7418</v>
      </c>
      <c r="J1056" s="13" t="s">
        <v>7419</v>
      </c>
      <c r="K1056" s="13" t="s">
        <v>137</v>
      </c>
      <c r="L1056" s="13" t="s">
        <v>5639</v>
      </c>
      <c r="M1056" s="13" t="s">
        <v>7420</v>
      </c>
      <c r="N1056" s="13">
        <v>79.841999999999999</v>
      </c>
      <c r="O1056" s="13" t="s">
        <v>7421</v>
      </c>
      <c r="P1056" s="13" t="s">
        <v>7422</v>
      </c>
      <c r="Q1056" s="13" t="s">
        <v>143</v>
      </c>
      <c r="R1056" s="13" t="s">
        <v>7423</v>
      </c>
      <c r="S1056" s="13" t="s">
        <v>145</v>
      </c>
      <c r="T1056" s="13" t="s">
        <v>146</v>
      </c>
      <c r="U1056" s="13" t="s">
        <v>110</v>
      </c>
      <c r="V1056" s="47">
        <f>SUMIF(Data!$E:$E,$I1056,Data!$AI:$AI)</f>
        <v>0</v>
      </c>
    </row>
    <row r="1057" spans="1:22" x14ac:dyDescent="0.25">
      <c r="A1057" s="46" t="s">
        <v>7137</v>
      </c>
      <c r="B1057" s="46" t="s">
        <v>120</v>
      </c>
      <c r="C1057" s="46" t="s">
        <v>7424</v>
      </c>
      <c r="D1057" s="46">
        <v>7.0563358762369993E-2</v>
      </c>
      <c r="E1057" s="47">
        <f>SUMIF(Data!$E:$E,$C1057,Data!$AI:$AI)</f>
        <v>0</v>
      </c>
      <c r="I1057" s="13" t="s">
        <v>7425</v>
      </c>
      <c r="J1057" s="13" t="s">
        <v>7426</v>
      </c>
      <c r="K1057" s="13" t="s">
        <v>137</v>
      </c>
      <c r="L1057" s="13" t="s">
        <v>5639</v>
      </c>
      <c r="M1057" s="13" t="s">
        <v>7427</v>
      </c>
      <c r="N1057" s="13">
        <v>107.52200000000001</v>
      </c>
      <c r="O1057" s="13" t="s">
        <v>7428</v>
      </c>
      <c r="P1057" s="13" t="s">
        <v>7429</v>
      </c>
      <c r="Q1057" s="13" t="s">
        <v>416</v>
      </c>
      <c r="R1057" s="13" t="s">
        <v>7430</v>
      </c>
      <c r="S1057" s="13" t="s">
        <v>145</v>
      </c>
      <c r="T1057" s="13" t="s">
        <v>146</v>
      </c>
      <c r="U1057" s="13" t="s">
        <v>110</v>
      </c>
      <c r="V1057" s="47">
        <f>SUMIF(Data!$E:$E,$I1057,Data!$AI:$AI)</f>
        <v>0</v>
      </c>
    </row>
    <row r="1058" spans="1:22" x14ac:dyDescent="0.25">
      <c r="A1058" s="46" t="s">
        <v>7137</v>
      </c>
      <c r="B1058" s="46" t="s">
        <v>120</v>
      </c>
      <c r="C1058" s="46" t="s">
        <v>7431</v>
      </c>
      <c r="D1058" s="46">
        <v>1.13419309622882</v>
      </c>
      <c r="E1058" s="47">
        <f>SUMIF(Data!$E:$E,$C1058,Data!$AI:$AI)</f>
        <v>0</v>
      </c>
      <c r="I1058" s="13" t="s">
        <v>7432</v>
      </c>
      <c r="J1058" s="13" t="s">
        <v>7433</v>
      </c>
      <c r="K1058" s="13" t="s">
        <v>137</v>
      </c>
      <c r="L1058" s="13" t="s">
        <v>5639</v>
      </c>
      <c r="M1058" s="13" t="s">
        <v>7434</v>
      </c>
      <c r="N1058" s="13">
        <v>70.933000000000007</v>
      </c>
      <c r="O1058" s="13" t="s">
        <v>7435</v>
      </c>
      <c r="P1058" s="13" t="s">
        <v>7436</v>
      </c>
      <c r="Q1058" s="13" t="s">
        <v>416</v>
      </c>
      <c r="R1058" s="13" t="s">
        <v>7437</v>
      </c>
      <c r="S1058" s="13" t="s">
        <v>192</v>
      </c>
      <c r="T1058" s="13" t="s">
        <v>643</v>
      </c>
      <c r="U1058" s="13" t="s">
        <v>110</v>
      </c>
      <c r="V1058" s="47">
        <f>SUMIF(Data!$E:$E,$I1058,Data!$AI:$AI)</f>
        <v>0</v>
      </c>
    </row>
    <row r="1059" spans="1:22" x14ac:dyDescent="0.25">
      <c r="A1059" s="46" t="s">
        <v>7137</v>
      </c>
      <c r="B1059" s="46" t="s">
        <v>120</v>
      </c>
      <c r="C1059" s="46" t="s">
        <v>7438</v>
      </c>
      <c r="D1059" s="46">
        <v>0.242017668279117</v>
      </c>
      <c r="E1059" s="47">
        <f>SUMIF(Data!$E:$E,$C1059,Data!$AI:$AI)</f>
        <v>0</v>
      </c>
      <c r="I1059" s="13" t="s">
        <v>7439</v>
      </c>
      <c r="J1059" s="13" t="s">
        <v>7440</v>
      </c>
      <c r="K1059" s="13" t="s">
        <v>137</v>
      </c>
      <c r="L1059" s="13" t="s">
        <v>5639</v>
      </c>
      <c r="M1059" s="13" t="s">
        <v>7441</v>
      </c>
      <c r="N1059" s="13">
        <v>23.727</v>
      </c>
      <c r="O1059" s="13" t="s">
        <v>7442</v>
      </c>
      <c r="P1059" s="13" t="s">
        <v>7443</v>
      </c>
      <c r="Q1059" s="13" t="s">
        <v>190</v>
      </c>
      <c r="R1059" s="13" t="s">
        <v>7444</v>
      </c>
      <c r="S1059" s="13" t="s">
        <v>6414</v>
      </c>
      <c r="T1059" s="13" t="s">
        <v>227</v>
      </c>
      <c r="U1059" s="13" t="s">
        <v>228</v>
      </c>
      <c r="V1059" s="47">
        <f>SUMIF(Data!$E:$E,$I1059,Data!$AI:$AI)</f>
        <v>0</v>
      </c>
    </row>
    <row r="1060" spans="1:22" x14ac:dyDescent="0.25">
      <c r="A1060" s="46" t="s">
        <v>7137</v>
      </c>
      <c r="B1060" s="46" t="s">
        <v>120</v>
      </c>
      <c r="C1060" s="46" t="s">
        <v>7445</v>
      </c>
      <c r="D1060" s="46">
        <v>0.73960154451216098</v>
      </c>
      <c r="E1060" s="47">
        <f>SUMIF(Data!$E:$E,$C1060,Data!$AI:$AI)</f>
        <v>0</v>
      </c>
      <c r="I1060" s="13" t="s">
        <v>7446</v>
      </c>
      <c r="J1060" s="13" t="s">
        <v>7447</v>
      </c>
      <c r="K1060" s="13" t="s">
        <v>137</v>
      </c>
      <c r="L1060" s="13" t="s">
        <v>5639</v>
      </c>
      <c r="M1060" s="13" t="s">
        <v>5463</v>
      </c>
      <c r="N1060" s="13">
        <v>512.577</v>
      </c>
      <c r="O1060" s="13" t="s">
        <v>7448</v>
      </c>
      <c r="P1060" s="13" t="s">
        <v>7449</v>
      </c>
      <c r="Q1060" s="13" t="s">
        <v>190</v>
      </c>
      <c r="R1060" s="13" t="s">
        <v>7450</v>
      </c>
      <c r="S1060" s="13" t="s">
        <v>5736</v>
      </c>
      <c r="T1060" s="13" t="s">
        <v>4831</v>
      </c>
      <c r="U1060" s="13" t="s">
        <v>5737</v>
      </c>
      <c r="V1060" s="47">
        <f>SUMIF(Data!$E:$E,$I1060,Data!$AI:$AI)</f>
        <v>0</v>
      </c>
    </row>
    <row r="1061" spans="1:22" x14ac:dyDescent="0.25">
      <c r="A1061" s="46" t="s">
        <v>7137</v>
      </c>
      <c r="B1061" s="46" t="s">
        <v>120</v>
      </c>
      <c r="C1061" s="46" t="s">
        <v>7451</v>
      </c>
      <c r="D1061" s="46">
        <v>0.70455443061288403</v>
      </c>
      <c r="E1061" s="47">
        <f>SUMIF(Data!$E:$E,$C1061,Data!$AI:$AI)</f>
        <v>0</v>
      </c>
      <c r="I1061" s="13">
        <v>6448</v>
      </c>
      <c r="J1061" s="13" t="s">
        <v>7452</v>
      </c>
      <c r="K1061" s="13" t="s">
        <v>137</v>
      </c>
      <c r="L1061" s="13" t="s">
        <v>5639</v>
      </c>
      <c r="M1061" s="13" t="s">
        <v>7453</v>
      </c>
      <c r="N1061" s="13">
        <v>203</v>
      </c>
      <c r="O1061" s="13" t="s">
        <v>7454</v>
      </c>
      <c r="P1061" s="13" t="s">
        <v>7455</v>
      </c>
      <c r="Q1061" s="13" t="s">
        <v>143</v>
      </c>
      <c r="R1061" s="13" t="s">
        <v>7456</v>
      </c>
      <c r="S1061" s="13" t="s">
        <v>441</v>
      </c>
      <c r="T1061" s="13" t="s">
        <v>442</v>
      </c>
      <c r="U1061" s="13" t="s">
        <v>443</v>
      </c>
      <c r="V1061" s="47">
        <f>SUMIF(Data!$E:$E,$I1061,Data!$AI:$AI)</f>
        <v>0</v>
      </c>
    </row>
    <row r="1062" spans="1:22" x14ac:dyDescent="0.25">
      <c r="A1062" s="46" t="s">
        <v>7137</v>
      </c>
      <c r="B1062" s="46" t="s">
        <v>120</v>
      </c>
      <c r="C1062" s="46" t="s">
        <v>7457</v>
      </c>
      <c r="D1062" s="46">
        <v>0.90321126372028704</v>
      </c>
      <c r="E1062" s="47">
        <f>SUMIF(Data!$E:$E,$C1062,Data!$AI:$AI)</f>
        <v>0</v>
      </c>
      <c r="I1062" s="13" t="s">
        <v>7458</v>
      </c>
      <c r="J1062" s="13" t="s">
        <v>7459</v>
      </c>
      <c r="K1062" s="13" t="s">
        <v>137</v>
      </c>
      <c r="L1062" s="13" t="s">
        <v>5639</v>
      </c>
      <c r="M1062" s="13" t="s">
        <v>7460</v>
      </c>
      <c r="N1062" s="13">
        <v>33.725999999999999</v>
      </c>
      <c r="O1062" s="13" t="s">
        <v>7461</v>
      </c>
      <c r="P1062" s="13" t="s">
        <v>7462</v>
      </c>
      <c r="Q1062" s="13" t="s">
        <v>162</v>
      </c>
      <c r="R1062" s="13" t="s">
        <v>7463</v>
      </c>
      <c r="S1062" s="13" t="s">
        <v>192</v>
      </c>
      <c r="T1062" s="13" t="s">
        <v>146</v>
      </c>
      <c r="U1062" s="13" t="s">
        <v>110</v>
      </c>
      <c r="V1062" s="47">
        <f>SUMIF(Data!$E:$E,$I1062,Data!$AI:$AI)</f>
        <v>0</v>
      </c>
    </row>
    <row r="1063" spans="1:22" x14ac:dyDescent="0.25">
      <c r="A1063" s="46" t="s">
        <v>7137</v>
      </c>
      <c r="B1063" s="46" t="s">
        <v>120</v>
      </c>
      <c r="C1063" s="46" t="s">
        <v>5307</v>
      </c>
      <c r="D1063" s="46">
        <v>0.10927127551973199</v>
      </c>
      <c r="E1063" s="47">
        <f>SUMIF(Data!$E:$E,$C1063,Data!$AI:$AI)</f>
        <v>0</v>
      </c>
      <c r="I1063" s="13" t="s">
        <v>7464</v>
      </c>
      <c r="J1063" s="13" t="s">
        <v>7465</v>
      </c>
      <c r="K1063" s="13" t="s">
        <v>137</v>
      </c>
      <c r="L1063" s="13" t="s">
        <v>5639</v>
      </c>
      <c r="M1063" s="13" t="s">
        <v>7466</v>
      </c>
      <c r="N1063" s="13">
        <v>173.78</v>
      </c>
      <c r="O1063" s="13" t="s">
        <v>7467</v>
      </c>
      <c r="P1063" s="13" t="s">
        <v>7468</v>
      </c>
      <c r="Q1063" s="13" t="s">
        <v>694</v>
      </c>
      <c r="R1063" s="13" t="s">
        <v>7469</v>
      </c>
      <c r="S1063" s="13" t="s">
        <v>1164</v>
      </c>
      <c r="T1063" s="13" t="s">
        <v>1165</v>
      </c>
      <c r="U1063" s="13" t="s">
        <v>525</v>
      </c>
      <c r="V1063" s="47">
        <f>SUMIF(Data!$E:$E,$I1063,Data!$AI:$AI)</f>
        <v>0</v>
      </c>
    </row>
    <row r="1064" spans="1:22" x14ac:dyDescent="0.25">
      <c r="A1064" s="46" t="s">
        <v>7137</v>
      </c>
      <c r="B1064" s="46" t="s">
        <v>120</v>
      </c>
      <c r="C1064" s="46" t="s">
        <v>7470</v>
      </c>
      <c r="D1064" s="46">
        <v>4.3053266633275002E-2</v>
      </c>
      <c r="E1064" s="47">
        <f>SUMIF(Data!$E:$E,$C1064,Data!$AI:$AI)</f>
        <v>0</v>
      </c>
      <c r="I1064" s="13" t="s">
        <v>7471</v>
      </c>
      <c r="J1064" s="13" t="s">
        <v>7472</v>
      </c>
      <c r="K1064" s="13" t="s">
        <v>137</v>
      </c>
      <c r="L1064" s="13" t="s">
        <v>5639</v>
      </c>
      <c r="M1064" s="13" t="s">
        <v>7473</v>
      </c>
      <c r="N1064" s="13">
        <v>15.407999999999999</v>
      </c>
      <c r="O1064" s="13" t="s">
        <v>7474</v>
      </c>
      <c r="P1064" s="13" t="s">
        <v>7475</v>
      </c>
      <c r="Q1064" s="13" t="s">
        <v>162</v>
      </c>
      <c r="R1064" s="13" t="s">
        <v>7476</v>
      </c>
      <c r="S1064" s="13" t="s">
        <v>226</v>
      </c>
      <c r="T1064" s="13" t="s">
        <v>227</v>
      </c>
      <c r="U1064" s="13" t="s">
        <v>228</v>
      </c>
      <c r="V1064" s="47">
        <f>SUMIF(Data!$E:$E,$I1064,Data!$AI:$AI)</f>
        <v>0</v>
      </c>
    </row>
    <row r="1065" spans="1:22" x14ac:dyDescent="0.25">
      <c r="A1065" s="46" t="s">
        <v>7137</v>
      </c>
      <c r="B1065" s="46" t="s">
        <v>120</v>
      </c>
      <c r="C1065" s="46" t="s">
        <v>7477</v>
      </c>
      <c r="D1065" s="46">
        <v>0.44990527689153997</v>
      </c>
      <c r="E1065" s="47">
        <f>SUMIF(Data!$E:$E,$C1065,Data!$AI:$AI)</f>
        <v>0</v>
      </c>
      <c r="I1065" s="13" t="s">
        <v>109</v>
      </c>
      <c r="J1065" s="13" t="s">
        <v>7478</v>
      </c>
      <c r="K1065" s="13" t="s">
        <v>137</v>
      </c>
      <c r="L1065" s="13" t="s">
        <v>5639</v>
      </c>
      <c r="M1065" s="13" t="s">
        <v>7479</v>
      </c>
      <c r="N1065" s="13">
        <v>83.1</v>
      </c>
      <c r="O1065" s="13" t="s">
        <v>7480</v>
      </c>
      <c r="P1065" s="13" t="s">
        <v>7481</v>
      </c>
      <c r="Q1065" s="13" t="s">
        <v>416</v>
      </c>
      <c r="R1065" s="13" t="s">
        <v>7482</v>
      </c>
      <c r="S1065" s="13" t="s">
        <v>192</v>
      </c>
      <c r="T1065" s="13" t="s">
        <v>146</v>
      </c>
      <c r="U1065" s="13" t="s">
        <v>110</v>
      </c>
      <c r="V1065" s="47">
        <f>SUMIF(Data!$E:$E,$I1065,Data!$AI:$AI)</f>
        <v>0</v>
      </c>
    </row>
    <row r="1066" spans="1:22" x14ac:dyDescent="0.25">
      <c r="A1066" s="46" t="s">
        <v>7137</v>
      </c>
      <c r="B1066" s="46" t="s">
        <v>120</v>
      </c>
      <c r="C1066" s="46" t="s">
        <v>7483</v>
      </c>
      <c r="D1066" s="46">
        <v>1.2293548534399401</v>
      </c>
      <c r="E1066" s="47">
        <f>SUMIF(Data!$E:$E,$C1066,Data!$AI:$AI)</f>
        <v>0</v>
      </c>
      <c r="I1066" s="13">
        <v>9005</v>
      </c>
      <c r="J1066" s="13" t="s">
        <v>7484</v>
      </c>
      <c r="K1066" s="13" t="s">
        <v>137</v>
      </c>
      <c r="L1066" s="13" t="s">
        <v>5639</v>
      </c>
      <c r="M1066" s="13" t="s">
        <v>7485</v>
      </c>
      <c r="N1066" s="13">
        <v>237.191</v>
      </c>
      <c r="O1066" s="13" t="s">
        <v>7486</v>
      </c>
      <c r="P1066" s="13" t="s">
        <v>7487</v>
      </c>
      <c r="Q1066" s="13" t="s">
        <v>416</v>
      </c>
      <c r="R1066" s="13" t="s">
        <v>7488</v>
      </c>
      <c r="S1066" s="13" t="s">
        <v>441</v>
      </c>
      <c r="T1066" s="13" t="s">
        <v>442</v>
      </c>
      <c r="U1066" s="13" t="s">
        <v>443</v>
      </c>
      <c r="V1066" s="47">
        <f>SUMIF(Data!$E:$E,$I1066,Data!$AI:$AI)</f>
        <v>0</v>
      </c>
    </row>
    <row r="1067" spans="1:22" x14ac:dyDescent="0.25">
      <c r="A1067" s="46" t="s">
        <v>7137</v>
      </c>
      <c r="B1067" s="46" t="s">
        <v>120</v>
      </c>
      <c r="C1067" s="46" t="s">
        <v>7489</v>
      </c>
      <c r="D1067" s="46">
        <v>0.65966383648930005</v>
      </c>
      <c r="E1067" s="47">
        <f>SUMIF(Data!$E:$E,$C1067,Data!$AI:$AI)</f>
        <v>0</v>
      </c>
      <c r="I1067" s="13" t="s">
        <v>7490</v>
      </c>
      <c r="J1067" s="13" t="s">
        <v>7491</v>
      </c>
      <c r="K1067" s="13" t="s">
        <v>137</v>
      </c>
      <c r="L1067" s="13" t="s">
        <v>5639</v>
      </c>
      <c r="M1067" s="13" t="s">
        <v>7492</v>
      </c>
      <c r="N1067" s="13">
        <v>148.38</v>
      </c>
      <c r="O1067" s="13" t="s">
        <v>7493</v>
      </c>
      <c r="P1067" s="13" t="s">
        <v>7494</v>
      </c>
      <c r="Q1067" s="13" t="s">
        <v>208</v>
      </c>
      <c r="R1067" s="13" t="s">
        <v>7495</v>
      </c>
      <c r="S1067" s="13" t="s">
        <v>192</v>
      </c>
      <c r="T1067" s="13" t="s">
        <v>146</v>
      </c>
      <c r="U1067" s="13" t="s">
        <v>110</v>
      </c>
      <c r="V1067" s="47">
        <f>SUMIF(Data!$E:$E,$I1067,Data!$AI:$AI)</f>
        <v>0</v>
      </c>
    </row>
    <row r="1068" spans="1:22" x14ac:dyDescent="0.25">
      <c r="A1068" s="46" t="s">
        <v>7137</v>
      </c>
      <c r="B1068" s="46" t="s">
        <v>120</v>
      </c>
      <c r="C1068" s="46" t="s">
        <v>7496</v>
      </c>
      <c r="D1068" s="46">
        <v>0.21638835047319799</v>
      </c>
      <c r="E1068" s="47">
        <f>SUMIF(Data!$E:$E,$C1068,Data!$AI:$AI)</f>
        <v>0</v>
      </c>
      <c r="I1068" s="13" t="s">
        <v>7497</v>
      </c>
      <c r="J1068" s="13" t="s">
        <v>7498</v>
      </c>
      <c r="K1068" s="13" t="s">
        <v>137</v>
      </c>
      <c r="L1068" s="13" t="s">
        <v>5639</v>
      </c>
      <c r="M1068" s="13" t="s">
        <v>7499</v>
      </c>
      <c r="N1068" s="13">
        <v>89.613</v>
      </c>
      <c r="O1068" s="13" t="s">
        <v>7500</v>
      </c>
      <c r="P1068" s="13" t="s">
        <v>7501</v>
      </c>
      <c r="Q1068" s="13" t="s">
        <v>190</v>
      </c>
      <c r="R1068" s="13" t="s">
        <v>7502</v>
      </c>
      <c r="S1068" s="13" t="s">
        <v>192</v>
      </c>
      <c r="T1068" s="13" t="s">
        <v>146</v>
      </c>
      <c r="U1068" s="13" t="s">
        <v>110</v>
      </c>
      <c r="V1068" s="47">
        <f>SUMIF(Data!$E:$E,$I1068,Data!$AI:$AI)</f>
        <v>0</v>
      </c>
    </row>
    <row r="1069" spans="1:22" x14ac:dyDescent="0.25">
      <c r="A1069" s="46" t="s">
        <v>7137</v>
      </c>
      <c r="B1069" s="46" t="s">
        <v>120</v>
      </c>
      <c r="C1069" s="46" t="s">
        <v>7503</v>
      </c>
      <c r="D1069" s="46">
        <v>0.98138211026803501</v>
      </c>
      <c r="E1069" s="47">
        <f>SUMIF(Data!$E:$E,$C1069,Data!$AI:$AI)</f>
        <v>0</v>
      </c>
      <c r="I1069" s="13" t="s">
        <v>7504</v>
      </c>
      <c r="J1069" s="13" t="s">
        <v>7505</v>
      </c>
      <c r="K1069" s="13" t="s">
        <v>137</v>
      </c>
      <c r="L1069" s="13" t="s">
        <v>5639</v>
      </c>
      <c r="M1069" s="13" t="s">
        <v>7506</v>
      </c>
      <c r="N1069" s="13">
        <v>23.181999999999999</v>
      </c>
      <c r="O1069" s="13" t="s">
        <v>7507</v>
      </c>
      <c r="P1069" s="13" t="s">
        <v>7508</v>
      </c>
      <c r="Q1069" s="13" t="s">
        <v>806</v>
      </c>
      <c r="R1069" s="13" t="s">
        <v>7509</v>
      </c>
      <c r="S1069" s="13" t="s">
        <v>560</v>
      </c>
      <c r="T1069" s="13" t="s">
        <v>561</v>
      </c>
      <c r="U1069" s="13" t="s">
        <v>525</v>
      </c>
      <c r="V1069" s="47">
        <f>SUMIF(Data!$E:$E,$I1069,Data!$AI:$AI)</f>
        <v>0</v>
      </c>
    </row>
    <row r="1070" spans="1:22" x14ac:dyDescent="0.25">
      <c r="A1070" s="46" t="s">
        <v>7137</v>
      </c>
      <c r="B1070" s="46" t="s">
        <v>120</v>
      </c>
      <c r="C1070" s="46" t="s">
        <v>7510</v>
      </c>
      <c r="D1070" s="46">
        <v>3.1660328685859702</v>
      </c>
      <c r="E1070" s="47">
        <f>SUMIF(Data!$E:$E,$C1070,Data!$AI:$AI)</f>
        <v>0</v>
      </c>
      <c r="I1070" s="13" t="s">
        <v>7511</v>
      </c>
      <c r="J1070" s="13" t="s">
        <v>7512</v>
      </c>
      <c r="K1070" s="13" t="s">
        <v>137</v>
      </c>
      <c r="L1070" s="13" t="s">
        <v>5639</v>
      </c>
      <c r="M1070" s="13" t="s">
        <v>7513</v>
      </c>
      <c r="N1070" s="13">
        <v>116.452</v>
      </c>
      <c r="O1070" s="13" t="s">
        <v>7514</v>
      </c>
      <c r="P1070" s="13" t="s">
        <v>7515</v>
      </c>
      <c r="Q1070" s="13" t="s">
        <v>806</v>
      </c>
      <c r="R1070" s="13" t="s">
        <v>7516</v>
      </c>
      <c r="S1070" s="13" t="s">
        <v>560</v>
      </c>
      <c r="T1070" s="13" t="s">
        <v>561</v>
      </c>
      <c r="U1070" s="13" t="s">
        <v>525</v>
      </c>
      <c r="V1070" s="47">
        <f>SUMIF(Data!$E:$E,$I1070,Data!$AI:$AI)</f>
        <v>0</v>
      </c>
    </row>
    <row r="1071" spans="1:22" x14ac:dyDescent="0.25">
      <c r="A1071" s="46" t="s">
        <v>7137</v>
      </c>
      <c r="B1071" s="46" t="s">
        <v>120</v>
      </c>
      <c r="C1071" s="46" t="s">
        <v>7517</v>
      </c>
      <c r="D1071" s="46">
        <v>0.226306591825156</v>
      </c>
      <c r="E1071" s="47">
        <f>SUMIF(Data!$E:$E,$C1071,Data!$AI:$AI)</f>
        <v>0</v>
      </c>
      <c r="I1071" s="13" t="s">
        <v>7518</v>
      </c>
      <c r="J1071" s="13" t="s">
        <v>7519</v>
      </c>
      <c r="K1071" s="13" t="s">
        <v>137</v>
      </c>
      <c r="L1071" s="13" t="s">
        <v>5639</v>
      </c>
      <c r="M1071" s="13" t="s">
        <v>7520</v>
      </c>
      <c r="N1071" s="13">
        <v>82.186999999999998</v>
      </c>
      <c r="O1071" s="13" t="s">
        <v>7521</v>
      </c>
      <c r="P1071" s="13" t="s">
        <v>7522</v>
      </c>
      <c r="Q1071" s="13" t="s">
        <v>208</v>
      </c>
      <c r="R1071" s="13" t="s">
        <v>7523</v>
      </c>
      <c r="S1071" s="13" t="s">
        <v>847</v>
      </c>
      <c r="T1071" s="13" t="s">
        <v>848</v>
      </c>
      <c r="U1071" s="13" t="s">
        <v>849</v>
      </c>
      <c r="V1071" s="47">
        <f>SUMIF(Data!$E:$E,$I1071,Data!$AI:$AI)</f>
        <v>0</v>
      </c>
    </row>
    <row r="1072" spans="1:22" x14ac:dyDescent="0.25">
      <c r="A1072" s="46" t="s">
        <v>7137</v>
      </c>
      <c r="B1072" s="46" t="s">
        <v>120</v>
      </c>
      <c r="C1072" s="46" t="s">
        <v>7524</v>
      </c>
      <c r="D1072" s="46">
        <v>1.428044329402</v>
      </c>
      <c r="E1072" s="47">
        <f>SUMIF(Data!$E:$E,$C1072,Data!$AI:$AI)</f>
        <v>0</v>
      </c>
      <c r="I1072" s="13" t="s">
        <v>7525</v>
      </c>
      <c r="J1072" s="13" t="s">
        <v>7526</v>
      </c>
      <c r="K1072" s="13" t="s">
        <v>137</v>
      </c>
      <c r="L1072" s="13" t="s">
        <v>5639</v>
      </c>
      <c r="M1072" s="13" t="s">
        <v>7527</v>
      </c>
      <c r="N1072" s="13">
        <v>36.322000000000003</v>
      </c>
      <c r="O1072" s="13" t="s">
        <v>7528</v>
      </c>
      <c r="P1072" s="13" t="s">
        <v>7529</v>
      </c>
      <c r="Q1072" s="13" t="s">
        <v>806</v>
      </c>
      <c r="R1072" s="13" t="s">
        <v>7530</v>
      </c>
      <c r="S1072" s="13" t="s">
        <v>6414</v>
      </c>
      <c r="T1072" s="13" t="s">
        <v>227</v>
      </c>
      <c r="U1072" s="13" t="s">
        <v>228</v>
      </c>
      <c r="V1072" s="47">
        <f>SUMIF(Data!$E:$E,$I1072,Data!$AI:$AI)</f>
        <v>0</v>
      </c>
    </row>
    <row r="1073" spans="1:22" x14ac:dyDescent="0.25">
      <c r="A1073" s="46" t="s">
        <v>7137</v>
      </c>
      <c r="B1073" s="46" t="s">
        <v>120</v>
      </c>
      <c r="C1073" s="46" t="s">
        <v>7531</v>
      </c>
      <c r="D1073" s="46">
        <v>2.7879538859388102</v>
      </c>
      <c r="E1073" s="47">
        <f>SUMIF(Data!$E:$E,$C1073,Data!$AI:$AI)</f>
        <v>0</v>
      </c>
      <c r="I1073" s="13" t="s">
        <v>7532</v>
      </c>
      <c r="J1073" s="13" t="s">
        <v>7533</v>
      </c>
      <c r="K1073" s="13" t="s">
        <v>137</v>
      </c>
      <c r="L1073" s="13" t="s">
        <v>5639</v>
      </c>
      <c r="M1073" s="13" t="s">
        <v>7534</v>
      </c>
      <c r="N1073" s="13">
        <v>94.227999999999994</v>
      </c>
      <c r="O1073" s="13" t="s">
        <v>7535</v>
      </c>
      <c r="P1073" s="13" t="s">
        <v>7536</v>
      </c>
      <c r="Q1073" s="13" t="s">
        <v>162</v>
      </c>
      <c r="R1073" s="13" t="s">
        <v>7537</v>
      </c>
      <c r="S1073" s="13" t="s">
        <v>560</v>
      </c>
      <c r="T1073" s="13" t="s">
        <v>561</v>
      </c>
      <c r="U1073" s="13" t="s">
        <v>525</v>
      </c>
      <c r="V1073" s="47">
        <f>SUMIF(Data!$E:$E,$I1073,Data!$AI:$AI)</f>
        <v>0</v>
      </c>
    </row>
    <row r="1074" spans="1:22" x14ac:dyDescent="0.25">
      <c r="A1074" s="46" t="s">
        <v>7137</v>
      </c>
      <c r="B1074" s="46" t="s">
        <v>120</v>
      </c>
      <c r="C1074" s="46" t="s">
        <v>7538</v>
      </c>
      <c r="D1074" s="46">
        <v>0.95078983620453195</v>
      </c>
      <c r="E1074" s="47">
        <f>SUMIF(Data!$E:$E,$C1074,Data!$AI:$AI)</f>
        <v>0</v>
      </c>
      <c r="I1074" s="13" t="s">
        <v>7539</v>
      </c>
      <c r="J1074" s="13" t="s">
        <v>7540</v>
      </c>
      <c r="K1074" s="13" t="s">
        <v>137</v>
      </c>
      <c r="L1074" s="13" t="s">
        <v>5639</v>
      </c>
      <c r="M1074" s="13" t="s">
        <v>2121</v>
      </c>
      <c r="N1074" s="13">
        <v>162.21799999999999</v>
      </c>
      <c r="O1074" s="13" t="s">
        <v>7541</v>
      </c>
      <c r="P1074" s="13" t="s">
        <v>7542</v>
      </c>
      <c r="Q1074" s="13" t="s">
        <v>694</v>
      </c>
      <c r="R1074" s="13" t="s">
        <v>7543</v>
      </c>
      <c r="S1074" s="13" t="s">
        <v>1164</v>
      </c>
      <c r="T1074" s="13" t="s">
        <v>1165</v>
      </c>
      <c r="U1074" s="13" t="s">
        <v>525</v>
      </c>
      <c r="V1074" s="47">
        <f>SUMIF(Data!$E:$E,$I1074,Data!$AI:$AI)</f>
        <v>0</v>
      </c>
    </row>
    <row r="1075" spans="1:22" x14ac:dyDescent="0.25">
      <c r="A1075" s="46" t="s">
        <v>7137</v>
      </c>
      <c r="B1075" s="46" t="s">
        <v>120</v>
      </c>
      <c r="C1075" s="46" t="s">
        <v>7544</v>
      </c>
      <c r="D1075" s="46">
        <v>2.11424820456326</v>
      </c>
      <c r="E1075" s="47">
        <f>SUMIF(Data!$E:$E,$C1075,Data!$AI:$AI)</f>
        <v>0</v>
      </c>
      <c r="I1075" s="13" t="s">
        <v>7545</v>
      </c>
      <c r="J1075" s="13" t="s">
        <v>7546</v>
      </c>
      <c r="K1075" s="13" t="s">
        <v>137</v>
      </c>
      <c r="L1075" s="13" t="s">
        <v>5639</v>
      </c>
      <c r="M1075" s="13" t="s">
        <v>7547</v>
      </c>
      <c r="N1075" s="13">
        <v>85.355999999999995</v>
      </c>
      <c r="O1075" s="13" t="s">
        <v>7548</v>
      </c>
      <c r="P1075" s="13" t="s">
        <v>7549</v>
      </c>
      <c r="Q1075" s="13" t="s">
        <v>143</v>
      </c>
      <c r="R1075" s="13" t="s">
        <v>7550</v>
      </c>
      <c r="S1075" s="13" t="s">
        <v>192</v>
      </c>
      <c r="T1075" s="13" t="s">
        <v>146</v>
      </c>
      <c r="U1075" s="13" t="s">
        <v>110</v>
      </c>
      <c r="V1075" s="47">
        <f>SUMIF(Data!$E:$E,$I1075,Data!$AI:$AI)</f>
        <v>0</v>
      </c>
    </row>
    <row r="1076" spans="1:22" x14ac:dyDescent="0.25">
      <c r="A1076" s="46" t="s">
        <v>7137</v>
      </c>
      <c r="B1076" s="46" t="s">
        <v>120</v>
      </c>
      <c r="C1076" s="46" t="s">
        <v>4172</v>
      </c>
      <c r="D1076" s="46">
        <v>0.234301862068134</v>
      </c>
      <c r="E1076" s="47">
        <f>SUMIF(Data!$E:$E,$C1076,Data!$AI:$AI)</f>
        <v>0</v>
      </c>
      <c r="I1076" s="13" t="s">
        <v>7551</v>
      </c>
      <c r="J1076" s="13" t="s">
        <v>7552</v>
      </c>
      <c r="K1076" s="13" t="s">
        <v>137</v>
      </c>
      <c r="L1076" s="13" t="s">
        <v>5639</v>
      </c>
      <c r="M1076" s="13" t="s">
        <v>7553</v>
      </c>
      <c r="N1076" s="13">
        <v>129.131</v>
      </c>
      <c r="O1076" s="13" t="s">
        <v>7554</v>
      </c>
      <c r="P1076" s="13" t="s">
        <v>7555</v>
      </c>
      <c r="Q1076" s="13" t="s">
        <v>734</v>
      </c>
      <c r="R1076" s="13" t="s">
        <v>7556</v>
      </c>
      <c r="S1076" s="13" t="s">
        <v>145</v>
      </c>
      <c r="T1076" s="13" t="s">
        <v>146</v>
      </c>
      <c r="U1076" s="13" t="s">
        <v>110</v>
      </c>
      <c r="V1076" s="47">
        <f>SUMIF(Data!$E:$E,$I1076,Data!$AI:$AI)</f>
        <v>0</v>
      </c>
    </row>
    <row r="1077" spans="1:22" x14ac:dyDescent="0.25">
      <c r="A1077" s="46" t="s">
        <v>7137</v>
      </c>
      <c r="B1077" s="46" t="s">
        <v>120</v>
      </c>
      <c r="C1077" s="46" t="s">
        <v>7557</v>
      </c>
      <c r="D1077" s="46">
        <v>1.38480503513649</v>
      </c>
      <c r="E1077" s="47">
        <f>SUMIF(Data!$E:$E,$C1077,Data!$AI:$AI)</f>
        <v>0</v>
      </c>
      <c r="I1077" s="13" t="s">
        <v>7558</v>
      </c>
      <c r="J1077" s="13" t="s">
        <v>7559</v>
      </c>
      <c r="K1077" s="13" t="s">
        <v>137</v>
      </c>
      <c r="L1077" s="13" t="s">
        <v>5639</v>
      </c>
      <c r="M1077" s="13" t="s">
        <v>7560</v>
      </c>
      <c r="N1077" s="13">
        <v>295.09199999999998</v>
      </c>
      <c r="O1077" s="13" t="s">
        <v>7561</v>
      </c>
      <c r="P1077" s="13" t="s">
        <v>7562</v>
      </c>
      <c r="Q1077" s="13" t="s">
        <v>208</v>
      </c>
      <c r="R1077" s="13" t="s">
        <v>7563</v>
      </c>
      <c r="S1077" s="13" t="s">
        <v>7564</v>
      </c>
      <c r="T1077" s="13" t="s">
        <v>7565</v>
      </c>
      <c r="U1077" s="13" t="s">
        <v>7566</v>
      </c>
      <c r="V1077" s="47">
        <f>SUMIF(Data!$E:$E,$I1077,Data!$AI:$AI)</f>
        <v>0</v>
      </c>
    </row>
    <row r="1078" spans="1:22" x14ac:dyDescent="0.25">
      <c r="A1078" s="46" t="s">
        <v>7137</v>
      </c>
      <c r="B1078" s="46" t="s">
        <v>120</v>
      </c>
      <c r="C1078" s="46" t="s">
        <v>7567</v>
      </c>
      <c r="D1078" s="46">
        <v>0.69236310644766996</v>
      </c>
      <c r="E1078" s="47">
        <f>SUMIF(Data!$E:$E,$C1078,Data!$AI:$AI)</f>
        <v>0</v>
      </c>
      <c r="I1078" s="13" t="s">
        <v>7568</v>
      </c>
      <c r="J1078" s="13" t="s">
        <v>7569</v>
      </c>
      <c r="K1078" s="13" t="s">
        <v>137</v>
      </c>
      <c r="L1078" s="13" t="s">
        <v>5639</v>
      </c>
      <c r="M1078" s="13" t="s">
        <v>7570</v>
      </c>
      <c r="N1078" s="13">
        <v>92.915000000000006</v>
      </c>
      <c r="O1078" s="13" t="s">
        <v>7571</v>
      </c>
      <c r="P1078" s="13" t="s">
        <v>7572</v>
      </c>
      <c r="Q1078" s="13" t="s">
        <v>162</v>
      </c>
      <c r="R1078" s="13" t="s">
        <v>7573</v>
      </c>
      <c r="S1078" s="13" t="s">
        <v>1127</v>
      </c>
      <c r="T1078" s="13" t="s">
        <v>1128</v>
      </c>
      <c r="U1078" s="13" t="s">
        <v>525</v>
      </c>
      <c r="V1078" s="47">
        <f>SUMIF(Data!$E:$E,$I1078,Data!$AI:$AI)</f>
        <v>0</v>
      </c>
    </row>
    <row r="1079" spans="1:22" x14ac:dyDescent="0.25">
      <c r="A1079" s="46" t="s">
        <v>7137</v>
      </c>
      <c r="B1079" s="46" t="s">
        <v>120</v>
      </c>
      <c r="C1079" s="46" t="s">
        <v>4079</v>
      </c>
      <c r="D1079" s="46">
        <v>0.76664797078468705</v>
      </c>
      <c r="E1079" s="47">
        <f>SUMIF(Data!$E:$E,$C1079,Data!$AI:$AI)</f>
        <v>0</v>
      </c>
      <c r="I1079" s="13" t="s">
        <v>7574</v>
      </c>
      <c r="J1079" s="13" t="s">
        <v>7575</v>
      </c>
      <c r="K1079" s="13" t="s">
        <v>137</v>
      </c>
      <c r="L1079" s="13" t="s">
        <v>5639</v>
      </c>
      <c r="M1079" s="13" t="s">
        <v>7576</v>
      </c>
      <c r="N1079" s="13">
        <v>215.92699999999999</v>
      </c>
      <c r="O1079" s="13" t="s">
        <v>7577</v>
      </c>
      <c r="P1079" s="13" t="s">
        <v>7578</v>
      </c>
      <c r="Q1079" s="13" t="s">
        <v>806</v>
      </c>
      <c r="R1079" s="13" t="s">
        <v>7579</v>
      </c>
      <c r="S1079" s="13" t="s">
        <v>192</v>
      </c>
      <c r="T1079" s="13" t="s">
        <v>146</v>
      </c>
      <c r="U1079" s="13" t="s">
        <v>110</v>
      </c>
      <c r="V1079" s="47">
        <f>SUMIF(Data!$E:$E,$I1079,Data!$AI:$AI)</f>
        <v>0</v>
      </c>
    </row>
    <row r="1080" spans="1:22" x14ac:dyDescent="0.25">
      <c r="A1080" s="46" t="s">
        <v>7137</v>
      </c>
      <c r="B1080" s="46" t="s">
        <v>120</v>
      </c>
      <c r="C1080" s="46" t="s">
        <v>7580</v>
      </c>
      <c r="D1080" s="46">
        <v>0.50188734029545501</v>
      </c>
      <c r="E1080" s="47">
        <f>SUMIF(Data!$E:$E,$C1080,Data!$AI:$AI)</f>
        <v>0</v>
      </c>
      <c r="I1080" s="13" t="s">
        <v>7581</v>
      </c>
      <c r="J1080" s="13" t="s">
        <v>7582</v>
      </c>
      <c r="K1080" s="13" t="s">
        <v>137</v>
      </c>
      <c r="L1080" s="13" t="s">
        <v>5639</v>
      </c>
      <c r="M1080" s="13" t="s">
        <v>7583</v>
      </c>
      <c r="N1080" s="13">
        <v>140.37799999999999</v>
      </c>
      <c r="O1080" s="13" t="s">
        <v>7584</v>
      </c>
      <c r="P1080" s="13" t="s">
        <v>7585</v>
      </c>
      <c r="Q1080" s="13" t="s">
        <v>416</v>
      </c>
      <c r="R1080" s="13" t="s">
        <v>7586</v>
      </c>
      <c r="S1080" s="13" t="s">
        <v>725</v>
      </c>
      <c r="T1080" s="13" t="s">
        <v>726</v>
      </c>
      <c r="U1080" s="13" t="s">
        <v>727</v>
      </c>
      <c r="V1080" s="47">
        <f>SUMIF(Data!$E:$E,$I1080,Data!$AI:$AI)</f>
        <v>0</v>
      </c>
    </row>
    <row r="1081" spans="1:22" x14ac:dyDescent="0.25">
      <c r="A1081" s="46" t="s">
        <v>7137</v>
      </c>
      <c r="B1081" s="46" t="s">
        <v>120</v>
      </c>
      <c r="C1081" s="46" t="s">
        <v>7587</v>
      </c>
      <c r="D1081" s="46">
        <v>1.0149522150463599</v>
      </c>
      <c r="E1081" s="47">
        <f>SUMIF(Data!$E:$E,$C1081,Data!$AI:$AI)</f>
        <v>0</v>
      </c>
      <c r="I1081" s="13" t="s">
        <v>7588</v>
      </c>
      <c r="J1081" s="13" t="s">
        <v>7589</v>
      </c>
      <c r="K1081" s="13" t="s">
        <v>137</v>
      </c>
      <c r="L1081" s="13" t="s">
        <v>5639</v>
      </c>
      <c r="M1081" s="13" t="s">
        <v>7590</v>
      </c>
      <c r="N1081" s="13">
        <v>168.22900000000001</v>
      </c>
      <c r="O1081" s="13" t="s">
        <v>7591</v>
      </c>
      <c r="P1081" s="13" t="s">
        <v>7592</v>
      </c>
      <c r="Q1081" s="13" t="s">
        <v>162</v>
      </c>
      <c r="R1081" s="13" t="s">
        <v>7593</v>
      </c>
      <c r="S1081" s="13" t="s">
        <v>2928</v>
      </c>
      <c r="T1081" s="13" t="s">
        <v>2929</v>
      </c>
      <c r="U1081" s="13" t="s">
        <v>2930</v>
      </c>
      <c r="V1081" s="47">
        <f>SUMIF(Data!$E:$E,$I1081,Data!$AI:$AI)</f>
        <v>0</v>
      </c>
    </row>
    <row r="1082" spans="1:22" x14ac:dyDescent="0.25">
      <c r="A1082" s="46" t="s">
        <v>7137</v>
      </c>
      <c r="B1082" s="46" t="s">
        <v>120</v>
      </c>
      <c r="C1082" s="46" t="s">
        <v>7594</v>
      </c>
      <c r="D1082" s="46">
        <v>0.65427890621582696</v>
      </c>
      <c r="E1082" s="47">
        <f>SUMIF(Data!$E:$E,$C1082,Data!$AI:$AI)</f>
        <v>0</v>
      </c>
      <c r="I1082" s="13" t="s">
        <v>7595</v>
      </c>
      <c r="J1082" s="13" t="s">
        <v>7596</v>
      </c>
      <c r="K1082" s="13" t="s">
        <v>137</v>
      </c>
      <c r="L1082" s="13" t="s">
        <v>5639</v>
      </c>
      <c r="M1082" s="13" t="s">
        <v>7597</v>
      </c>
      <c r="N1082" s="13">
        <v>35.563000000000002</v>
      </c>
      <c r="O1082" s="13" t="s">
        <v>7598</v>
      </c>
      <c r="P1082" s="13" t="s">
        <v>7599</v>
      </c>
      <c r="Q1082" s="13" t="s">
        <v>416</v>
      </c>
      <c r="R1082" s="13" t="s">
        <v>7600</v>
      </c>
      <c r="S1082" s="13" t="s">
        <v>476</v>
      </c>
      <c r="T1082" s="13" t="s">
        <v>477</v>
      </c>
      <c r="U1082" s="13" t="s">
        <v>478</v>
      </c>
      <c r="V1082" s="47">
        <f>SUMIF(Data!$E:$E,$I1082,Data!$AI:$AI)</f>
        <v>0</v>
      </c>
    </row>
    <row r="1083" spans="1:22" x14ac:dyDescent="0.25">
      <c r="A1083" s="46" t="s">
        <v>7137</v>
      </c>
      <c r="B1083" s="46" t="s">
        <v>120</v>
      </c>
      <c r="C1083" s="46" t="s">
        <v>7601</v>
      </c>
      <c r="D1083" s="46">
        <v>1.40273905550853</v>
      </c>
      <c r="E1083" s="47">
        <f>SUMIF(Data!$E:$E,$C1083,Data!$AI:$AI)</f>
        <v>0</v>
      </c>
      <c r="I1083" s="13" t="s">
        <v>7602</v>
      </c>
      <c r="J1083" s="13" t="s">
        <v>7603</v>
      </c>
      <c r="K1083" s="13" t="s">
        <v>137</v>
      </c>
      <c r="L1083" s="13" t="s">
        <v>5639</v>
      </c>
      <c r="M1083" s="13" t="s">
        <v>7604</v>
      </c>
      <c r="N1083" s="13">
        <v>77.245000000000005</v>
      </c>
      <c r="O1083" s="13" t="s">
        <v>7605</v>
      </c>
      <c r="P1083" s="13" t="s">
        <v>7606</v>
      </c>
      <c r="Q1083" s="13" t="s">
        <v>806</v>
      </c>
      <c r="R1083" s="13" t="s">
        <v>7607</v>
      </c>
      <c r="S1083" s="13" t="s">
        <v>192</v>
      </c>
      <c r="T1083" s="13" t="s">
        <v>146</v>
      </c>
      <c r="U1083" s="13" t="s">
        <v>110</v>
      </c>
      <c r="V1083" s="47">
        <f>SUMIF(Data!$E:$E,$I1083,Data!$AI:$AI)</f>
        <v>0</v>
      </c>
    </row>
    <row r="1084" spans="1:22" x14ac:dyDescent="0.25">
      <c r="A1084" s="46" t="s">
        <v>7137</v>
      </c>
      <c r="B1084" s="46" t="s">
        <v>120</v>
      </c>
      <c r="C1084" s="46" t="s">
        <v>7608</v>
      </c>
      <c r="D1084" s="46">
        <v>0.65687523395824898</v>
      </c>
      <c r="E1084" s="47">
        <f>SUMIF(Data!$E:$E,$C1084,Data!$AI:$AI)</f>
        <v>0</v>
      </c>
      <c r="I1084" s="13" t="s">
        <v>7609</v>
      </c>
      <c r="J1084" s="13" t="s">
        <v>7610</v>
      </c>
      <c r="K1084" s="13" t="s">
        <v>137</v>
      </c>
      <c r="L1084" s="13" t="s">
        <v>5639</v>
      </c>
      <c r="M1084" s="13" t="s">
        <v>7611</v>
      </c>
      <c r="N1084" s="13">
        <v>18.504000000000001</v>
      </c>
      <c r="O1084" s="13" t="s">
        <v>7612</v>
      </c>
      <c r="P1084" s="13" t="s">
        <v>7613</v>
      </c>
      <c r="Q1084" s="13" t="s">
        <v>208</v>
      </c>
      <c r="R1084" s="13" t="s">
        <v>7614</v>
      </c>
      <c r="S1084" s="13" t="s">
        <v>523</v>
      </c>
      <c r="T1084" s="13" t="s">
        <v>524</v>
      </c>
      <c r="U1084" s="13" t="s">
        <v>525</v>
      </c>
      <c r="V1084" s="47">
        <f>SUMIF(Data!$E:$E,$I1084,Data!$AI:$AI)</f>
        <v>0</v>
      </c>
    </row>
    <row r="1085" spans="1:22" x14ac:dyDescent="0.25">
      <c r="A1085" s="46" t="s">
        <v>7137</v>
      </c>
      <c r="B1085" s="46" t="s">
        <v>120</v>
      </c>
      <c r="C1085" s="46" t="s">
        <v>7615</v>
      </c>
      <c r="D1085" s="46">
        <v>0.62894876685412604</v>
      </c>
      <c r="E1085" s="47">
        <f>SUMIF(Data!$E:$E,$C1085,Data!$AI:$AI)</f>
        <v>0</v>
      </c>
      <c r="I1085" s="13" t="s">
        <v>7616</v>
      </c>
      <c r="J1085" s="13" t="s">
        <v>7617</v>
      </c>
      <c r="K1085" s="13" t="s">
        <v>137</v>
      </c>
      <c r="L1085" s="13" t="s">
        <v>5639</v>
      </c>
      <c r="M1085" s="13" t="s">
        <v>7618</v>
      </c>
      <c r="N1085" s="13">
        <v>181.37200000000001</v>
      </c>
      <c r="O1085" s="13" t="s">
        <v>7619</v>
      </c>
      <c r="P1085" s="13" t="s">
        <v>7620</v>
      </c>
      <c r="Q1085" s="13" t="s">
        <v>694</v>
      </c>
      <c r="R1085" s="13" t="s">
        <v>7621</v>
      </c>
      <c r="S1085" s="13" t="s">
        <v>192</v>
      </c>
      <c r="T1085" s="13" t="s">
        <v>146</v>
      </c>
      <c r="U1085" s="13" t="s">
        <v>110</v>
      </c>
      <c r="V1085" s="47">
        <f>SUMIF(Data!$E:$E,$I1085,Data!$AI:$AI)</f>
        <v>0</v>
      </c>
    </row>
    <row r="1086" spans="1:22" x14ac:dyDescent="0.25">
      <c r="A1086" s="46" t="s">
        <v>7137</v>
      </c>
      <c r="B1086" s="46" t="s">
        <v>120</v>
      </c>
      <c r="C1086" s="46" t="s">
        <v>7622</v>
      </c>
      <c r="D1086" s="46">
        <v>9.4497184775399007E-2</v>
      </c>
      <c r="E1086" s="47">
        <f>SUMIF(Data!$E:$E,$C1086,Data!$AI:$AI)</f>
        <v>0</v>
      </c>
      <c r="I1086" s="13" t="s">
        <v>7623</v>
      </c>
      <c r="J1086" s="13" t="s">
        <v>7624</v>
      </c>
      <c r="K1086" s="13" t="s">
        <v>137</v>
      </c>
      <c r="L1086" s="13" t="s">
        <v>5639</v>
      </c>
      <c r="M1086" s="13" t="s">
        <v>7625</v>
      </c>
      <c r="N1086" s="13">
        <v>84.628</v>
      </c>
      <c r="O1086" s="13" t="s">
        <v>7626</v>
      </c>
      <c r="P1086" s="13" t="s">
        <v>7627</v>
      </c>
      <c r="Q1086" s="13" t="s">
        <v>260</v>
      </c>
      <c r="R1086" s="13" t="s">
        <v>7628</v>
      </c>
      <c r="S1086" s="13" t="s">
        <v>192</v>
      </c>
      <c r="T1086" s="13" t="s">
        <v>146</v>
      </c>
      <c r="U1086" s="13" t="s">
        <v>110</v>
      </c>
      <c r="V1086" s="47">
        <f>SUMIF(Data!$E:$E,$I1086,Data!$AI:$AI)</f>
        <v>0</v>
      </c>
    </row>
    <row r="1087" spans="1:22" x14ac:dyDescent="0.25">
      <c r="A1087" s="46" t="s">
        <v>7137</v>
      </c>
      <c r="B1087" s="46" t="s">
        <v>120</v>
      </c>
      <c r="C1087" s="46" t="s">
        <v>6984</v>
      </c>
      <c r="D1087" s="46">
        <v>5.0952557030974202</v>
      </c>
      <c r="E1087" s="47">
        <f>SUMIF(Data!$E:$E,$C1087,Data!$AI:$AI)</f>
        <v>0</v>
      </c>
      <c r="I1087" s="13" t="s">
        <v>7629</v>
      </c>
      <c r="J1087" s="13" t="s">
        <v>7630</v>
      </c>
      <c r="K1087" s="13" t="s">
        <v>137</v>
      </c>
      <c r="L1087" s="13" t="s">
        <v>5639</v>
      </c>
      <c r="M1087" s="13" t="s">
        <v>7631</v>
      </c>
      <c r="N1087" s="13" t="s">
        <v>7632</v>
      </c>
      <c r="O1087" s="13" t="s">
        <v>7633</v>
      </c>
      <c r="P1087" s="13" t="s">
        <v>7634</v>
      </c>
      <c r="Q1087" s="13" t="s">
        <v>806</v>
      </c>
      <c r="R1087" s="13" t="s">
        <v>7635</v>
      </c>
      <c r="S1087" s="13" t="s">
        <v>847</v>
      </c>
      <c r="T1087" s="13" t="s">
        <v>848</v>
      </c>
      <c r="U1087" s="13" t="s">
        <v>849</v>
      </c>
      <c r="V1087" s="47">
        <f>SUMIF(Data!$E:$E,$I1087,Data!$AI:$AI)</f>
        <v>0</v>
      </c>
    </row>
    <row r="1088" spans="1:22" x14ac:dyDescent="0.25">
      <c r="A1088" s="46" t="s">
        <v>7137</v>
      </c>
      <c r="B1088" s="46" t="s">
        <v>120</v>
      </c>
      <c r="C1088" s="46" t="s">
        <v>7636</v>
      </c>
      <c r="D1088" s="46">
        <v>1.0365817332404299</v>
      </c>
      <c r="E1088" s="47">
        <f>SUMIF(Data!$E:$E,$C1088,Data!$AI:$AI)</f>
        <v>0</v>
      </c>
      <c r="I1088" s="13" t="s">
        <v>7637</v>
      </c>
      <c r="J1088" s="13" t="s">
        <v>7638</v>
      </c>
      <c r="K1088" s="13" t="s">
        <v>137</v>
      </c>
      <c r="L1088" s="13" t="s">
        <v>5639</v>
      </c>
      <c r="M1088" s="13" t="s">
        <v>7639</v>
      </c>
      <c r="N1088" s="13">
        <v>21.722999999999999</v>
      </c>
      <c r="O1088" s="13" t="s">
        <v>7640</v>
      </c>
      <c r="P1088" s="13" t="s">
        <v>7641</v>
      </c>
      <c r="Q1088" s="13" t="s">
        <v>208</v>
      </c>
      <c r="R1088" s="13" t="s">
        <v>7642</v>
      </c>
      <c r="S1088" s="13" t="s">
        <v>145</v>
      </c>
      <c r="T1088" s="13" t="s">
        <v>146</v>
      </c>
      <c r="U1088" s="13" t="s">
        <v>110</v>
      </c>
      <c r="V1088" s="47">
        <f>SUMIF(Data!$E:$E,$I1088,Data!$AI:$AI)</f>
        <v>0</v>
      </c>
    </row>
    <row r="1089" spans="1:22" x14ac:dyDescent="0.25">
      <c r="A1089" s="46" t="s">
        <v>7137</v>
      </c>
      <c r="B1089" s="46" t="s">
        <v>120</v>
      </c>
      <c r="C1089" s="46" t="s">
        <v>7643</v>
      </c>
      <c r="D1089" s="46">
        <v>0.85085138590649401</v>
      </c>
      <c r="E1089" s="47">
        <f>SUMIF(Data!$E:$E,$C1089,Data!$AI:$AI)</f>
        <v>0</v>
      </c>
      <c r="I1089" s="13" t="s">
        <v>7644</v>
      </c>
      <c r="J1089" s="13" t="s">
        <v>7645</v>
      </c>
      <c r="K1089" s="13" t="s">
        <v>137</v>
      </c>
      <c r="L1089" s="13" t="s">
        <v>5639</v>
      </c>
      <c r="M1089" s="13" t="s">
        <v>7646</v>
      </c>
      <c r="N1089" s="13">
        <v>88.346000000000004</v>
      </c>
      <c r="O1089" s="13" t="s">
        <v>7647</v>
      </c>
      <c r="P1089" s="13" t="s">
        <v>7648</v>
      </c>
      <c r="Q1089" s="13" t="s">
        <v>162</v>
      </c>
      <c r="R1089" s="13" t="s">
        <v>7649</v>
      </c>
      <c r="S1089" s="13" t="s">
        <v>192</v>
      </c>
      <c r="T1089" s="13" t="s">
        <v>146</v>
      </c>
      <c r="U1089" s="13" t="s">
        <v>110</v>
      </c>
      <c r="V1089" s="47">
        <f>SUMIF(Data!$E:$E,$I1089,Data!$AI:$AI)</f>
        <v>0</v>
      </c>
    </row>
    <row r="1090" spans="1:22" x14ac:dyDescent="0.25">
      <c r="A1090" s="46" t="s">
        <v>7137</v>
      </c>
      <c r="B1090" s="46" t="s">
        <v>120</v>
      </c>
      <c r="C1090" s="46" t="s">
        <v>7650</v>
      </c>
      <c r="D1090" s="46">
        <v>1.94510556305639</v>
      </c>
      <c r="E1090" s="47">
        <f>SUMIF(Data!$E:$E,$C1090,Data!$AI:$AI)</f>
        <v>0</v>
      </c>
      <c r="I1090" s="13" t="s">
        <v>7651</v>
      </c>
      <c r="J1090" s="13" t="s">
        <v>7652</v>
      </c>
      <c r="K1090" s="13" t="s">
        <v>137</v>
      </c>
      <c r="L1090" s="13" t="s">
        <v>5639</v>
      </c>
      <c r="M1090" s="13" t="s">
        <v>7653</v>
      </c>
      <c r="N1090" s="13">
        <v>65.289000000000001</v>
      </c>
      <c r="O1090" s="13" t="s">
        <v>7654</v>
      </c>
      <c r="P1090" s="13" t="s">
        <v>7655</v>
      </c>
      <c r="Q1090" s="13" t="s">
        <v>208</v>
      </c>
      <c r="R1090" s="13" t="s">
        <v>7656</v>
      </c>
      <c r="S1090" s="13" t="s">
        <v>145</v>
      </c>
      <c r="T1090" s="13" t="s">
        <v>146</v>
      </c>
      <c r="U1090" s="13" t="s">
        <v>110</v>
      </c>
      <c r="V1090" s="47">
        <f>SUMIF(Data!$E:$E,$I1090,Data!$AI:$AI)</f>
        <v>0</v>
      </c>
    </row>
    <row r="1091" spans="1:22" x14ac:dyDescent="0.25">
      <c r="A1091" s="46" t="s">
        <v>7137</v>
      </c>
      <c r="B1091" s="46" t="s">
        <v>120</v>
      </c>
      <c r="C1091" s="46" t="s">
        <v>7657</v>
      </c>
      <c r="D1091" s="46">
        <v>1.5678036616992601</v>
      </c>
      <c r="E1091" s="47">
        <f>SUMIF(Data!$E:$E,$C1091,Data!$AI:$AI)</f>
        <v>0</v>
      </c>
      <c r="I1091" s="13" t="s">
        <v>7658</v>
      </c>
      <c r="J1091" s="13" t="s">
        <v>7659</v>
      </c>
      <c r="K1091" s="13" t="s">
        <v>137</v>
      </c>
      <c r="L1091" s="13" t="s">
        <v>5639</v>
      </c>
      <c r="M1091" s="13" t="s">
        <v>7660</v>
      </c>
      <c r="N1091" s="13">
        <v>36.188000000000002</v>
      </c>
      <c r="O1091" s="13" t="s">
        <v>7661</v>
      </c>
      <c r="P1091" s="13" t="s">
        <v>7662</v>
      </c>
      <c r="Q1091" s="13" t="s">
        <v>208</v>
      </c>
      <c r="R1091" s="13" t="s">
        <v>7663</v>
      </c>
      <c r="S1091" s="13" t="s">
        <v>145</v>
      </c>
      <c r="T1091" s="13" t="s">
        <v>146</v>
      </c>
      <c r="U1091" s="13" t="s">
        <v>110</v>
      </c>
      <c r="V1091" s="47">
        <f>SUMIF(Data!$E:$E,$I1091,Data!$AI:$AI)</f>
        <v>0</v>
      </c>
    </row>
    <row r="1092" spans="1:22" x14ac:dyDescent="0.25">
      <c r="A1092" s="46" t="s">
        <v>7137</v>
      </c>
      <c r="B1092" s="46" t="s">
        <v>120</v>
      </c>
      <c r="C1092" s="46" t="s">
        <v>7664</v>
      </c>
      <c r="D1092" s="46">
        <v>0.11977940669256</v>
      </c>
      <c r="E1092" s="47">
        <f>SUMIF(Data!$E:$E,$C1092,Data!$AI:$AI)</f>
        <v>0</v>
      </c>
      <c r="I1092" s="13" t="s">
        <v>7665</v>
      </c>
      <c r="J1092" s="13" t="s">
        <v>7666</v>
      </c>
      <c r="K1092" s="13" t="s">
        <v>137</v>
      </c>
      <c r="L1092" s="13" t="s">
        <v>5639</v>
      </c>
      <c r="M1092" s="13" t="s">
        <v>5876</v>
      </c>
      <c r="N1092" s="13">
        <v>84.814999999999998</v>
      </c>
      <c r="O1092" s="13" t="s">
        <v>7667</v>
      </c>
      <c r="P1092" s="13" t="s">
        <v>7668</v>
      </c>
      <c r="Q1092" s="13" t="s">
        <v>416</v>
      </c>
      <c r="R1092" s="13" t="s">
        <v>7669</v>
      </c>
      <c r="S1092" s="13" t="s">
        <v>560</v>
      </c>
      <c r="T1092" s="13" t="s">
        <v>561</v>
      </c>
      <c r="U1092" s="13" t="s">
        <v>525</v>
      </c>
      <c r="V1092" s="47">
        <f>SUMIF(Data!$E:$E,$I1092,Data!$AI:$AI)</f>
        <v>0</v>
      </c>
    </row>
    <row r="1093" spans="1:22" x14ac:dyDescent="0.25">
      <c r="A1093" s="46" t="s">
        <v>7137</v>
      </c>
      <c r="B1093" s="46" t="s">
        <v>120</v>
      </c>
      <c r="C1093" s="46" t="s">
        <v>7670</v>
      </c>
      <c r="D1093" s="46">
        <v>0.179457571132038</v>
      </c>
      <c r="E1093" s="47">
        <f>SUMIF(Data!$E:$E,$C1093,Data!$AI:$AI)</f>
        <v>0</v>
      </c>
      <c r="I1093" s="13" t="s">
        <v>7671</v>
      </c>
      <c r="J1093" s="13" t="s">
        <v>7672</v>
      </c>
      <c r="K1093" s="13" t="s">
        <v>137</v>
      </c>
      <c r="L1093" s="13" t="s">
        <v>5639</v>
      </c>
      <c r="M1093" s="13" t="s">
        <v>7673</v>
      </c>
      <c r="N1093" s="13">
        <v>80.114999999999995</v>
      </c>
      <c r="O1093" s="13" t="s">
        <v>7674</v>
      </c>
      <c r="P1093" s="13" t="s">
        <v>7675</v>
      </c>
      <c r="Q1093" s="13" t="s">
        <v>162</v>
      </c>
      <c r="R1093" s="13" t="s">
        <v>7676</v>
      </c>
      <c r="S1093" s="13" t="s">
        <v>523</v>
      </c>
      <c r="T1093" s="13" t="s">
        <v>524</v>
      </c>
      <c r="U1093" s="13" t="s">
        <v>525</v>
      </c>
      <c r="V1093" s="47">
        <f>SUMIF(Data!$E:$E,$I1093,Data!$AI:$AI)</f>
        <v>0</v>
      </c>
    </row>
    <row r="1094" spans="1:22" x14ac:dyDescent="0.25">
      <c r="A1094" s="46" t="s">
        <v>7137</v>
      </c>
      <c r="B1094" s="46" t="s">
        <v>120</v>
      </c>
      <c r="C1094" s="46" t="s">
        <v>7677</v>
      </c>
      <c r="D1094" s="46">
        <v>1.1423427657580201</v>
      </c>
      <c r="E1094" s="47">
        <f>SUMIF(Data!$E:$E,$C1094,Data!$AI:$AI)</f>
        <v>0</v>
      </c>
      <c r="I1094" s="13" t="s">
        <v>7678</v>
      </c>
      <c r="J1094" s="13" t="s">
        <v>7679</v>
      </c>
      <c r="K1094" s="13" t="s">
        <v>137</v>
      </c>
      <c r="L1094" s="13" t="s">
        <v>5639</v>
      </c>
      <c r="M1094" s="13" t="s">
        <v>7680</v>
      </c>
      <c r="N1094" s="13">
        <v>196.26400000000001</v>
      </c>
      <c r="O1094" s="13" t="s">
        <v>7681</v>
      </c>
      <c r="P1094" s="13" t="s">
        <v>7682</v>
      </c>
      <c r="Q1094" s="13" t="s">
        <v>734</v>
      </c>
      <c r="R1094" s="13" t="s">
        <v>7683</v>
      </c>
      <c r="S1094" s="13" t="s">
        <v>192</v>
      </c>
      <c r="T1094" s="13" t="s">
        <v>146</v>
      </c>
      <c r="U1094" s="13" t="s">
        <v>110</v>
      </c>
      <c r="V1094" s="47">
        <f>SUMIF(Data!$E:$E,$I1094,Data!$AI:$AI)</f>
        <v>0</v>
      </c>
    </row>
    <row r="1095" spans="1:22" x14ac:dyDescent="0.25">
      <c r="A1095" s="46" t="s">
        <v>7137</v>
      </c>
      <c r="B1095" s="46" t="s">
        <v>120</v>
      </c>
      <c r="C1095" s="46" t="s">
        <v>7684</v>
      </c>
      <c r="D1095" s="46">
        <v>4.0181783857303097</v>
      </c>
      <c r="E1095" s="47">
        <f>SUMIF(Data!$E:$E,$C1095,Data!$AI:$AI)</f>
        <v>0</v>
      </c>
      <c r="I1095" s="13" t="s">
        <v>7685</v>
      </c>
      <c r="J1095" s="13" t="s">
        <v>7686</v>
      </c>
      <c r="K1095" s="13" t="s">
        <v>137</v>
      </c>
      <c r="L1095" s="13" t="s">
        <v>5639</v>
      </c>
      <c r="M1095" s="13" t="s">
        <v>7687</v>
      </c>
      <c r="N1095" s="13">
        <v>131.32499999999999</v>
      </c>
      <c r="O1095" s="13" t="s">
        <v>7688</v>
      </c>
      <c r="P1095" s="13" t="s">
        <v>7689</v>
      </c>
      <c r="Q1095" s="13" t="s">
        <v>734</v>
      </c>
      <c r="R1095" s="13" t="s">
        <v>7690</v>
      </c>
      <c r="S1095" s="13" t="s">
        <v>192</v>
      </c>
      <c r="T1095" s="13" t="s">
        <v>146</v>
      </c>
      <c r="U1095" s="13" t="s">
        <v>110</v>
      </c>
      <c r="V1095" s="47">
        <f>SUMIF(Data!$E:$E,$I1095,Data!$AI:$AI)</f>
        <v>0</v>
      </c>
    </row>
    <row r="1096" spans="1:22" x14ac:dyDescent="0.25">
      <c r="A1096" s="46" t="s">
        <v>7137</v>
      </c>
      <c r="B1096" s="46" t="s">
        <v>120</v>
      </c>
      <c r="C1096" s="46" t="s">
        <v>7691</v>
      </c>
      <c r="D1096" s="46">
        <v>0.192079016171602</v>
      </c>
      <c r="E1096" s="47">
        <f>SUMIF(Data!$E:$E,$C1096,Data!$AI:$AI)</f>
        <v>0</v>
      </c>
      <c r="I1096" s="13" t="s">
        <v>7692</v>
      </c>
      <c r="J1096" s="13" t="s">
        <v>7693</v>
      </c>
      <c r="K1096" s="13" t="s">
        <v>137</v>
      </c>
      <c r="L1096" s="13" t="s">
        <v>5639</v>
      </c>
      <c r="M1096" s="13" t="s">
        <v>7694</v>
      </c>
      <c r="N1096" s="13">
        <v>111.709</v>
      </c>
      <c r="O1096" s="13" t="s">
        <v>7695</v>
      </c>
      <c r="P1096" s="13" t="s">
        <v>7696</v>
      </c>
      <c r="Q1096" s="13" t="s">
        <v>162</v>
      </c>
      <c r="R1096" s="13" t="s">
        <v>7697</v>
      </c>
      <c r="S1096" s="13" t="s">
        <v>560</v>
      </c>
      <c r="T1096" s="13" t="s">
        <v>561</v>
      </c>
      <c r="U1096" s="13" t="s">
        <v>525</v>
      </c>
      <c r="V1096" s="47">
        <f>SUMIF(Data!$E:$E,$I1096,Data!$AI:$AI)</f>
        <v>0</v>
      </c>
    </row>
    <row r="1097" spans="1:22" x14ac:dyDescent="0.25">
      <c r="A1097" s="46" t="s">
        <v>7137</v>
      </c>
      <c r="B1097" s="46" t="s">
        <v>120</v>
      </c>
      <c r="C1097" s="46" t="s">
        <v>7698</v>
      </c>
      <c r="D1097" s="46">
        <v>2.43474184787364</v>
      </c>
      <c r="E1097" s="47">
        <f>SUMIF(Data!$E:$E,$C1097,Data!$AI:$AI)</f>
        <v>0</v>
      </c>
      <c r="I1097" s="13" t="s">
        <v>7699</v>
      </c>
      <c r="J1097" s="13" t="s">
        <v>7700</v>
      </c>
      <c r="K1097" s="13" t="s">
        <v>137</v>
      </c>
      <c r="L1097" s="13" t="s">
        <v>5639</v>
      </c>
      <c r="M1097" s="13" t="s">
        <v>6980</v>
      </c>
      <c r="N1097" s="13">
        <v>174.52699999999999</v>
      </c>
      <c r="O1097" s="13" t="s">
        <v>7701</v>
      </c>
      <c r="P1097" s="13" t="s">
        <v>7702</v>
      </c>
      <c r="Q1097" s="13" t="s">
        <v>416</v>
      </c>
      <c r="R1097" s="13" t="s">
        <v>7703</v>
      </c>
      <c r="S1097" s="13" t="s">
        <v>2928</v>
      </c>
      <c r="T1097" s="13" t="s">
        <v>2929</v>
      </c>
      <c r="U1097" s="13" t="s">
        <v>2930</v>
      </c>
      <c r="V1097" s="47">
        <f>SUMIF(Data!$E:$E,$I1097,Data!$AI:$AI)</f>
        <v>0</v>
      </c>
    </row>
    <row r="1098" spans="1:22" x14ac:dyDescent="0.25">
      <c r="A1098" s="46" t="s">
        <v>7137</v>
      </c>
      <c r="B1098" s="46" t="s">
        <v>120</v>
      </c>
      <c r="C1098" s="46" t="s">
        <v>7704</v>
      </c>
      <c r="D1098" s="46">
        <v>0.24153102434064699</v>
      </c>
      <c r="E1098" s="47">
        <f>SUMIF(Data!$E:$E,$C1098,Data!$AI:$AI)</f>
        <v>0</v>
      </c>
      <c r="I1098" s="13" t="s">
        <v>7705</v>
      </c>
      <c r="J1098" s="13" t="s">
        <v>7706</v>
      </c>
      <c r="K1098" s="13" t="s">
        <v>137</v>
      </c>
      <c r="L1098" s="13" t="s">
        <v>5639</v>
      </c>
      <c r="M1098" s="13" t="s">
        <v>7707</v>
      </c>
      <c r="N1098" s="13">
        <v>158.899</v>
      </c>
      <c r="O1098" s="13" t="s">
        <v>7708</v>
      </c>
      <c r="P1098" s="13" t="s">
        <v>7709</v>
      </c>
      <c r="Q1098" s="13" t="s">
        <v>806</v>
      </c>
      <c r="R1098" s="13" t="s">
        <v>7710</v>
      </c>
      <c r="S1098" s="13" t="s">
        <v>192</v>
      </c>
      <c r="T1098" s="13" t="s">
        <v>146</v>
      </c>
      <c r="U1098" s="13" t="s">
        <v>110</v>
      </c>
      <c r="V1098" s="47">
        <f>SUMIF(Data!$E:$E,$I1098,Data!$AI:$AI)</f>
        <v>0</v>
      </c>
    </row>
    <row r="1099" spans="1:22" x14ac:dyDescent="0.25">
      <c r="A1099" s="46" t="s">
        <v>7137</v>
      </c>
      <c r="B1099" s="46" t="s">
        <v>120</v>
      </c>
      <c r="C1099" s="46" t="s">
        <v>7711</v>
      </c>
      <c r="D1099" s="46">
        <v>3.5828507282078998</v>
      </c>
      <c r="E1099" s="47">
        <f>SUMIF(Data!$E:$E,$C1099,Data!$AI:$AI)</f>
        <v>0</v>
      </c>
      <c r="I1099" s="13" t="s">
        <v>7712</v>
      </c>
      <c r="J1099" s="13" t="s">
        <v>7713</v>
      </c>
      <c r="K1099" s="13" t="s">
        <v>137</v>
      </c>
      <c r="L1099" s="13" t="s">
        <v>5639</v>
      </c>
      <c r="M1099" s="13" t="s">
        <v>7714</v>
      </c>
      <c r="N1099" s="13">
        <v>456.39600000000002</v>
      </c>
      <c r="O1099" s="13" t="s">
        <v>7715</v>
      </c>
      <c r="P1099" s="13" t="s">
        <v>7716</v>
      </c>
      <c r="Q1099" s="13" t="s">
        <v>806</v>
      </c>
      <c r="R1099" s="13" t="s">
        <v>7717</v>
      </c>
      <c r="S1099" s="13" t="s">
        <v>523</v>
      </c>
      <c r="T1099" s="13" t="s">
        <v>524</v>
      </c>
      <c r="U1099" s="13" t="s">
        <v>525</v>
      </c>
      <c r="V1099" s="47">
        <f>SUMIF(Data!$E:$E,$I1099,Data!$AI:$AI)</f>
        <v>0</v>
      </c>
    </row>
    <row r="1100" spans="1:22" x14ac:dyDescent="0.25">
      <c r="A1100" s="46" t="s">
        <v>7137</v>
      </c>
      <c r="B1100" s="46" t="s">
        <v>120</v>
      </c>
      <c r="C1100" s="46" t="s">
        <v>7718</v>
      </c>
      <c r="D1100" s="46">
        <v>1.30401931950782</v>
      </c>
      <c r="E1100" s="47">
        <f>SUMIF(Data!$E:$E,$C1100,Data!$AI:$AI)</f>
        <v>0</v>
      </c>
      <c r="I1100" s="13" t="s">
        <v>7719</v>
      </c>
      <c r="J1100" s="13" t="s">
        <v>7720</v>
      </c>
      <c r="K1100" s="13" t="s">
        <v>137</v>
      </c>
      <c r="L1100" s="13" t="s">
        <v>5639</v>
      </c>
      <c r="M1100" s="13" t="s">
        <v>7721</v>
      </c>
      <c r="N1100" s="13">
        <v>326.89699999999999</v>
      </c>
      <c r="O1100" s="13" t="s">
        <v>7722</v>
      </c>
      <c r="P1100" s="13" t="s">
        <v>7723</v>
      </c>
      <c r="Q1100" s="13" t="s">
        <v>416</v>
      </c>
      <c r="R1100" s="13" t="s">
        <v>7724</v>
      </c>
      <c r="S1100" s="13" t="s">
        <v>2928</v>
      </c>
      <c r="T1100" s="13" t="s">
        <v>2929</v>
      </c>
      <c r="U1100" s="13" t="s">
        <v>2930</v>
      </c>
      <c r="V1100" s="47">
        <f>SUMIF(Data!$E:$E,$I1100,Data!$AI:$AI)</f>
        <v>0</v>
      </c>
    </row>
    <row r="1101" spans="1:22" x14ac:dyDescent="0.25">
      <c r="A1101" s="46" t="s">
        <v>7137</v>
      </c>
      <c r="B1101" s="46" t="s">
        <v>120</v>
      </c>
      <c r="C1101" s="46" t="s">
        <v>7725</v>
      </c>
      <c r="D1101" s="46">
        <v>0.69299053154878199</v>
      </c>
      <c r="E1101" s="47">
        <f>SUMIF(Data!$E:$E,$C1101,Data!$AI:$AI)</f>
        <v>0</v>
      </c>
      <c r="I1101" s="13" t="s">
        <v>7726</v>
      </c>
      <c r="J1101" s="13" t="s">
        <v>7727</v>
      </c>
      <c r="K1101" s="13" t="s">
        <v>137</v>
      </c>
      <c r="L1101" s="13" t="s">
        <v>5639</v>
      </c>
      <c r="M1101" s="13" t="s">
        <v>7728</v>
      </c>
      <c r="N1101" s="13">
        <v>55.798999999999999</v>
      </c>
      <c r="O1101" s="13" t="s">
        <v>7729</v>
      </c>
      <c r="P1101" s="13" t="s">
        <v>7730</v>
      </c>
      <c r="Q1101" s="13" t="s">
        <v>734</v>
      </c>
      <c r="R1101" s="13" t="s">
        <v>7731</v>
      </c>
      <c r="S1101" s="13" t="s">
        <v>192</v>
      </c>
      <c r="T1101" s="13" t="s">
        <v>146</v>
      </c>
      <c r="U1101" s="13" t="s">
        <v>110</v>
      </c>
      <c r="V1101" s="47">
        <f>SUMIF(Data!$E:$E,$I1101,Data!$AI:$AI)</f>
        <v>0</v>
      </c>
    </row>
    <row r="1102" spans="1:22" x14ac:dyDescent="0.25">
      <c r="A1102" s="46" t="s">
        <v>7137</v>
      </c>
      <c r="B1102" s="46" t="s">
        <v>120</v>
      </c>
      <c r="C1102" s="46" t="s">
        <v>7732</v>
      </c>
      <c r="D1102" s="46">
        <v>0.94474900993039901</v>
      </c>
      <c r="E1102" s="47">
        <f>SUMIF(Data!$E:$E,$C1102,Data!$AI:$AI)</f>
        <v>0</v>
      </c>
      <c r="I1102" s="13" t="s">
        <v>7733</v>
      </c>
      <c r="J1102" s="13" t="s">
        <v>7734</v>
      </c>
      <c r="K1102" s="13" t="s">
        <v>137</v>
      </c>
      <c r="L1102" s="13" t="s">
        <v>5639</v>
      </c>
      <c r="M1102" s="13" t="s">
        <v>7735</v>
      </c>
      <c r="N1102" s="13">
        <v>7.39</v>
      </c>
      <c r="O1102" s="13" t="s">
        <v>7736</v>
      </c>
      <c r="P1102" s="13" t="s">
        <v>7737</v>
      </c>
      <c r="Q1102" s="13" t="s">
        <v>208</v>
      </c>
      <c r="R1102" s="13" t="s">
        <v>7738</v>
      </c>
      <c r="S1102" s="13" t="s">
        <v>560</v>
      </c>
      <c r="T1102" s="13" t="s">
        <v>561</v>
      </c>
      <c r="U1102" s="13" t="s">
        <v>525</v>
      </c>
      <c r="V1102" s="47">
        <f>SUMIF(Data!$E:$E,$I1102,Data!$AI:$AI)</f>
        <v>0</v>
      </c>
    </row>
    <row r="1103" spans="1:22" x14ac:dyDescent="0.25">
      <c r="A1103" s="46" t="s">
        <v>7137</v>
      </c>
      <c r="B1103" s="46" t="s">
        <v>120</v>
      </c>
      <c r="C1103" s="46" t="s">
        <v>7739</v>
      </c>
      <c r="D1103" s="46">
        <v>4.9568752096608E-2</v>
      </c>
      <c r="E1103" s="47">
        <f>SUMIF(Data!$E:$E,$C1103,Data!$AI:$AI)</f>
        <v>0</v>
      </c>
      <c r="I1103" s="13" t="s">
        <v>7740</v>
      </c>
      <c r="J1103" s="13" t="s">
        <v>7741</v>
      </c>
      <c r="K1103" s="13" t="s">
        <v>137</v>
      </c>
      <c r="L1103" s="13" t="s">
        <v>5639</v>
      </c>
      <c r="M1103" s="13" t="s">
        <v>7742</v>
      </c>
      <c r="N1103" s="13" t="s">
        <v>7743</v>
      </c>
      <c r="O1103" s="13" t="s">
        <v>7744</v>
      </c>
      <c r="P1103" s="13" t="s">
        <v>7745</v>
      </c>
      <c r="Q1103" s="13" t="s">
        <v>162</v>
      </c>
      <c r="R1103" s="13" t="s">
        <v>7746</v>
      </c>
      <c r="S1103" s="13" t="s">
        <v>476</v>
      </c>
      <c r="T1103" s="13" t="s">
        <v>477</v>
      </c>
      <c r="U1103" s="13" t="s">
        <v>478</v>
      </c>
      <c r="V1103" s="47">
        <f>SUMIF(Data!$E:$E,$I1103,Data!$AI:$AI)</f>
        <v>0</v>
      </c>
    </row>
    <row r="1104" spans="1:22" x14ac:dyDescent="0.25">
      <c r="A1104" s="46" t="s">
        <v>7137</v>
      </c>
      <c r="B1104" s="46" t="s">
        <v>120</v>
      </c>
      <c r="C1104" s="46" t="s">
        <v>7747</v>
      </c>
      <c r="D1104" s="46">
        <v>8.8107442962709996E-3</v>
      </c>
      <c r="E1104" s="47">
        <f>SUMIF(Data!$E:$E,$C1104,Data!$AI:$AI)</f>
        <v>0</v>
      </c>
      <c r="I1104" s="13">
        <v>4536</v>
      </c>
      <c r="J1104" s="13" t="s">
        <v>7748</v>
      </c>
      <c r="K1104" s="13" t="s">
        <v>137</v>
      </c>
      <c r="L1104" s="13" t="s">
        <v>5639</v>
      </c>
      <c r="M1104" s="13" t="s">
        <v>7749</v>
      </c>
      <c r="N1104" s="13">
        <v>204.244</v>
      </c>
      <c r="O1104" s="13" t="s">
        <v>7750</v>
      </c>
      <c r="P1104" s="13" t="s">
        <v>7751</v>
      </c>
      <c r="Q1104" s="13" t="s">
        <v>208</v>
      </c>
      <c r="R1104" s="13" t="s">
        <v>7752</v>
      </c>
      <c r="S1104" s="13" t="s">
        <v>441</v>
      </c>
      <c r="T1104" s="13" t="s">
        <v>442</v>
      </c>
      <c r="U1104" s="13" t="s">
        <v>443</v>
      </c>
      <c r="V1104" s="47">
        <f>SUMIF(Data!$E:$E,$I1104,Data!$AI:$AI)</f>
        <v>0</v>
      </c>
    </row>
    <row r="1105" spans="1:22" x14ac:dyDescent="0.25">
      <c r="A1105" s="46" t="s">
        <v>7137</v>
      </c>
      <c r="B1105" s="46" t="s">
        <v>120</v>
      </c>
      <c r="C1105" s="46" t="s">
        <v>7753</v>
      </c>
      <c r="D1105" s="46">
        <v>1.16638102150344</v>
      </c>
      <c r="E1105" s="47">
        <f>SUMIF(Data!$E:$E,$C1105,Data!$AI:$AI)</f>
        <v>0</v>
      </c>
      <c r="I1105" s="13">
        <v>5332</v>
      </c>
      <c r="J1105" s="13" t="s">
        <v>7754</v>
      </c>
      <c r="K1105" s="13" t="s">
        <v>137</v>
      </c>
      <c r="L1105" s="13" t="s">
        <v>5639</v>
      </c>
      <c r="M1105" s="13" t="s">
        <v>7755</v>
      </c>
      <c r="N1105" s="13">
        <v>93.057000000000002</v>
      </c>
      <c r="O1105" s="13" t="s">
        <v>7756</v>
      </c>
      <c r="P1105" s="13" t="s">
        <v>7757</v>
      </c>
      <c r="Q1105" s="13" t="s">
        <v>416</v>
      </c>
      <c r="R1105" s="13" t="s">
        <v>7758</v>
      </c>
      <c r="S1105" s="13" t="s">
        <v>441</v>
      </c>
      <c r="T1105" s="13" t="s">
        <v>442</v>
      </c>
      <c r="U1105" s="13" t="s">
        <v>443</v>
      </c>
      <c r="V1105" s="47">
        <f>SUMIF(Data!$E:$E,$I1105,Data!$AI:$AI)</f>
        <v>0</v>
      </c>
    </row>
    <row r="1106" spans="1:22" x14ac:dyDescent="0.25">
      <c r="A1106" s="46" t="s">
        <v>7137</v>
      </c>
      <c r="B1106" s="46" t="s">
        <v>120</v>
      </c>
      <c r="C1106" s="46" t="s">
        <v>7759</v>
      </c>
      <c r="D1106" s="46">
        <v>0.68160968586699899</v>
      </c>
      <c r="E1106" s="47">
        <f>SUMIF(Data!$E:$E,$C1106,Data!$AI:$AI)</f>
        <v>0</v>
      </c>
      <c r="I1106" s="13">
        <v>6479</v>
      </c>
      <c r="J1106" s="13" t="s">
        <v>7760</v>
      </c>
      <c r="K1106" s="13" t="s">
        <v>137</v>
      </c>
      <c r="L1106" s="13" t="s">
        <v>5639</v>
      </c>
      <c r="M1106" s="13" t="s">
        <v>7761</v>
      </c>
      <c r="N1106" s="13">
        <v>185.15</v>
      </c>
      <c r="O1106" s="13" t="s">
        <v>7762</v>
      </c>
      <c r="P1106" s="13" t="s">
        <v>7763</v>
      </c>
      <c r="Q1106" s="13" t="s">
        <v>416</v>
      </c>
      <c r="R1106" s="13" t="s">
        <v>7764</v>
      </c>
      <c r="S1106" s="13" t="s">
        <v>441</v>
      </c>
      <c r="T1106" s="13" t="s">
        <v>442</v>
      </c>
      <c r="U1106" s="13" t="s">
        <v>443</v>
      </c>
      <c r="V1106" s="47">
        <f>SUMIF(Data!$E:$E,$I1106,Data!$AI:$AI)</f>
        <v>0</v>
      </c>
    </row>
    <row r="1107" spans="1:22" x14ac:dyDescent="0.25">
      <c r="A1107" s="46" t="s">
        <v>7137</v>
      </c>
      <c r="B1107" s="46" t="s">
        <v>120</v>
      </c>
      <c r="C1107" s="46" t="s">
        <v>7765</v>
      </c>
      <c r="D1107" s="46">
        <v>3.9255152570782E-2</v>
      </c>
      <c r="E1107" s="47">
        <f>SUMIF(Data!$E:$E,$C1107,Data!$AI:$AI)</f>
        <v>0</v>
      </c>
      <c r="I1107" s="13">
        <v>9503</v>
      </c>
      <c r="J1107" s="13" t="s">
        <v>7766</v>
      </c>
      <c r="K1107" s="13" t="s">
        <v>137</v>
      </c>
      <c r="L1107" s="13" t="s">
        <v>5639</v>
      </c>
      <c r="M1107" s="13" t="s">
        <v>7767</v>
      </c>
      <c r="N1107" s="13">
        <v>353.48</v>
      </c>
      <c r="O1107" s="13" t="s">
        <v>7768</v>
      </c>
      <c r="P1107" s="13" t="s">
        <v>7769</v>
      </c>
      <c r="Q1107" s="13" t="s">
        <v>694</v>
      </c>
      <c r="R1107" s="13" t="s">
        <v>7770</v>
      </c>
      <c r="S1107" s="13" t="s">
        <v>441</v>
      </c>
      <c r="T1107" s="13" t="s">
        <v>442</v>
      </c>
      <c r="U1107" s="13" t="s">
        <v>443</v>
      </c>
      <c r="V1107" s="47">
        <f>SUMIF(Data!$E:$E,$I1107,Data!$AI:$AI)</f>
        <v>0</v>
      </c>
    </row>
    <row r="1108" spans="1:22" x14ac:dyDescent="0.25">
      <c r="A1108" s="46" t="s">
        <v>7137</v>
      </c>
      <c r="B1108" s="46" t="s">
        <v>120</v>
      </c>
      <c r="C1108" s="46" t="s">
        <v>7771</v>
      </c>
      <c r="D1108" s="46">
        <v>0.19386019930663201</v>
      </c>
      <c r="E1108" s="47">
        <f>SUMIF(Data!$E:$E,$C1108,Data!$AI:$AI)</f>
        <v>0</v>
      </c>
      <c r="I1108" s="13">
        <v>7752</v>
      </c>
      <c r="J1108" s="13" t="s">
        <v>7772</v>
      </c>
      <c r="K1108" s="13" t="s">
        <v>137</v>
      </c>
      <c r="L1108" s="13" t="s">
        <v>5639</v>
      </c>
      <c r="M1108" s="13" t="s">
        <v>7773</v>
      </c>
      <c r="N1108" s="13">
        <v>349.7</v>
      </c>
      <c r="O1108" s="13" t="s">
        <v>7774</v>
      </c>
      <c r="P1108" s="13" t="s">
        <v>7775</v>
      </c>
      <c r="Q1108" s="13" t="s">
        <v>143</v>
      </c>
      <c r="R1108" s="13" t="s">
        <v>7776</v>
      </c>
      <c r="S1108" s="13" t="s">
        <v>441</v>
      </c>
      <c r="T1108" s="13" t="s">
        <v>442</v>
      </c>
      <c r="U1108" s="13" t="s">
        <v>443</v>
      </c>
      <c r="V1108" s="47">
        <f>SUMIF(Data!$E:$E,$I1108,Data!$AI:$AI)</f>
        <v>0</v>
      </c>
    </row>
    <row r="1109" spans="1:22" x14ac:dyDescent="0.25">
      <c r="A1109" s="46" t="s">
        <v>7137</v>
      </c>
      <c r="B1109" s="46" t="s">
        <v>120</v>
      </c>
      <c r="C1109" s="46" t="s">
        <v>7777</v>
      </c>
      <c r="D1109" s="46">
        <v>1.0272403316490299</v>
      </c>
      <c r="E1109" s="47">
        <f>SUMIF(Data!$E:$E,$C1109,Data!$AI:$AI)</f>
        <v>0</v>
      </c>
      <c r="I1109" s="13" t="s">
        <v>7778</v>
      </c>
      <c r="J1109" s="13" t="s">
        <v>7779</v>
      </c>
      <c r="K1109" s="13" t="s">
        <v>137</v>
      </c>
      <c r="L1109" s="13" t="s">
        <v>5639</v>
      </c>
      <c r="M1109" s="13" t="s">
        <v>7780</v>
      </c>
      <c r="N1109" s="13">
        <v>45.506999999999998</v>
      </c>
      <c r="O1109" s="13" t="s">
        <v>7781</v>
      </c>
      <c r="P1109" s="13" t="s">
        <v>7782</v>
      </c>
      <c r="Q1109" s="13" t="s">
        <v>416</v>
      </c>
      <c r="R1109" s="13" t="s">
        <v>7783</v>
      </c>
      <c r="S1109" s="13" t="s">
        <v>145</v>
      </c>
      <c r="T1109" s="13" t="s">
        <v>146</v>
      </c>
      <c r="U1109" s="13" t="s">
        <v>110</v>
      </c>
      <c r="V1109" s="47">
        <f>SUMIF(Data!$E:$E,$I1109,Data!$AI:$AI)</f>
        <v>0</v>
      </c>
    </row>
    <row r="1110" spans="1:22" x14ac:dyDescent="0.25">
      <c r="A1110" s="46" t="s">
        <v>7137</v>
      </c>
      <c r="B1110" s="46" t="s">
        <v>120</v>
      </c>
      <c r="C1110" s="46" t="s">
        <v>7784</v>
      </c>
      <c r="D1110" s="46">
        <v>0.57270034207786302</v>
      </c>
      <c r="E1110" s="47">
        <f>SUMIF(Data!$E:$E,$C1110,Data!$AI:$AI)</f>
        <v>0</v>
      </c>
      <c r="I1110" s="13" t="s">
        <v>7785</v>
      </c>
      <c r="J1110" s="13" t="s">
        <v>7786</v>
      </c>
      <c r="K1110" s="13" t="s">
        <v>137</v>
      </c>
      <c r="L1110" s="13" t="s">
        <v>5639</v>
      </c>
      <c r="M1110" s="13" t="s">
        <v>7787</v>
      </c>
      <c r="N1110" s="13">
        <v>267.19299999999998</v>
      </c>
      <c r="O1110" s="13" t="s">
        <v>7788</v>
      </c>
      <c r="P1110" s="13" t="s">
        <v>7789</v>
      </c>
      <c r="Q1110" s="13" t="s">
        <v>190</v>
      </c>
      <c r="R1110" s="13" t="s">
        <v>7790</v>
      </c>
      <c r="S1110" s="13" t="s">
        <v>476</v>
      </c>
      <c r="T1110" s="13" t="s">
        <v>477</v>
      </c>
      <c r="U1110" s="13" t="s">
        <v>478</v>
      </c>
      <c r="V1110" s="47">
        <f>SUMIF(Data!$E:$E,$I1110,Data!$AI:$AI)</f>
        <v>0</v>
      </c>
    </row>
    <row r="1111" spans="1:22" x14ac:dyDescent="0.25">
      <c r="A1111" s="46" t="s">
        <v>7137</v>
      </c>
      <c r="B1111" s="46" t="s">
        <v>120</v>
      </c>
      <c r="C1111" s="46" t="s">
        <v>7791</v>
      </c>
      <c r="D1111" s="46">
        <v>1.7268371479542199</v>
      </c>
      <c r="E1111" s="47">
        <f>SUMIF(Data!$E:$E,$C1111,Data!$AI:$AI)</f>
        <v>0</v>
      </c>
      <c r="I1111" s="13" t="s">
        <v>7792</v>
      </c>
      <c r="J1111" s="13" t="s">
        <v>7793</v>
      </c>
      <c r="K1111" s="13" t="s">
        <v>137</v>
      </c>
      <c r="L1111" s="13" t="s">
        <v>5639</v>
      </c>
      <c r="M1111" s="13" t="s">
        <v>7794</v>
      </c>
      <c r="N1111" s="13">
        <v>23.289000000000001</v>
      </c>
      <c r="O1111" s="13" t="s">
        <v>7795</v>
      </c>
      <c r="P1111" s="13" t="s">
        <v>7796</v>
      </c>
      <c r="Q1111" s="13" t="s">
        <v>806</v>
      </c>
      <c r="R1111" s="13" t="s">
        <v>7797</v>
      </c>
      <c r="S1111" s="13" t="s">
        <v>192</v>
      </c>
      <c r="T1111" s="13" t="s">
        <v>146</v>
      </c>
      <c r="U1111" s="13" t="s">
        <v>110</v>
      </c>
      <c r="V1111" s="47">
        <f>SUMIF(Data!$E:$E,$I1111,Data!$AI:$AI)</f>
        <v>0</v>
      </c>
    </row>
    <row r="1112" spans="1:22" x14ac:dyDescent="0.25">
      <c r="A1112" s="46" t="s">
        <v>7137</v>
      </c>
      <c r="B1112" s="46" t="s">
        <v>120</v>
      </c>
      <c r="C1112" s="46" t="s">
        <v>7798</v>
      </c>
      <c r="D1112" s="46">
        <v>2.7752515280621499</v>
      </c>
      <c r="E1112" s="47">
        <f>SUMIF(Data!$E:$E,$C1112,Data!$AI:$AI)</f>
        <v>0</v>
      </c>
      <c r="I1112" s="13">
        <v>6586</v>
      </c>
      <c r="J1112" s="13" t="s">
        <v>7799</v>
      </c>
      <c r="K1112" s="13" t="s">
        <v>137</v>
      </c>
      <c r="L1112" s="13" t="s">
        <v>5639</v>
      </c>
      <c r="M1112" s="13" t="s">
        <v>7800</v>
      </c>
      <c r="N1112" s="13">
        <v>106.026</v>
      </c>
      <c r="O1112" s="13" t="s">
        <v>7801</v>
      </c>
      <c r="P1112" s="13" t="s">
        <v>7802</v>
      </c>
      <c r="Q1112" s="13" t="s">
        <v>416</v>
      </c>
      <c r="R1112" s="13" t="s">
        <v>7803</v>
      </c>
      <c r="S1112" s="13" t="s">
        <v>441</v>
      </c>
      <c r="T1112" s="13" t="s">
        <v>442</v>
      </c>
      <c r="U1112" s="13" t="s">
        <v>443</v>
      </c>
      <c r="V1112" s="47">
        <f>SUMIF(Data!$E:$E,$I1112,Data!$AI:$AI)</f>
        <v>0</v>
      </c>
    </row>
    <row r="1113" spans="1:22" x14ac:dyDescent="0.25">
      <c r="A1113" s="46" t="s">
        <v>7137</v>
      </c>
      <c r="B1113" s="46" t="s">
        <v>120</v>
      </c>
      <c r="C1113" s="46" t="s">
        <v>7804</v>
      </c>
      <c r="D1113" s="46">
        <v>0.83697877306936197</v>
      </c>
      <c r="E1113" s="47">
        <f>SUMIF(Data!$E:$E,$C1113,Data!$AI:$AI)</f>
        <v>0</v>
      </c>
      <c r="I1113" s="13">
        <v>2802</v>
      </c>
      <c r="J1113" s="13" t="s">
        <v>7805</v>
      </c>
      <c r="K1113" s="13" t="s">
        <v>137</v>
      </c>
      <c r="L1113" s="13" t="s">
        <v>5639</v>
      </c>
      <c r="M1113" s="13" t="s">
        <v>7806</v>
      </c>
      <c r="N1113" s="13">
        <v>238.39500000000001</v>
      </c>
      <c r="O1113" s="13" t="s">
        <v>7807</v>
      </c>
      <c r="P1113" s="13" t="s">
        <v>7808</v>
      </c>
      <c r="Q1113" s="13" t="s">
        <v>224</v>
      </c>
      <c r="R1113" s="13" t="s">
        <v>7809</v>
      </c>
      <c r="S1113" s="13" t="s">
        <v>441</v>
      </c>
      <c r="T1113" s="13" t="s">
        <v>442</v>
      </c>
      <c r="U1113" s="13" t="s">
        <v>443</v>
      </c>
      <c r="V1113" s="47">
        <f>SUMIF(Data!$E:$E,$I1113,Data!$AI:$AI)</f>
        <v>0</v>
      </c>
    </row>
    <row r="1114" spans="1:22" x14ac:dyDescent="0.25">
      <c r="A1114" s="46" t="s">
        <v>7137</v>
      </c>
      <c r="B1114" s="46" t="s">
        <v>120</v>
      </c>
      <c r="C1114" s="46" t="s">
        <v>5359</v>
      </c>
      <c r="D1114" s="46">
        <v>0.88470386123018996</v>
      </c>
      <c r="E1114" s="47">
        <f>SUMIF(Data!$E:$E,$C1114,Data!$AI:$AI)</f>
        <v>0</v>
      </c>
      <c r="I1114" s="13" t="s">
        <v>7810</v>
      </c>
      <c r="J1114" s="13" t="s">
        <v>7811</v>
      </c>
      <c r="K1114" s="13" t="s">
        <v>137</v>
      </c>
      <c r="L1114" s="13" t="s">
        <v>5639</v>
      </c>
      <c r="M1114" s="13" t="s">
        <v>7812</v>
      </c>
      <c r="N1114" s="13">
        <v>107.937</v>
      </c>
      <c r="O1114" s="13" t="s">
        <v>7813</v>
      </c>
      <c r="P1114" s="13" t="s">
        <v>7814</v>
      </c>
      <c r="Q1114" s="13" t="s">
        <v>143</v>
      </c>
      <c r="R1114" s="13" t="s">
        <v>7815</v>
      </c>
      <c r="S1114" s="13" t="s">
        <v>192</v>
      </c>
      <c r="T1114" s="13" t="s">
        <v>146</v>
      </c>
      <c r="U1114" s="13" t="s">
        <v>110</v>
      </c>
      <c r="V1114" s="47">
        <f>SUMIF(Data!$E:$E,$I1114,Data!$AI:$AI)</f>
        <v>0</v>
      </c>
    </row>
    <row r="1115" spans="1:22" x14ac:dyDescent="0.25">
      <c r="A1115" s="46" t="s">
        <v>7137</v>
      </c>
      <c r="B1115" s="46" t="s">
        <v>120</v>
      </c>
      <c r="C1115" s="46" t="s">
        <v>7816</v>
      </c>
      <c r="D1115" s="46">
        <v>2.8775085878259998E-2</v>
      </c>
      <c r="E1115" s="47">
        <f>SUMIF(Data!$E:$E,$C1115,Data!$AI:$AI)</f>
        <v>0</v>
      </c>
      <c r="I1115" s="13" t="s">
        <v>7817</v>
      </c>
      <c r="J1115" s="13" t="s">
        <v>7818</v>
      </c>
      <c r="K1115" s="13" t="s">
        <v>137</v>
      </c>
      <c r="L1115" s="13" t="s">
        <v>5639</v>
      </c>
      <c r="M1115" s="13" t="s">
        <v>7819</v>
      </c>
      <c r="N1115" s="13">
        <v>39.329000000000001</v>
      </c>
      <c r="O1115" s="13" t="s">
        <v>7820</v>
      </c>
      <c r="P1115" s="13" t="s">
        <v>7821</v>
      </c>
      <c r="Q1115" s="13" t="s">
        <v>162</v>
      </c>
      <c r="R1115" s="13" t="s">
        <v>7822</v>
      </c>
      <c r="S1115" s="13" t="s">
        <v>192</v>
      </c>
      <c r="T1115" s="13" t="s">
        <v>146</v>
      </c>
      <c r="U1115" s="13" t="s">
        <v>110</v>
      </c>
      <c r="V1115" s="47">
        <f>SUMIF(Data!$E:$E,$I1115,Data!$AI:$AI)</f>
        <v>0</v>
      </c>
    </row>
    <row r="1116" spans="1:22" x14ac:dyDescent="0.25">
      <c r="A1116" s="46" t="s">
        <v>7137</v>
      </c>
      <c r="B1116" s="46" t="s">
        <v>120</v>
      </c>
      <c r="C1116" s="46" t="s">
        <v>7823</v>
      </c>
      <c r="D1116" s="46">
        <v>0.100004197847401</v>
      </c>
      <c r="E1116" s="47">
        <f>SUMIF(Data!$E:$E,$C1116,Data!$AI:$AI)</f>
        <v>0</v>
      </c>
      <c r="I1116" s="13">
        <v>8795</v>
      </c>
      <c r="J1116" s="13" t="s">
        <v>7824</v>
      </c>
      <c r="K1116" s="13" t="s">
        <v>137</v>
      </c>
      <c r="L1116" s="13" t="s">
        <v>5639</v>
      </c>
      <c r="M1116" s="13" t="s">
        <v>7825</v>
      </c>
      <c r="N1116" s="13">
        <v>326.40499999999997</v>
      </c>
      <c r="O1116" s="13" t="s">
        <v>7826</v>
      </c>
      <c r="P1116" s="13" t="s">
        <v>7827</v>
      </c>
      <c r="Q1116" s="13" t="s">
        <v>190</v>
      </c>
      <c r="R1116" s="13" t="s">
        <v>7828</v>
      </c>
      <c r="S1116" s="13" t="s">
        <v>441</v>
      </c>
      <c r="T1116" s="13" t="s">
        <v>442</v>
      </c>
      <c r="U1116" s="13" t="s">
        <v>443</v>
      </c>
      <c r="V1116" s="47">
        <f>SUMIF(Data!$E:$E,$I1116,Data!$AI:$AI)</f>
        <v>0</v>
      </c>
    </row>
    <row r="1117" spans="1:22" x14ac:dyDescent="0.25">
      <c r="A1117" s="46" t="s">
        <v>7137</v>
      </c>
      <c r="B1117" s="46" t="s">
        <v>120</v>
      </c>
      <c r="C1117" s="46" t="s">
        <v>7829</v>
      </c>
      <c r="D1117" s="46">
        <v>0.47627257506947801</v>
      </c>
      <c r="E1117" s="47">
        <f>SUMIF(Data!$E:$E,$C1117,Data!$AI:$AI)</f>
        <v>0</v>
      </c>
      <c r="I1117" s="13">
        <v>7272</v>
      </c>
      <c r="J1117" s="13" t="s">
        <v>7830</v>
      </c>
      <c r="K1117" s="13" t="s">
        <v>137</v>
      </c>
      <c r="L1117" s="13" t="s">
        <v>5639</v>
      </c>
      <c r="M1117" s="13" t="s">
        <v>3550</v>
      </c>
      <c r="N1117" s="13">
        <v>201.6</v>
      </c>
      <c r="O1117" s="13" t="s">
        <v>7831</v>
      </c>
      <c r="P1117" s="13" t="s">
        <v>7832</v>
      </c>
      <c r="Q1117" s="13" t="s">
        <v>162</v>
      </c>
      <c r="R1117" s="13" t="s">
        <v>7833</v>
      </c>
      <c r="S1117" s="13" t="s">
        <v>441</v>
      </c>
      <c r="T1117" s="13" t="s">
        <v>442</v>
      </c>
      <c r="U1117" s="13" t="s">
        <v>443</v>
      </c>
      <c r="V1117" s="47">
        <f>SUMIF(Data!$E:$E,$I1117,Data!$AI:$AI)</f>
        <v>0</v>
      </c>
    </row>
    <row r="1118" spans="1:22" x14ac:dyDescent="0.25">
      <c r="A1118" s="46" t="s">
        <v>7137</v>
      </c>
      <c r="B1118" s="46" t="s">
        <v>120</v>
      </c>
      <c r="C1118" s="46" t="s">
        <v>7834</v>
      </c>
      <c r="D1118" s="46">
        <v>2.1870684909739001E-2</v>
      </c>
      <c r="E1118" s="47">
        <f>SUMIF(Data!$E:$E,$C1118,Data!$AI:$AI)</f>
        <v>0</v>
      </c>
      <c r="I1118" s="13" t="s">
        <v>7835</v>
      </c>
      <c r="J1118" s="13" t="s">
        <v>7836</v>
      </c>
      <c r="K1118" s="13" t="s">
        <v>137</v>
      </c>
      <c r="L1118" s="13" t="s">
        <v>5639</v>
      </c>
      <c r="M1118" s="13" t="s">
        <v>7837</v>
      </c>
      <c r="N1118" s="13">
        <v>237.31100000000001</v>
      </c>
      <c r="O1118" s="13" t="s">
        <v>7838</v>
      </c>
      <c r="P1118" s="13" t="s">
        <v>7839</v>
      </c>
      <c r="Q1118" s="13" t="s">
        <v>162</v>
      </c>
      <c r="R1118" s="13" t="s">
        <v>7840</v>
      </c>
      <c r="S1118" s="13" t="s">
        <v>476</v>
      </c>
      <c r="T1118" s="13" t="s">
        <v>477</v>
      </c>
      <c r="U1118" s="13" t="s">
        <v>478</v>
      </c>
      <c r="V1118" s="47">
        <f>SUMIF(Data!$E:$E,$I1118,Data!$AI:$AI)</f>
        <v>0</v>
      </c>
    </row>
    <row r="1119" spans="1:22" x14ac:dyDescent="0.25">
      <c r="A1119" s="46" t="s">
        <v>7137</v>
      </c>
      <c r="B1119" s="46" t="s">
        <v>120</v>
      </c>
      <c r="C1119" s="46" t="s">
        <v>7841</v>
      </c>
      <c r="D1119" s="46">
        <v>0.100139601652407</v>
      </c>
      <c r="E1119" s="47">
        <f>SUMIF(Data!$E:$E,$C1119,Data!$AI:$AI)</f>
        <v>0</v>
      </c>
      <c r="I1119" s="13">
        <v>2269</v>
      </c>
      <c r="J1119" s="13" t="s">
        <v>7842</v>
      </c>
      <c r="K1119" s="13" t="s">
        <v>137</v>
      </c>
      <c r="L1119" s="13" t="s">
        <v>5639</v>
      </c>
      <c r="M1119" s="13" t="s">
        <v>7843</v>
      </c>
      <c r="N1119" s="13">
        <v>56.7</v>
      </c>
      <c r="O1119" s="13" t="s">
        <v>7844</v>
      </c>
      <c r="P1119" s="13" t="s">
        <v>7845</v>
      </c>
      <c r="Q1119" s="13" t="s">
        <v>224</v>
      </c>
      <c r="R1119" s="13" t="s">
        <v>7846</v>
      </c>
      <c r="S1119" s="13" t="s">
        <v>441</v>
      </c>
      <c r="T1119" s="13" t="s">
        <v>442</v>
      </c>
      <c r="U1119" s="13" t="s">
        <v>443</v>
      </c>
      <c r="V1119" s="47">
        <f>SUMIF(Data!$E:$E,$I1119,Data!$AI:$AI)</f>
        <v>0</v>
      </c>
    </row>
    <row r="1120" spans="1:22" x14ac:dyDescent="0.25">
      <c r="A1120" s="46" t="s">
        <v>7137</v>
      </c>
      <c r="B1120" s="46" t="s">
        <v>120</v>
      </c>
      <c r="C1120" s="46" t="s">
        <v>2404</v>
      </c>
      <c r="D1120" s="46">
        <v>0.16177636970010401</v>
      </c>
      <c r="E1120" s="47">
        <f>SUMIF(Data!$E:$E,$C1120,Data!$AI:$AI)</f>
        <v>0</v>
      </c>
      <c r="I1120" s="13" t="s">
        <v>2751</v>
      </c>
      <c r="J1120" s="13" t="s">
        <v>7847</v>
      </c>
      <c r="K1120" s="13" t="s">
        <v>137</v>
      </c>
      <c r="L1120" s="13" t="s">
        <v>5639</v>
      </c>
      <c r="M1120" s="13" t="s">
        <v>7848</v>
      </c>
      <c r="N1120" s="13">
        <v>40.902000000000001</v>
      </c>
      <c r="O1120" s="13" t="s">
        <v>7849</v>
      </c>
      <c r="P1120" s="13" t="s">
        <v>7850</v>
      </c>
      <c r="Q1120" s="13" t="s">
        <v>416</v>
      </c>
      <c r="R1120" s="13" t="s">
        <v>7851</v>
      </c>
      <c r="S1120" s="13" t="s">
        <v>192</v>
      </c>
      <c r="T1120" s="13" t="s">
        <v>146</v>
      </c>
      <c r="U1120" s="13" t="s">
        <v>110</v>
      </c>
      <c r="V1120" s="47">
        <f>SUMIF(Data!$E:$E,$I1120,Data!$AI:$AI)</f>
        <v>0</v>
      </c>
    </row>
    <row r="1121" spans="1:22" x14ac:dyDescent="0.25">
      <c r="A1121" s="46" t="s">
        <v>7137</v>
      </c>
      <c r="B1121" s="46" t="s">
        <v>120</v>
      </c>
      <c r="C1121" s="46" t="s">
        <v>7852</v>
      </c>
      <c r="D1121" s="46">
        <v>0.19470223839953801</v>
      </c>
      <c r="E1121" s="47">
        <f>SUMIF(Data!$E:$E,$C1121,Data!$AI:$AI)</f>
        <v>0</v>
      </c>
      <c r="I1121" s="13" t="s">
        <v>7853</v>
      </c>
      <c r="J1121" s="13" t="s">
        <v>7854</v>
      </c>
      <c r="K1121" s="13" t="s">
        <v>137</v>
      </c>
      <c r="L1121" s="13" t="s">
        <v>5639</v>
      </c>
      <c r="M1121" s="13" t="s">
        <v>7855</v>
      </c>
      <c r="N1121" s="13">
        <v>34.124000000000002</v>
      </c>
      <c r="O1121" s="13" t="s">
        <v>7856</v>
      </c>
      <c r="P1121" s="13" t="s">
        <v>7857</v>
      </c>
      <c r="Q1121" s="13" t="s">
        <v>806</v>
      </c>
      <c r="R1121" s="13" t="s">
        <v>7858</v>
      </c>
      <c r="S1121" s="13" t="s">
        <v>560</v>
      </c>
      <c r="T1121" s="13" t="s">
        <v>561</v>
      </c>
      <c r="U1121" s="13" t="s">
        <v>525</v>
      </c>
      <c r="V1121" s="47">
        <f>SUMIF(Data!$E:$E,$I1121,Data!$AI:$AI)</f>
        <v>0</v>
      </c>
    </row>
    <row r="1122" spans="1:22" x14ac:dyDescent="0.25">
      <c r="A1122" s="46" t="s">
        <v>7137</v>
      </c>
      <c r="B1122" s="46" t="s">
        <v>120</v>
      </c>
      <c r="C1122" s="46" t="s">
        <v>7859</v>
      </c>
      <c r="D1122" s="46">
        <v>0.146119867345256</v>
      </c>
      <c r="E1122" s="47">
        <f>SUMIF(Data!$E:$E,$C1122,Data!$AI:$AI)</f>
        <v>0</v>
      </c>
      <c r="I1122" s="13" t="s">
        <v>7860</v>
      </c>
      <c r="J1122" s="13" t="s">
        <v>7861</v>
      </c>
      <c r="K1122" s="13" t="s">
        <v>137</v>
      </c>
      <c r="L1122" s="13" t="s">
        <v>5639</v>
      </c>
      <c r="M1122" s="13" t="s">
        <v>7862</v>
      </c>
      <c r="N1122" s="13">
        <v>53.573</v>
      </c>
      <c r="O1122" s="13" t="s">
        <v>7863</v>
      </c>
      <c r="P1122" s="13" t="s">
        <v>7864</v>
      </c>
      <c r="Q1122" s="13" t="s">
        <v>143</v>
      </c>
      <c r="R1122" s="13" t="s">
        <v>7865</v>
      </c>
      <c r="S1122" s="13" t="s">
        <v>560</v>
      </c>
      <c r="T1122" s="13" t="s">
        <v>561</v>
      </c>
      <c r="U1122" s="13" t="s">
        <v>525</v>
      </c>
      <c r="V1122" s="47">
        <f>SUMIF(Data!$E:$E,$I1122,Data!$AI:$AI)</f>
        <v>0</v>
      </c>
    </row>
    <row r="1123" spans="1:22" x14ac:dyDescent="0.25">
      <c r="A1123" s="46" t="s">
        <v>7137</v>
      </c>
      <c r="B1123" s="46" t="s">
        <v>120</v>
      </c>
      <c r="C1123" s="46" t="s">
        <v>7866</v>
      </c>
      <c r="D1123" s="46">
        <v>1.8089384903960001E-2</v>
      </c>
      <c r="E1123" s="47">
        <f>SUMIF(Data!$E:$E,$C1123,Data!$AI:$AI)</f>
        <v>0</v>
      </c>
      <c r="I1123" s="13" t="s">
        <v>7867</v>
      </c>
      <c r="J1123" s="13" t="s">
        <v>7868</v>
      </c>
      <c r="K1123" s="13" t="s">
        <v>137</v>
      </c>
      <c r="L1123" s="13" t="s">
        <v>5639</v>
      </c>
      <c r="M1123" s="13" t="s">
        <v>7869</v>
      </c>
      <c r="N1123" s="13">
        <v>36.831000000000003</v>
      </c>
      <c r="O1123" s="13" t="s">
        <v>7870</v>
      </c>
      <c r="P1123" s="13" t="s">
        <v>7871</v>
      </c>
      <c r="Q1123" s="13" t="s">
        <v>190</v>
      </c>
      <c r="R1123" s="13" t="s">
        <v>7872</v>
      </c>
      <c r="S1123" s="13" t="s">
        <v>1274</v>
      </c>
      <c r="T1123" s="13" t="s">
        <v>1275</v>
      </c>
      <c r="U1123" s="13" t="s">
        <v>525</v>
      </c>
      <c r="V1123" s="47">
        <f>SUMIF(Data!$E:$E,$I1123,Data!$AI:$AI)</f>
        <v>0</v>
      </c>
    </row>
    <row r="1124" spans="1:22" x14ac:dyDescent="0.25">
      <c r="A1124" s="46" t="s">
        <v>7137</v>
      </c>
      <c r="B1124" s="46" t="s">
        <v>120</v>
      </c>
      <c r="C1124" s="46" t="s">
        <v>7873</v>
      </c>
      <c r="D1124" s="46">
        <v>5.0305871906669998E-2</v>
      </c>
      <c r="E1124" s="47">
        <f>SUMIF(Data!$E:$E,$C1124,Data!$AI:$AI)</f>
        <v>0</v>
      </c>
      <c r="I1124" s="13">
        <v>1801</v>
      </c>
      <c r="J1124" s="13" t="s">
        <v>7874</v>
      </c>
      <c r="K1124" s="13" t="s">
        <v>137</v>
      </c>
      <c r="L1124" s="13" t="s">
        <v>5639</v>
      </c>
      <c r="M1124" s="13" t="s">
        <v>7875</v>
      </c>
      <c r="N1124" s="13">
        <v>94.197999999999993</v>
      </c>
      <c r="O1124" s="13" t="s">
        <v>7876</v>
      </c>
      <c r="P1124" s="13" t="s">
        <v>7877</v>
      </c>
      <c r="Q1124" s="13" t="s">
        <v>416</v>
      </c>
      <c r="R1124" s="13" t="s">
        <v>7878</v>
      </c>
      <c r="S1124" s="13" t="s">
        <v>441</v>
      </c>
      <c r="T1124" s="13" t="s">
        <v>442</v>
      </c>
      <c r="U1124" s="13" t="s">
        <v>443</v>
      </c>
      <c r="V1124" s="47">
        <f>SUMIF(Data!$E:$E,$I1124,Data!$AI:$AI)</f>
        <v>0</v>
      </c>
    </row>
    <row r="1125" spans="1:22" x14ac:dyDescent="0.25">
      <c r="A1125" s="46" t="s">
        <v>7137</v>
      </c>
      <c r="B1125" s="46" t="s">
        <v>120</v>
      </c>
      <c r="C1125" s="46" t="s">
        <v>7879</v>
      </c>
      <c r="D1125" s="46">
        <v>7.2521041769425004E-2</v>
      </c>
      <c r="E1125" s="47">
        <f>SUMIF(Data!$E:$E,$C1125,Data!$AI:$AI)</f>
        <v>0</v>
      </c>
      <c r="I1125" s="13" t="s">
        <v>7880</v>
      </c>
      <c r="J1125" s="13" t="s">
        <v>7881</v>
      </c>
      <c r="K1125" s="13" t="s">
        <v>137</v>
      </c>
      <c r="L1125" s="13" t="s">
        <v>5639</v>
      </c>
      <c r="M1125" s="13" t="s">
        <v>2728</v>
      </c>
      <c r="N1125" s="13">
        <v>54.503999999999998</v>
      </c>
      <c r="O1125" s="13" t="s">
        <v>7882</v>
      </c>
      <c r="P1125" s="13" t="s">
        <v>7883</v>
      </c>
      <c r="Q1125" s="13" t="s">
        <v>416</v>
      </c>
      <c r="R1125" s="13" t="s">
        <v>7884</v>
      </c>
      <c r="S1125" s="13" t="s">
        <v>725</v>
      </c>
      <c r="T1125" s="13" t="s">
        <v>726</v>
      </c>
      <c r="U1125" s="13" t="s">
        <v>727</v>
      </c>
      <c r="V1125" s="47">
        <f>SUMIF(Data!$E:$E,$I1125,Data!$AI:$AI)</f>
        <v>0</v>
      </c>
    </row>
    <row r="1126" spans="1:22" x14ac:dyDescent="0.25">
      <c r="A1126" s="46" t="s">
        <v>7137</v>
      </c>
      <c r="B1126" s="46" t="s">
        <v>120</v>
      </c>
      <c r="C1126" s="46" t="s">
        <v>7885</v>
      </c>
      <c r="D1126" s="46">
        <v>3.6138899156499003E-2</v>
      </c>
      <c r="E1126" s="47">
        <f>SUMIF(Data!$E:$E,$C1126,Data!$AI:$AI)</f>
        <v>0</v>
      </c>
      <c r="I1126" s="13" t="s">
        <v>7886</v>
      </c>
      <c r="J1126" s="13" t="s">
        <v>7887</v>
      </c>
      <c r="K1126" s="13" t="s">
        <v>137</v>
      </c>
      <c r="L1126" s="13" t="s">
        <v>5639</v>
      </c>
      <c r="M1126" s="13" t="s">
        <v>7888</v>
      </c>
      <c r="N1126" s="13" t="s">
        <v>7889</v>
      </c>
      <c r="O1126" s="13" t="s">
        <v>7890</v>
      </c>
      <c r="P1126" s="13" t="s">
        <v>7891</v>
      </c>
      <c r="Q1126" s="13" t="s">
        <v>172</v>
      </c>
      <c r="R1126" s="13" t="s">
        <v>7892</v>
      </c>
      <c r="S1126" s="13" t="s">
        <v>476</v>
      </c>
      <c r="T1126" s="13" t="s">
        <v>477</v>
      </c>
      <c r="U1126" s="13" t="s">
        <v>478</v>
      </c>
      <c r="V1126" s="47">
        <f>SUMIF(Data!$E:$E,$I1126,Data!$AI:$AI)</f>
        <v>0</v>
      </c>
    </row>
    <row r="1127" spans="1:22" x14ac:dyDescent="0.25">
      <c r="A1127" s="46" t="s">
        <v>7137</v>
      </c>
      <c r="B1127" s="46" t="s">
        <v>120</v>
      </c>
      <c r="C1127" s="46" t="s">
        <v>7893</v>
      </c>
      <c r="D1127" s="46">
        <v>6.5785164695285003E-2</v>
      </c>
      <c r="E1127" s="47">
        <f>SUMIF(Data!$E:$E,$C1127,Data!$AI:$AI)</f>
        <v>0</v>
      </c>
      <c r="I1127" s="13" t="s">
        <v>7894</v>
      </c>
      <c r="J1127" s="13" t="s">
        <v>7895</v>
      </c>
      <c r="K1127" s="13" t="s">
        <v>137</v>
      </c>
      <c r="L1127" s="13" t="s">
        <v>5639</v>
      </c>
      <c r="M1127" s="13" t="s">
        <v>7896</v>
      </c>
      <c r="N1127" s="13">
        <v>208.667</v>
      </c>
      <c r="O1127" s="13" t="s">
        <v>7897</v>
      </c>
      <c r="P1127" s="13" t="s">
        <v>7898</v>
      </c>
      <c r="Q1127" s="13" t="s">
        <v>190</v>
      </c>
      <c r="R1127" s="13" t="s">
        <v>7899</v>
      </c>
      <c r="S1127" s="13" t="s">
        <v>642</v>
      </c>
      <c r="T1127" s="13" t="s">
        <v>643</v>
      </c>
      <c r="U1127" s="13" t="s">
        <v>525</v>
      </c>
      <c r="V1127" s="47">
        <f>SUMIF(Data!$E:$E,$I1127,Data!$AI:$AI)</f>
        <v>0</v>
      </c>
    </row>
    <row r="1128" spans="1:22" x14ac:dyDescent="0.25">
      <c r="A1128" s="46" t="s">
        <v>7137</v>
      </c>
      <c r="B1128" s="46" t="s">
        <v>120</v>
      </c>
      <c r="C1128" s="46" t="s">
        <v>7900</v>
      </c>
      <c r="D1128" s="46">
        <v>0.48544540042462803</v>
      </c>
      <c r="E1128" s="47">
        <f>SUMIF(Data!$E:$E,$C1128,Data!$AI:$AI)</f>
        <v>0</v>
      </c>
      <c r="I1128" s="13" t="s">
        <v>7901</v>
      </c>
      <c r="J1128" s="13" t="s">
        <v>7902</v>
      </c>
      <c r="K1128" s="13" t="s">
        <v>137</v>
      </c>
      <c r="L1128" s="13" t="s">
        <v>5639</v>
      </c>
      <c r="M1128" s="13" t="s">
        <v>7903</v>
      </c>
      <c r="N1128" s="13">
        <v>69.298000000000002</v>
      </c>
      <c r="O1128" s="13" t="s">
        <v>7904</v>
      </c>
      <c r="P1128" s="13" t="s">
        <v>7905</v>
      </c>
      <c r="Q1128" s="13" t="s">
        <v>143</v>
      </c>
      <c r="R1128" s="13" t="s">
        <v>7906</v>
      </c>
      <c r="S1128" s="13" t="s">
        <v>145</v>
      </c>
      <c r="T1128" s="13" t="s">
        <v>146</v>
      </c>
      <c r="U1128" s="13" t="s">
        <v>110</v>
      </c>
      <c r="V1128" s="47">
        <f>SUMIF(Data!$E:$E,$I1128,Data!$AI:$AI)</f>
        <v>0</v>
      </c>
    </row>
    <row r="1129" spans="1:22" x14ac:dyDescent="0.25">
      <c r="A1129" s="46" t="s">
        <v>7137</v>
      </c>
      <c r="B1129" s="46" t="s">
        <v>120</v>
      </c>
      <c r="C1129" s="46" t="s">
        <v>7907</v>
      </c>
      <c r="D1129" s="46">
        <v>1.0840685257912E-2</v>
      </c>
      <c r="E1129" s="47">
        <f>SUMIF(Data!$E:$E,$C1129,Data!$AI:$AI)</f>
        <v>0</v>
      </c>
      <c r="I1129" s="13" t="s">
        <v>7908</v>
      </c>
      <c r="J1129" s="13" t="s">
        <v>7909</v>
      </c>
      <c r="K1129" s="13" t="s">
        <v>137</v>
      </c>
      <c r="L1129" s="13" t="s">
        <v>5639</v>
      </c>
      <c r="M1129" s="13" t="s">
        <v>7910</v>
      </c>
      <c r="N1129" s="13">
        <v>80.616</v>
      </c>
      <c r="O1129" s="13" t="s">
        <v>7911</v>
      </c>
      <c r="P1129" s="13" t="s">
        <v>7912</v>
      </c>
      <c r="Q1129" s="13" t="s">
        <v>416</v>
      </c>
      <c r="R1129" s="13" t="s">
        <v>7913</v>
      </c>
      <c r="S1129" s="13" t="s">
        <v>192</v>
      </c>
      <c r="T1129" s="13" t="s">
        <v>146</v>
      </c>
      <c r="U1129" s="13" t="s">
        <v>110</v>
      </c>
      <c r="V1129" s="47">
        <f>SUMIF(Data!$E:$E,$I1129,Data!$AI:$AI)</f>
        <v>0</v>
      </c>
    </row>
    <row r="1130" spans="1:22" x14ac:dyDescent="0.25">
      <c r="A1130" s="46" t="s">
        <v>7137</v>
      </c>
      <c r="B1130" s="46" t="s">
        <v>120</v>
      </c>
      <c r="C1130" s="46" t="s">
        <v>7914</v>
      </c>
      <c r="D1130" s="46">
        <v>5.0490866556660997E-2</v>
      </c>
      <c r="E1130" s="47">
        <f>SUMIF(Data!$E:$E,$C1130,Data!$AI:$AI)</f>
        <v>0</v>
      </c>
      <c r="I1130" s="13">
        <v>4005</v>
      </c>
      <c r="J1130" s="13" t="s">
        <v>7915</v>
      </c>
      <c r="K1130" s="13" t="s">
        <v>137</v>
      </c>
      <c r="L1130" s="13" t="s">
        <v>5639</v>
      </c>
      <c r="M1130" s="13" t="s">
        <v>7916</v>
      </c>
      <c r="N1130" s="13">
        <v>871.52300000000002</v>
      </c>
      <c r="O1130" s="13" t="s">
        <v>7917</v>
      </c>
      <c r="P1130" s="13" t="s">
        <v>7918</v>
      </c>
      <c r="Q1130" s="13" t="s">
        <v>734</v>
      </c>
      <c r="R1130" s="13" t="s">
        <v>7919</v>
      </c>
      <c r="S1130" s="13" t="s">
        <v>441</v>
      </c>
      <c r="T1130" s="13" t="s">
        <v>442</v>
      </c>
      <c r="U1130" s="13" t="s">
        <v>443</v>
      </c>
      <c r="V1130" s="47">
        <f>SUMIF(Data!$E:$E,$I1130,Data!$AI:$AI)</f>
        <v>0</v>
      </c>
    </row>
    <row r="1131" spans="1:22" x14ac:dyDescent="0.25">
      <c r="A1131" s="46" t="s">
        <v>7137</v>
      </c>
      <c r="B1131" s="46" t="s">
        <v>120</v>
      </c>
      <c r="C1131" s="46" t="s">
        <v>7920</v>
      </c>
      <c r="D1131" s="46">
        <v>4.0490465399470002E-2</v>
      </c>
      <c r="E1131" s="47">
        <f>SUMIF(Data!$E:$E,$C1131,Data!$AI:$AI)</f>
        <v>0</v>
      </c>
      <c r="I1131" s="13" t="s">
        <v>7921</v>
      </c>
      <c r="J1131" s="13" t="s">
        <v>7922</v>
      </c>
      <c r="K1131" s="13" t="s">
        <v>137</v>
      </c>
      <c r="L1131" s="13" t="s">
        <v>5639</v>
      </c>
      <c r="M1131" s="13" t="s">
        <v>7923</v>
      </c>
      <c r="N1131" s="13">
        <v>61.107999999999997</v>
      </c>
      <c r="O1131" s="13" t="s">
        <v>7924</v>
      </c>
      <c r="P1131" s="13" t="s">
        <v>7925</v>
      </c>
      <c r="Q1131" s="13" t="s">
        <v>162</v>
      </c>
      <c r="R1131" s="13" t="s">
        <v>7926</v>
      </c>
      <c r="S1131" s="13" t="s">
        <v>476</v>
      </c>
      <c r="T1131" s="13" t="s">
        <v>477</v>
      </c>
      <c r="U1131" s="13" t="s">
        <v>478</v>
      </c>
      <c r="V1131" s="47">
        <f>SUMIF(Data!$E:$E,$I1131,Data!$AI:$AI)</f>
        <v>0</v>
      </c>
    </row>
    <row r="1132" spans="1:22" x14ac:dyDescent="0.25">
      <c r="A1132" s="46" t="s">
        <v>7137</v>
      </c>
      <c r="B1132" s="46" t="s">
        <v>120</v>
      </c>
      <c r="C1132" s="46" t="s">
        <v>3566</v>
      </c>
      <c r="D1132" s="46">
        <v>6.1100488619703998E-2</v>
      </c>
      <c r="E1132" s="47">
        <f>SUMIF(Data!$E:$E,$C1132,Data!$AI:$AI)</f>
        <v>0</v>
      </c>
      <c r="I1132" s="13" t="s">
        <v>7927</v>
      </c>
      <c r="J1132" s="13" t="s">
        <v>7928</v>
      </c>
      <c r="K1132" s="13" t="s">
        <v>137</v>
      </c>
      <c r="L1132" s="13" t="s">
        <v>5639</v>
      </c>
      <c r="M1132" s="13" t="s">
        <v>7929</v>
      </c>
      <c r="N1132" s="13">
        <v>752.76</v>
      </c>
      <c r="O1132" s="13" t="s">
        <v>7930</v>
      </c>
      <c r="P1132" s="13" t="s">
        <v>7931</v>
      </c>
      <c r="Q1132" s="13" t="s">
        <v>416</v>
      </c>
      <c r="R1132" s="13" t="s">
        <v>7932</v>
      </c>
      <c r="S1132" s="13" t="s">
        <v>2365</v>
      </c>
      <c r="T1132" s="13" t="s">
        <v>2366</v>
      </c>
      <c r="U1132" s="13" t="s">
        <v>2367</v>
      </c>
      <c r="V1132" s="47">
        <f>SUMIF(Data!$E:$E,$I1132,Data!$AI:$AI)</f>
        <v>0</v>
      </c>
    </row>
    <row r="1133" spans="1:22" x14ac:dyDescent="0.25">
      <c r="A1133" s="46" t="s">
        <v>7137</v>
      </c>
      <c r="B1133" s="46" t="s">
        <v>120</v>
      </c>
      <c r="C1133" s="46" t="s">
        <v>1222</v>
      </c>
      <c r="D1133" s="46">
        <v>0.13105542699897499</v>
      </c>
      <c r="E1133" s="47">
        <f>SUMIF(Data!$E:$E,$C1133,Data!$AI:$AI)</f>
        <v>0</v>
      </c>
      <c r="I1133" s="13">
        <v>6841</v>
      </c>
      <c r="J1133" s="13" t="s">
        <v>7933</v>
      </c>
      <c r="K1133" s="13" t="s">
        <v>137</v>
      </c>
      <c r="L1133" s="13" t="s">
        <v>5639</v>
      </c>
      <c r="M1133" s="13" t="s">
        <v>7934</v>
      </c>
      <c r="N1133" s="13">
        <v>206.2</v>
      </c>
      <c r="O1133" s="13" t="s">
        <v>7935</v>
      </c>
      <c r="P1133" s="13" t="s">
        <v>7936</v>
      </c>
      <c r="Q1133" s="13" t="s">
        <v>143</v>
      </c>
      <c r="R1133" s="13" t="s">
        <v>7937</v>
      </c>
      <c r="S1133" s="13" t="s">
        <v>441</v>
      </c>
      <c r="T1133" s="13" t="s">
        <v>442</v>
      </c>
      <c r="U1133" s="13" t="s">
        <v>443</v>
      </c>
      <c r="V1133" s="47">
        <f>SUMIF(Data!$E:$E,$I1133,Data!$AI:$AI)</f>
        <v>0</v>
      </c>
    </row>
    <row r="1134" spans="1:22" x14ac:dyDescent="0.25">
      <c r="A1134" s="46" t="s">
        <v>7137</v>
      </c>
      <c r="B1134" s="46" t="s">
        <v>120</v>
      </c>
      <c r="C1134" s="46" t="s">
        <v>6417</v>
      </c>
      <c r="D1134" s="46">
        <v>1.5316906748484E-2</v>
      </c>
      <c r="E1134" s="47">
        <f>SUMIF(Data!$E:$E,$C1134,Data!$AI:$AI)</f>
        <v>0</v>
      </c>
      <c r="I1134" s="13" t="s">
        <v>7938</v>
      </c>
      <c r="J1134" s="13" t="s">
        <v>7939</v>
      </c>
      <c r="K1134" s="13" t="s">
        <v>137</v>
      </c>
      <c r="L1134" s="13" t="s">
        <v>5639</v>
      </c>
      <c r="M1134" s="13" t="s">
        <v>7940</v>
      </c>
      <c r="N1134" s="13">
        <v>58.884999999999998</v>
      </c>
      <c r="O1134" s="13" t="s">
        <v>7941</v>
      </c>
      <c r="P1134" s="13" t="s">
        <v>7942</v>
      </c>
      <c r="Q1134" s="13" t="s">
        <v>416</v>
      </c>
      <c r="R1134" s="13" t="s">
        <v>7943</v>
      </c>
      <c r="S1134" s="13" t="s">
        <v>192</v>
      </c>
      <c r="T1134" s="13" t="s">
        <v>146</v>
      </c>
      <c r="U1134" s="13" t="s">
        <v>110</v>
      </c>
      <c r="V1134" s="47">
        <f>SUMIF(Data!$E:$E,$I1134,Data!$AI:$AI)</f>
        <v>0</v>
      </c>
    </row>
    <row r="1135" spans="1:22" x14ac:dyDescent="0.25">
      <c r="A1135" s="46" t="s">
        <v>7137</v>
      </c>
      <c r="B1135" s="46" t="s">
        <v>120</v>
      </c>
      <c r="C1135" s="46" t="s">
        <v>7944</v>
      </c>
      <c r="D1135" s="46">
        <v>0.33336194801395203</v>
      </c>
      <c r="E1135" s="47">
        <f>SUMIF(Data!$E:$E,$C1135,Data!$AI:$AI)</f>
        <v>0</v>
      </c>
      <c r="I1135" s="13">
        <v>8960</v>
      </c>
      <c r="J1135" s="13" t="s">
        <v>7945</v>
      </c>
      <c r="K1135" s="13" t="s">
        <v>137</v>
      </c>
      <c r="L1135" s="13" t="s">
        <v>5639</v>
      </c>
      <c r="M1135" s="13" t="s">
        <v>7946</v>
      </c>
      <c r="N1135" s="13">
        <v>2.0529999999999999</v>
      </c>
      <c r="O1135" s="13" t="s">
        <v>7947</v>
      </c>
      <c r="P1135" s="13" t="s">
        <v>7948</v>
      </c>
      <c r="Q1135" s="13" t="s">
        <v>806</v>
      </c>
      <c r="R1135" s="13" t="s">
        <v>7949</v>
      </c>
      <c r="S1135" s="13" t="s">
        <v>441</v>
      </c>
      <c r="T1135" s="13" t="s">
        <v>442</v>
      </c>
      <c r="U1135" s="13" t="s">
        <v>443</v>
      </c>
      <c r="V1135" s="47">
        <f>SUMIF(Data!$E:$E,$I1135,Data!$AI:$AI)</f>
        <v>0</v>
      </c>
    </row>
    <row r="1136" spans="1:22" x14ac:dyDescent="0.25">
      <c r="A1136" s="46" t="s">
        <v>7137</v>
      </c>
      <c r="B1136" s="46" t="s">
        <v>120</v>
      </c>
      <c r="C1136" s="46" t="s">
        <v>7950</v>
      </c>
      <c r="D1136" s="46">
        <v>0.39642867291841699</v>
      </c>
      <c r="E1136" s="47">
        <f>SUMIF(Data!$E:$E,$C1136,Data!$AI:$AI)</f>
        <v>0</v>
      </c>
      <c r="I1136" s="13" t="s">
        <v>7951</v>
      </c>
      <c r="J1136" s="13" t="s">
        <v>7952</v>
      </c>
      <c r="K1136" s="13" t="s">
        <v>137</v>
      </c>
      <c r="L1136" s="13" t="s">
        <v>5639</v>
      </c>
      <c r="M1136" s="13" t="s">
        <v>7953</v>
      </c>
      <c r="N1136" s="13">
        <v>158.48400000000001</v>
      </c>
      <c r="O1136" s="13" t="s">
        <v>7954</v>
      </c>
      <c r="P1136" s="13" t="s">
        <v>7955</v>
      </c>
      <c r="Q1136" s="13" t="s">
        <v>190</v>
      </c>
      <c r="R1136" s="13" t="s">
        <v>7956</v>
      </c>
      <c r="S1136" s="13" t="s">
        <v>476</v>
      </c>
      <c r="T1136" s="13" t="s">
        <v>477</v>
      </c>
      <c r="U1136" s="13" t="s">
        <v>478</v>
      </c>
      <c r="V1136" s="47">
        <f>SUMIF(Data!$E:$E,$I1136,Data!$AI:$AI)</f>
        <v>0</v>
      </c>
    </row>
    <row r="1137" spans="1:22" x14ac:dyDescent="0.25">
      <c r="A1137" s="46" t="s">
        <v>7137</v>
      </c>
      <c r="B1137" s="46" t="s">
        <v>120</v>
      </c>
      <c r="C1137" s="46" t="s">
        <v>7957</v>
      </c>
      <c r="D1137" s="46">
        <v>0.29904629792360399</v>
      </c>
      <c r="E1137" s="47">
        <f>SUMIF(Data!$E:$E,$C1137,Data!$AI:$AI)</f>
        <v>0</v>
      </c>
      <c r="I1137" s="13" t="s">
        <v>7958</v>
      </c>
      <c r="J1137" s="13" t="s">
        <v>7959</v>
      </c>
      <c r="K1137" s="13" t="s">
        <v>137</v>
      </c>
      <c r="L1137" s="13" t="s">
        <v>5639</v>
      </c>
      <c r="M1137" s="13" t="s">
        <v>7960</v>
      </c>
      <c r="N1137" s="13">
        <v>111.191</v>
      </c>
      <c r="O1137" s="13" t="s">
        <v>7961</v>
      </c>
      <c r="P1137" s="13" t="s">
        <v>7962</v>
      </c>
      <c r="Q1137" s="13" t="s">
        <v>260</v>
      </c>
      <c r="R1137" s="13" t="s">
        <v>7963</v>
      </c>
      <c r="S1137" s="13" t="s">
        <v>2928</v>
      </c>
      <c r="T1137" s="13" t="s">
        <v>2929</v>
      </c>
      <c r="U1137" s="13" t="s">
        <v>2930</v>
      </c>
      <c r="V1137" s="47">
        <f>SUMIF(Data!$E:$E,$I1137,Data!$AI:$AI)</f>
        <v>0</v>
      </c>
    </row>
    <row r="1138" spans="1:22" x14ac:dyDescent="0.25">
      <c r="A1138" s="46" t="s">
        <v>7964</v>
      </c>
      <c r="B1138" s="46" t="s">
        <v>120</v>
      </c>
      <c r="C1138" s="46" t="s">
        <v>4575</v>
      </c>
      <c r="D1138" s="46">
        <v>5.7827346247927096</v>
      </c>
      <c r="E1138" s="47">
        <f>SUMIF(Data!$E:$E,$C1138,Data!$AI:$AI)</f>
        <v>0</v>
      </c>
      <c r="I1138" s="13">
        <v>1878</v>
      </c>
      <c r="J1138" s="13" t="s">
        <v>7965</v>
      </c>
      <c r="K1138" s="13" t="s">
        <v>137</v>
      </c>
      <c r="L1138" s="13" t="s">
        <v>5639</v>
      </c>
      <c r="M1138" s="13" t="s">
        <v>7966</v>
      </c>
      <c r="N1138" s="13">
        <v>31.893999999999998</v>
      </c>
      <c r="O1138" s="13" t="s">
        <v>7967</v>
      </c>
      <c r="P1138" s="13" t="s">
        <v>7968</v>
      </c>
      <c r="Q1138" s="13" t="s">
        <v>806</v>
      </c>
      <c r="R1138" s="13" t="s">
        <v>7969</v>
      </c>
      <c r="S1138" s="13" t="s">
        <v>441</v>
      </c>
      <c r="T1138" s="13" t="s">
        <v>442</v>
      </c>
      <c r="U1138" s="13" t="s">
        <v>443</v>
      </c>
      <c r="V1138" s="47">
        <f>SUMIF(Data!$E:$E,$I1138,Data!$AI:$AI)</f>
        <v>0</v>
      </c>
    </row>
    <row r="1139" spans="1:22" x14ac:dyDescent="0.25">
      <c r="A1139" s="46" t="s">
        <v>7964</v>
      </c>
      <c r="B1139" s="46" t="s">
        <v>120</v>
      </c>
      <c r="C1139" s="46" t="s">
        <v>2014</v>
      </c>
      <c r="D1139" s="46">
        <v>0.53447287080163997</v>
      </c>
      <c r="E1139" s="47">
        <f>SUMIF(Data!$E:$E,$C1139,Data!$AI:$AI)</f>
        <v>0</v>
      </c>
      <c r="I1139" s="13" t="s">
        <v>7970</v>
      </c>
      <c r="J1139" s="13" t="s">
        <v>7971</v>
      </c>
      <c r="K1139" s="13" t="s">
        <v>137</v>
      </c>
      <c r="L1139" s="13" t="s">
        <v>5639</v>
      </c>
      <c r="M1139" s="13" t="s">
        <v>7972</v>
      </c>
      <c r="N1139" s="13">
        <v>177.76400000000001</v>
      </c>
      <c r="O1139" s="13" t="s">
        <v>7973</v>
      </c>
      <c r="P1139" s="13" t="s">
        <v>7974</v>
      </c>
      <c r="Q1139" s="13" t="s">
        <v>806</v>
      </c>
      <c r="R1139" s="13" t="s">
        <v>7975</v>
      </c>
      <c r="S1139" s="13" t="s">
        <v>192</v>
      </c>
      <c r="T1139" s="13" t="s">
        <v>146</v>
      </c>
      <c r="U1139" s="13" t="s">
        <v>110</v>
      </c>
      <c r="V1139" s="47">
        <f>SUMIF(Data!$E:$E,$I1139,Data!$AI:$AI)</f>
        <v>0</v>
      </c>
    </row>
    <row r="1140" spans="1:22" x14ac:dyDescent="0.25">
      <c r="A1140" s="46" t="s">
        <v>7964</v>
      </c>
      <c r="B1140" s="46" t="s">
        <v>120</v>
      </c>
      <c r="C1140" s="46" t="s">
        <v>4765</v>
      </c>
      <c r="D1140" s="46">
        <v>1.09599115241431</v>
      </c>
      <c r="E1140" s="47">
        <f>SUMIF(Data!$E:$E,$C1140,Data!$AI:$AI)</f>
        <v>0</v>
      </c>
      <c r="I1140" s="13" t="s">
        <v>7976</v>
      </c>
      <c r="J1140" s="13" t="s">
        <v>7977</v>
      </c>
      <c r="K1140" s="13" t="s">
        <v>137</v>
      </c>
      <c r="L1140" s="13" t="s">
        <v>5639</v>
      </c>
      <c r="M1140" s="13" t="s">
        <v>7978</v>
      </c>
      <c r="N1140" s="13">
        <v>993.65499999999997</v>
      </c>
      <c r="O1140" s="13" t="s">
        <v>7979</v>
      </c>
      <c r="P1140" s="13" t="s">
        <v>7980</v>
      </c>
      <c r="Q1140" s="13" t="s">
        <v>416</v>
      </c>
      <c r="R1140" s="13" t="s">
        <v>7981</v>
      </c>
      <c r="S1140" s="13" t="s">
        <v>847</v>
      </c>
      <c r="T1140" s="13" t="s">
        <v>848</v>
      </c>
      <c r="U1140" s="13" t="s">
        <v>849</v>
      </c>
      <c r="V1140" s="47">
        <f>SUMIF(Data!$E:$E,$I1140,Data!$AI:$AI)</f>
        <v>0</v>
      </c>
    </row>
    <row r="1141" spans="1:22" x14ac:dyDescent="0.25">
      <c r="A1141" s="46" t="s">
        <v>7964</v>
      </c>
      <c r="B1141" s="46" t="s">
        <v>120</v>
      </c>
      <c r="C1141" s="46" t="s">
        <v>4589</v>
      </c>
      <c r="D1141" s="46">
        <v>11.390123394208899</v>
      </c>
      <c r="E1141" s="47">
        <f>SUMIF(Data!$E:$E,$C1141,Data!$AI:$AI)</f>
        <v>0</v>
      </c>
      <c r="I1141" s="13">
        <v>8601</v>
      </c>
      <c r="J1141" s="13" t="s">
        <v>7982</v>
      </c>
      <c r="K1141" s="13" t="s">
        <v>137</v>
      </c>
      <c r="L1141" s="13" t="s">
        <v>5639</v>
      </c>
      <c r="M1141" s="13" t="s">
        <v>7983</v>
      </c>
      <c r="N1141" s="13">
        <v>725.27499999999998</v>
      </c>
      <c r="O1141" s="13" t="s">
        <v>7984</v>
      </c>
      <c r="P1141" s="13" t="s">
        <v>7985</v>
      </c>
      <c r="Q1141" s="13" t="s">
        <v>190</v>
      </c>
      <c r="R1141" s="13" t="s">
        <v>7986</v>
      </c>
      <c r="S1141" s="13" t="s">
        <v>441</v>
      </c>
      <c r="T1141" s="13" t="s">
        <v>442</v>
      </c>
      <c r="U1141" s="13" t="s">
        <v>443</v>
      </c>
      <c r="V1141" s="47">
        <f>SUMIF(Data!$E:$E,$I1141,Data!$AI:$AI)</f>
        <v>0</v>
      </c>
    </row>
    <row r="1142" spans="1:22" x14ac:dyDescent="0.25">
      <c r="A1142" s="46" t="s">
        <v>7964</v>
      </c>
      <c r="B1142" s="46" t="s">
        <v>120</v>
      </c>
      <c r="C1142" s="46" t="s">
        <v>4779</v>
      </c>
      <c r="D1142" s="46">
        <v>1.1481190314473599</v>
      </c>
      <c r="E1142" s="47">
        <f>SUMIF(Data!$E:$E,$C1142,Data!$AI:$AI)</f>
        <v>0</v>
      </c>
      <c r="I1142" s="13">
        <v>9001</v>
      </c>
      <c r="J1142" s="13" t="s">
        <v>7987</v>
      </c>
      <c r="K1142" s="13" t="s">
        <v>137</v>
      </c>
      <c r="L1142" s="13" t="s">
        <v>5639</v>
      </c>
      <c r="M1142" s="13" t="s">
        <v>7988</v>
      </c>
      <c r="N1142" s="13">
        <v>104.3</v>
      </c>
      <c r="O1142" s="13" t="s">
        <v>7989</v>
      </c>
      <c r="P1142" s="13" t="s">
        <v>7990</v>
      </c>
      <c r="Q1142" s="13" t="s">
        <v>416</v>
      </c>
      <c r="R1142" s="13" t="s">
        <v>7991</v>
      </c>
      <c r="S1142" s="13" t="s">
        <v>441</v>
      </c>
      <c r="T1142" s="13" t="s">
        <v>442</v>
      </c>
      <c r="U1142" s="13" t="s">
        <v>443</v>
      </c>
      <c r="V1142" s="47">
        <f>SUMIF(Data!$E:$E,$I1142,Data!$AI:$AI)</f>
        <v>0</v>
      </c>
    </row>
    <row r="1143" spans="1:22" x14ac:dyDescent="0.25">
      <c r="A1143" s="46" t="s">
        <v>7964</v>
      </c>
      <c r="B1143" s="46" t="s">
        <v>120</v>
      </c>
      <c r="C1143" s="46" t="s">
        <v>4786</v>
      </c>
      <c r="D1143" s="46">
        <v>0.93785397111314195</v>
      </c>
      <c r="E1143" s="47">
        <f>SUMIF(Data!$E:$E,$C1143,Data!$AI:$AI)</f>
        <v>0</v>
      </c>
      <c r="I1143" s="13" t="s">
        <v>7992</v>
      </c>
      <c r="J1143" s="13" t="s">
        <v>7993</v>
      </c>
      <c r="K1143" s="13" t="s">
        <v>137</v>
      </c>
      <c r="L1143" s="13" t="s">
        <v>5639</v>
      </c>
      <c r="M1143" s="13" t="s">
        <v>7994</v>
      </c>
      <c r="N1143" s="13">
        <v>20.193999999999999</v>
      </c>
      <c r="O1143" s="13" t="s">
        <v>7995</v>
      </c>
      <c r="P1143" s="13" t="s">
        <v>7996</v>
      </c>
      <c r="Q1143" s="13" t="s">
        <v>208</v>
      </c>
      <c r="R1143" s="13" t="s">
        <v>7997</v>
      </c>
      <c r="S1143" s="13" t="s">
        <v>226</v>
      </c>
      <c r="T1143" s="13" t="s">
        <v>227</v>
      </c>
      <c r="U1143" s="13" t="s">
        <v>228</v>
      </c>
      <c r="V1143" s="47">
        <f>SUMIF(Data!$E:$E,$I1143,Data!$AI:$AI)</f>
        <v>0</v>
      </c>
    </row>
    <row r="1144" spans="1:22" x14ac:dyDescent="0.25">
      <c r="A1144" s="46" t="s">
        <v>7964</v>
      </c>
      <c r="B1144" s="46" t="s">
        <v>120</v>
      </c>
      <c r="C1144" s="46" t="s">
        <v>3202</v>
      </c>
      <c r="D1144" s="46">
        <v>0.94329131292201995</v>
      </c>
      <c r="E1144" s="47">
        <f>SUMIF(Data!$E:$E,$C1144,Data!$AI:$AI)</f>
        <v>0</v>
      </c>
      <c r="I1144" s="13" t="s">
        <v>7327</v>
      </c>
      <c r="J1144" s="13" t="s">
        <v>7998</v>
      </c>
      <c r="K1144" s="13" t="s">
        <v>137</v>
      </c>
      <c r="L1144" s="13" t="s">
        <v>5639</v>
      </c>
      <c r="M1144" s="13" t="s">
        <v>7999</v>
      </c>
      <c r="N1144" s="13">
        <v>77.825999999999993</v>
      </c>
      <c r="O1144" s="13" t="s">
        <v>8000</v>
      </c>
      <c r="P1144" s="13" t="s">
        <v>8001</v>
      </c>
      <c r="Q1144" s="13" t="s">
        <v>208</v>
      </c>
      <c r="R1144" s="13" t="s">
        <v>8002</v>
      </c>
      <c r="S1144" s="13" t="s">
        <v>523</v>
      </c>
      <c r="T1144" s="13" t="s">
        <v>524</v>
      </c>
      <c r="U1144" s="13" t="s">
        <v>525</v>
      </c>
      <c r="V1144" s="47">
        <f>SUMIF(Data!$E:$E,$I1144,Data!$AI:$AI)</f>
        <v>0</v>
      </c>
    </row>
    <row r="1145" spans="1:22" x14ac:dyDescent="0.25">
      <c r="A1145" s="46" t="s">
        <v>7964</v>
      </c>
      <c r="B1145" s="46" t="s">
        <v>120</v>
      </c>
      <c r="C1145" s="46" t="s">
        <v>4798</v>
      </c>
      <c r="D1145" s="46">
        <v>3.5219550483850299</v>
      </c>
      <c r="E1145" s="47">
        <f>SUMIF(Data!$E:$E,$C1145,Data!$AI:$AI)</f>
        <v>0</v>
      </c>
      <c r="I1145" s="13" t="s">
        <v>8003</v>
      </c>
      <c r="J1145" s="13" t="s">
        <v>8004</v>
      </c>
      <c r="K1145" s="13" t="s">
        <v>137</v>
      </c>
      <c r="L1145" s="13" t="s">
        <v>5639</v>
      </c>
      <c r="M1145" s="13" t="s">
        <v>8005</v>
      </c>
      <c r="N1145" s="13">
        <v>379.90800000000002</v>
      </c>
      <c r="O1145" s="13" t="s">
        <v>8006</v>
      </c>
      <c r="P1145" s="13" t="s">
        <v>8007</v>
      </c>
      <c r="Q1145" s="13" t="s">
        <v>224</v>
      </c>
      <c r="R1145" s="13" t="s">
        <v>8008</v>
      </c>
      <c r="S1145" s="13" t="s">
        <v>7564</v>
      </c>
      <c r="T1145" s="13" t="s">
        <v>7565</v>
      </c>
      <c r="U1145" s="13" t="s">
        <v>7566</v>
      </c>
      <c r="V1145" s="47">
        <f>SUMIF(Data!$E:$E,$I1145,Data!$AI:$AI)</f>
        <v>0</v>
      </c>
    </row>
    <row r="1146" spans="1:22" x14ac:dyDescent="0.25">
      <c r="A1146" s="46" t="s">
        <v>7964</v>
      </c>
      <c r="B1146" s="46" t="s">
        <v>120</v>
      </c>
      <c r="C1146" s="46" t="s">
        <v>3142</v>
      </c>
      <c r="D1146" s="46">
        <v>1.2181079295386299</v>
      </c>
      <c r="E1146" s="47">
        <f>SUMIF(Data!$E:$E,$C1146,Data!$AI:$AI)</f>
        <v>0</v>
      </c>
      <c r="I1146" s="13" t="s">
        <v>8009</v>
      </c>
      <c r="J1146" s="13" t="s">
        <v>8010</v>
      </c>
      <c r="K1146" s="13" t="s">
        <v>137</v>
      </c>
      <c r="L1146" s="13" t="s">
        <v>5639</v>
      </c>
      <c r="M1146" s="13" t="s">
        <v>8011</v>
      </c>
      <c r="N1146" s="13">
        <v>100.875</v>
      </c>
      <c r="O1146" s="13" t="s">
        <v>8012</v>
      </c>
      <c r="P1146" s="13" t="s">
        <v>8013</v>
      </c>
      <c r="Q1146" s="13" t="s">
        <v>416</v>
      </c>
      <c r="R1146" s="13" t="s">
        <v>8014</v>
      </c>
      <c r="S1146" s="13" t="s">
        <v>192</v>
      </c>
      <c r="T1146" s="13" t="s">
        <v>146</v>
      </c>
      <c r="U1146" s="13" t="s">
        <v>110</v>
      </c>
      <c r="V1146" s="47">
        <f>SUMIF(Data!$E:$E,$I1146,Data!$AI:$AI)</f>
        <v>0</v>
      </c>
    </row>
    <row r="1147" spans="1:22" x14ac:dyDescent="0.25">
      <c r="A1147" s="46" t="s">
        <v>7964</v>
      </c>
      <c r="B1147" s="46" t="s">
        <v>120</v>
      </c>
      <c r="C1147" s="46" t="s">
        <v>4811</v>
      </c>
      <c r="D1147" s="46">
        <v>0.49452046250920401</v>
      </c>
      <c r="E1147" s="47">
        <f>SUMIF(Data!$E:$E,$C1147,Data!$AI:$AI)</f>
        <v>0</v>
      </c>
      <c r="I1147" s="13" t="s">
        <v>8015</v>
      </c>
      <c r="J1147" s="13" t="s">
        <v>8016</v>
      </c>
      <c r="K1147" s="13" t="s">
        <v>137</v>
      </c>
      <c r="L1147" s="13" t="s">
        <v>5639</v>
      </c>
      <c r="M1147" s="13" t="s">
        <v>8017</v>
      </c>
      <c r="N1147" s="13">
        <v>272.02800000000002</v>
      </c>
      <c r="O1147" s="13" t="s">
        <v>8018</v>
      </c>
      <c r="P1147" s="13" t="s">
        <v>8019</v>
      </c>
      <c r="Q1147" s="13" t="s">
        <v>734</v>
      </c>
      <c r="R1147" s="13" t="s">
        <v>8020</v>
      </c>
      <c r="S1147" s="13" t="s">
        <v>3139</v>
      </c>
      <c r="T1147" s="13" t="s">
        <v>3140</v>
      </c>
      <c r="U1147" s="13" t="s">
        <v>525</v>
      </c>
      <c r="V1147" s="47">
        <f>SUMIF(Data!$E:$E,$I1147,Data!$AI:$AI)</f>
        <v>0</v>
      </c>
    </row>
    <row r="1148" spans="1:22" x14ac:dyDescent="0.25">
      <c r="A1148" s="46" t="s">
        <v>7964</v>
      </c>
      <c r="B1148" s="46" t="s">
        <v>120</v>
      </c>
      <c r="C1148" s="46" t="s">
        <v>4818</v>
      </c>
      <c r="D1148" s="46">
        <v>1.0785433608935799</v>
      </c>
      <c r="E1148" s="47">
        <f>SUMIF(Data!$E:$E,$C1148,Data!$AI:$AI)</f>
        <v>0</v>
      </c>
      <c r="I1148" s="13" t="s">
        <v>8021</v>
      </c>
      <c r="J1148" s="13" t="s">
        <v>8022</v>
      </c>
      <c r="K1148" s="13" t="s">
        <v>137</v>
      </c>
      <c r="L1148" s="13" t="s">
        <v>5639</v>
      </c>
      <c r="M1148" s="13" t="s">
        <v>471</v>
      </c>
      <c r="N1148" s="13">
        <v>488.27199999999999</v>
      </c>
      <c r="O1148" s="13" t="s">
        <v>8023</v>
      </c>
      <c r="P1148" s="13" t="s">
        <v>8024</v>
      </c>
      <c r="Q1148" s="13" t="s">
        <v>806</v>
      </c>
      <c r="R1148" s="13" t="s">
        <v>8025</v>
      </c>
      <c r="S1148" s="13" t="s">
        <v>476</v>
      </c>
      <c r="T1148" s="13" t="s">
        <v>477</v>
      </c>
      <c r="U1148" s="13" t="s">
        <v>478</v>
      </c>
      <c r="V1148" s="47">
        <f>SUMIF(Data!$E:$E,$I1148,Data!$AI:$AI)</f>
        <v>0</v>
      </c>
    </row>
    <row r="1149" spans="1:22" x14ac:dyDescent="0.25">
      <c r="A1149" s="46" t="s">
        <v>7964</v>
      </c>
      <c r="B1149" s="46" t="s">
        <v>120</v>
      </c>
      <c r="C1149" s="46" t="s">
        <v>4637</v>
      </c>
      <c r="D1149" s="46">
        <v>0.27548311575893802</v>
      </c>
      <c r="E1149" s="47">
        <f>SUMIF(Data!$E:$E,$C1149,Data!$AI:$AI)</f>
        <v>0</v>
      </c>
      <c r="I1149" s="13">
        <v>4684</v>
      </c>
      <c r="J1149" s="13" t="s">
        <v>8026</v>
      </c>
      <c r="K1149" s="13" t="s">
        <v>137</v>
      </c>
      <c r="L1149" s="13" t="s">
        <v>5639</v>
      </c>
      <c r="M1149" s="13" t="s">
        <v>8027</v>
      </c>
      <c r="N1149" s="13">
        <v>26.024000000000001</v>
      </c>
      <c r="O1149" s="13" t="s">
        <v>8028</v>
      </c>
      <c r="P1149" s="13" t="s">
        <v>8029</v>
      </c>
      <c r="Q1149" s="13" t="s">
        <v>143</v>
      </c>
      <c r="R1149" s="13" t="s">
        <v>8030</v>
      </c>
      <c r="S1149" s="13" t="s">
        <v>441</v>
      </c>
      <c r="T1149" s="13" t="s">
        <v>442</v>
      </c>
      <c r="U1149" s="13" t="s">
        <v>443</v>
      </c>
      <c r="V1149" s="47">
        <f>SUMIF(Data!$E:$E,$I1149,Data!$AI:$AI)</f>
        <v>0</v>
      </c>
    </row>
    <row r="1150" spans="1:22" x14ac:dyDescent="0.25">
      <c r="A1150" s="46" t="s">
        <v>7964</v>
      </c>
      <c r="B1150" s="46" t="s">
        <v>120</v>
      </c>
      <c r="C1150" s="46" t="s">
        <v>4618</v>
      </c>
      <c r="D1150" s="46">
        <v>0.73420386660179005</v>
      </c>
      <c r="E1150" s="47">
        <f>SUMIF(Data!$E:$E,$C1150,Data!$AI:$AI)</f>
        <v>0</v>
      </c>
      <c r="I1150" s="13" t="s">
        <v>1343</v>
      </c>
      <c r="J1150" s="13" t="s">
        <v>8031</v>
      </c>
      <c r="K1150" s="13" t="s">
        <v>137</v>
      </c>
      <c r="L1150" s="13" t="s">
        <v>5639</v>
      </c>
      <c r="M1150" s="13" t="s">
        <v>8032</v>
      </c>
      <c r="N1150" s="13">
        <v>27.298999999999999</v>
      </c>
      <c r="O1150" s="13" t="s">
        <v>8033</v>
      </c>
      <c r="P1150" s="13" t="s">
        <v>8034</v>
      </c>
      <c r="Q1150" s="13" t="s">
        <v>416</v>
      </c>
      <c r="R1150" s="13" t="s">
        <v>8035</v>
      </c>
      <c r="S1150" s="13" t="s">
        <v>192</v>
      </c>
      <c r="T1150" s="13" t="s">
        <v>146</v>
      </c>
      <c r="U1150" s="13" t="s">
        <v>110</v>
      </c>
      <c r="V1150" s="47">
        <f>SUMIF(Data!$E:$E,$I1150,Data!$AI:$AI)</f>
        <v>0</v>
      </c>
    </row>
    <row r="1151" spans="1:22" x14ac:dyDescent="0.25">
      <c r="A1151" s="46" t="s">
        <v>7964</v>
      </c>
      <c r="B1151" s="46" t="s">
        <v>120</v>
      </c>
      <c r="C1151" s="46" t="s">
        <v>4625</v>
      </c>
      <c r="D1151" s="46">
        <v>2.2698945703847899</v>
      </c>
      <c r="E1151" s="47">
        <f>SUMIF(Data!$E:$E,$C1151,Data!$AI:$AI)</f>
        <v>0</v>
      </c>
      <c r="I1151" s="13">
        <v>4755</v>
      </c>
      <c r="J1151" s="13" t="s">
        <v>8036</v>
      </c>
      <c r="K1151" s="13" t="s">
        <v>137</v>
      </c>
      <c r="L1151" s="13" t="s">
        <v>5639</v>
      </c>
      <c r="M1151" s="13" t="s">
        <v>8037</v>
      </c>
      <c r="N1151" s="13">
        <v>439.512</v>
      </c>
      <c r="O1151" s="13" t="s">
        <v>8038</v>
      </c>
      <c r="P1151" s="13" t="s">
        <v>8039</v>
      </c>
      <c r="Q1151" s="13" t="s">
        <v>162</v>
      </c>
      <c r="R1151" s="13" t="s">
        <v>8040</v>
      </c>
      <c r="S1151" s="13" t="s">
        <v>441</v>
      </c>
      <c r="T1151" s="13" t="s">
        <v>442</v>
      </c>
      <c r="U1151" s="13" t="s">
        <v>443</v>
      </c>
      <c r="V1151" s="47">
        <f>SUMIF(Data!$E:$E,$I1151,Data!$AI:$AI)</f>
        <v>0</v>
      </c>
    </row>
    <row r="1152" spans="1:22" x14ac:dyDescent="0.25">
      <c r="A1152" s="46" t="s">
        <v>7964</v>
      </c>
      <c r="B1152" s="46" t="s">
        <v>120</v>
      </c>
      <c r="C1152" s="46" t="s">
        <v>4838</v>
      </c>
      <c r="D1152" s="46">
        <v>2.7296330487808298</v>
      </c>
      <c r="E1152" s="47">
        <f>SUMIF(Data!$E:$E,$C1152,Data!$AI:$AI)</f>
        <v>0</v>
      </c>
      <c r="I1152" s="13" t="s">
        <v>8041</v>
      </c>
      <c r="J1152" s="13" t="s">
        <v>8042</v>
      </c>
      <c r="K1152" s="13" t="s">
        <v>137</v>
      </c>
      <c r="L1152" s="13" t="s">
        <v>5639</v>
      </c>
      <c r="M1152" s="13" t="s">
        <v>8043</v>
      </c>
      <c r="N1152" s="13">
        <v>170.11600000000001</v>
      </c>
      <c r="O1152" s="13" t="s">
        <v>8044</v>
      </c>
      <c r="P1152" s="13" t="s">
        <v>8045</v>
      </c>
      <c r="Q1152" s="13" t="s">
        <v>190</v>
      </c>
      <c r="R1152" s="13" t="s">
        <v>8046</v>
      </c>
      <c r="S1152" s="13" t="s">
        <v>192</v>
      </c>
      <c r="T1152" s="13" t="s">
        <v>146</v>
      </c>
      <c r="U1152" s="13" t="s">
        <v>110</v>
      </c>
      <c r="V1152" s="47">
        <f>SUMIF(Data!$E:$E,$I1152,Data!$AI:$AI)</f>
        <v>0</v>
      </c>
    </row>
    <row r="1153" spans="1:22" x14ac:dyDescent="0.25">
      <c r="A1153" s="46" t="s">
        <v>7964</v>
      </c>
      <c r="B1153" s="46" t="s">
        <v>120</v>
      </c>
      <c r="C1153" s="46" t="s">
        <v>4845</v>
      </c>
      <c r="D1153" s="46">
        <v>1.57751575283649</v>
      </c>
      <c r="E1153" s="47">
        <f>SUMIF(Data!$E:$E,$C1153,Data!$AI:$AI)</f>
        <v>0</v>
      </c>
      <c r="I1153" s="13" t="s">
        <v>8047</v>
      </c>
      <c r="J1153" s="13" t="s">
        <v>8048</v>
      </c>
      <c r="K1153" s="13" t="s">
        <v>137</v>
      </c>
      <c r="L1153" s="13" t="s">
        <v>5639</v>
      </c>
      <c r="M1153" s="13" t="s">
        <v>8049</v>
      </c>
      <c r="N1153" s="13">
        <v>494.798</v>
      </c>
      <c r="O1153" s="13" t="s">
        <v>8050</v>
      </c>
      <c r="P1153" s="13" t="s">
        <v>8051</v>
      </c>
      <c r="Q1153" s="13" t="s">
        <v>190</v>
      </c>
      <c r="R1153" s="13" t="s">
        <v>8052</v>
      </c>
      <c r="S1153" s="13" t="s">
        <v>476</v>
      </c>
      <c r="T1153" s="13" t="s">
        <v>477</v>
      </c>
      <c r="U1153" s="13" t="s">
        <v>478</v>
      </c>
      <c r="V1153" s="47">
        <f>SUMIF(Data!$E:$E,$I1153,Data!$AI:$AI)</f>
        <v>0</v>
      </c>
    </row>
    <row r="1154" spans="1:22" x14ac:dyDescent="0.25">
      <c r="A1154" s="46" t="s">
        <v>7964</v>
      </c>
      <c r="B1154" s="46" t="s">
        <v>120</v>
      </c>
      <c r="C1154" s="46" t="s">
        <v>4852</v>
      </c>
      <c r="D1154" s="46">
        <v>21.349564600042601</v>
      </c>
      <c r="E1154" s="47">
        <f>SUMIF(Data!$E:$E,$C1154,Data!$AI:$AI)</f>
        <v>0</v>
      </c>
      <c r="I1154" s="13" t="s">
        <v>8053</v>
      </c>
      <c r="J1154" s="13" t="s">
        <v>8054</v>
      </c>
      <c r="K1154" s="13" t="s">
        <v>137</v>
      </c>
      <c r="L1154" s="13" t="s">
        <v>5639</v>
      </c>
      <c r="M1154" s="13" t="s">
        <v>4107</v>
      </c>
      <c r="N1154" s="13" t="s">
        <v>8055</v>
      </c>
      <c r="O1154" s="13" t="s">
        <v>8056</v>
      </c>
      <c r="P1154" s="13" t="s">
        <v>8057</v>
      </c>
      <c r="Q1154" s="13" t="s">
        <v>162</v>
      </c>
      <c r="R1154" s="13" t="s">
        <v>8058</v>
      </c>
      <c r="S1154" s="13" t="s">
        <v>476</v>
      </c>
      <c r="T1154" s="13" t="s">
        <v>477</v>
      </c>
      <c r="U1154" s="13" t="s">
        <v>478</v>
      </c>
      <c r="V1154" s="47">
        <f>SUMIF(Data!$E:$E,$I1154,Data!$AI:$AI)</f>
        <v>0</v>
      </c>
    </row>
    <row r="1155" spans="1:22" x14ac:dyDescent="0.25">
      <c r="A1155" s="46" t="s">
        <v>7964</v>
      </c>
      <c r="B1155" s="46" t="s">
        <v>120</v>
      </c>
      <c r="C1155" s="46" t="s">
        <v>6756</v>
      </c>
      <c r="D1155" s="46">
        <v>0.62757398238375195</v>
      </c>
      <c r="E1155" s="47">
        <f>SUMIF(Data!$E:$E,$C1155,Data!$AI:$AI)</f>
        <v>0</v>
      </c>
      <c r="I1155" s="13" t="s">
        <v>8059</v>
      </c>
      <c r="J1155" s="13" t="s">
        <v>8060</v>
      </c>
      <c r="K1155" s="13" t="s">
        <v>137</v>
      </c>
      <c r="L1155" s="13" t="s">
        <v>5639</v>
      </c>
      <c r="M1155" s="13" t="s">
        <v>8061</v>
      </c>
      <c r="N1155" s="13">
        <v>244.905</v>
      </c>
      <c r="O1155" s="13" t="s">
        <v>8062</v>
      </c>
      <c r="P1155" s="13" t="s">
        <v>8063</v>
      </c>
      <c r="Q1155" s="13" t="s">
        <v>172</v>
      </c>
      <c r="R1155" s="13" t="s">
        <v>8064</v>
      </c>
      <c r="S1155" s="13" t="s">
        <v>2928</v>
      </c>
      <c r="T1155" s="13" t="s">
        <v>2929</v>
      </c>
      <c r="U1155" s="13" t="s">
        <v>2930</v>
      </c>
      <c r="V1155" s="47">
        <f>SUMIF(Data!$E:$E,$I1155,Data!$AI:$AI)</f>
        <v>0</v>
      </c>
    </row>
    <row r="1156" spans="1:22" x14ac:dyDescent="0.25">
      <c r="A1156" s="46" t="s">
        <v>7964</v>
      </c>
      <c r="B1156" s="46" t="s">
        <v>120</v>
      </c>
      <c r="C1156" s="46" t="s">
        <v>3157</v>
      </c>
      <c r="D1156" s="46">
        <v>0.917688292202124</v>
      </c>
      <c r="E1156" s="47">
        <f>SUMIF(Data!$E:$E,$C1156,Data!$AI:$AI)</f>
        <v>0</v>
      </c>
      <c r="I1156" s="13">
        <v>3462</v>
      </c>
      <c r="J1156" s="13" t="s">
        <v>8065</v>
      </c>
      <c r="K1156" s="13" t="s">
        <v>137</v>
      </c>
      <c r="L1156" s="13" t="s">
        <v>8066</v>
      </c>
      <c r="M1156" s="13" t="s">
        <v>8067</v>
      </c>
      <c r="N1156" s="13">
        <v>2.1739999999999999</v>
      </c>
      <c r="O1156" s="13" t="s">
        <v>8068</v>
      </c>
      <c r="P1156" s="13" t="s">
        <v>8069</v>
      </c>
      <c r="Q1156" s="13" t="s">
        <v>806</v>
      </c>
      <c r="R1156" s="13" t="s">
        <v>8070</v>
      </c>
      <c r="S1156" s="13" t="s">
        <v>441</v>
      </c>
      <c r="T1156" s="13" t="s">
        <v>442</v>
      </c>
      <c r="U1156" s="13" t="s">
        <v>443</v>
      </c>
      <c r="V1156" s="47">
        <f>SUMIF(Data!$E:$E,$I1156,Data!$AI:$AI)</f>
        <v>0</v>
      </c>
    </row>
    <row r="1157" spans="1:22" x14ac:dyDescent="0.25">
      <c r="A1157" s="46" t="s">
        <v>7964</v>
      </c>
      <c r="B1157" s="46" t="s">
        <v>120</v>
      </c>
      <c r="C1157" s="46" t="s">
        <v>4870</v>
      </c>
      <c r="D1157" s="46">
        <v>1.7617803535119301</v>
      </c>
      <c r="E1157" s="47">
        <f>SUMIF(Data!$E:$E,$C1157,Data!$AI:$AI)</f>
        <v>0</v>
      </c>
      <c r="I1157" s="13" t="s">
        <v>8071</v>
      </c>
      <c r="J1157" s="13" t="s">
        <v>8072</v>
      </c>
      <c r="K1157" s="13" t="s">
        <v>137</v>
      </c>
      <c r="L1157" s="13" t="s">
        <v>8066</v>
      </c>
      <c r="M1157" s="13" t="s">
        <v>8073</v>
      </c>
      <c r="N1157" s="13">
        <v>140.24199999999999</v>
      </c>
      <c r="O1157" s="13" t="s">
        <v>8074</v>
      </c>
      <c r="P1157" s="13" t="s">
        <v>8075</v>
      </c>
      <c r="Q1157" s="13" t="s">
        <v>190</v>
      </c>
      <c r="R1157" s="13" t="s">
        <v>8076</v>
      </c>
      <c r="S1157" s="13" t="s">
        <v>725</v>
      </c>
      <c r="T1157" s="13" t="s">
        <v>726</v>
      </c>
      <c r="U1157" s="13" t="s">
        <v>727</v>
      </c>
      <c r="V1157" s="47">
        <f>SUMIF(Data!$E:$E,$I1157,Data!$AI:$AI)</f>
        <v>0</v>
      </c>
    </row>
    <row r="1158" spans="1:22" x14ac:dyDescent="0.25">
      <c r="A1158" s="46" t="s">
        <v>7964</v>
      </c>
      <c r="B1158" s="46" t="s">
        <v>120</v>
      </c>
      <c r="C1158" s="46" t="s">
        <v>4877</v>
      </c>
      <c r="D1158" s="46">
        <v>0.83052555376328996</v>
      </c>
      <c r="E1158" s="47">
        <f>SUMIF(Data!$E:$E,$C1158,Data!$AI:$AI)</f>
        <v>0</v>
      </c>
      <c r="I1158" s="13" t="s">
        <v>8077</v>
      </c>
      <c r="J1158" s="13" t="s">
        <v>6434</v>
      </c>
      <c r="K1158" s="13" t="s">
        <v>137</v>
      </c>
      <c r="L1158" s="13" t="s">
        <v>8066</v>
      </c>
      <c r="M1158" s="13" t="s">
        <v>8078</v>
      </c>
      <c r="N1158" s="13">
        <v>453</v>
      </c>
      <c r="O1158" s="13" t="s">
        <v>8079</v>
      </c>
      <c r="P1158" s="13" t="s">
        <v>8080</v>
      </c>
      <c r="Q1158" s="13" t="s">
        <v>224</v>
      </c>
      <c r="R1158" s="13" t="s">
        <v>8081</v>
      </c>
      <c r="S1158" s="13" t="s">
        <v>6414</v>
      </c>
      <c r="T1158" s="13" t="s">
        <v>227</v>
      </c>
      <c r="U1158" s="13" t="s">
        <v>228</v>
      </c>
      <c r="V1158" s="47">
        <f>SUMIF(Data!$E:$E,$I1158,Data!$AI:$AI)</f>
        <v>0</v>
      </c>
    </row>
    <row r="1159" spans="1:22" x14ac:dyDescent="0.25">
      <c r="A1159" s="46" t="s">
        <v>7964</v>
      </c>
      <c r="B1159" s="46" t="s">
        <v>120</v>
      </c>
      <c r="C1159" s="46" t="s">
        <v>517</v>
      </c>
      <c r="D1159" s="46">
        <v>0.82071246281851995</v>
      </c>
      <c r="E1159" s="47">
        <f>SUMIF(Data!$E:$E,$C1159,Data!$AI:$AI)</f>
        <v>0</v>
      </c>
      <c r="I1159" s="13" t="s">
        <v>8082</v>
      </c>
      <c r="J1159" s="13" t="s">
        <v>8083</v>
      </c>
      <c r="K1159" s="13" t="s">
        <v>137</v>
      </c>
      <c r="L1159" s="13" t="s">
        <v>8066</v>
      </c>
      <c r="M1159" s="13" t="s">
        <v>8084</v>
      </c>
      <c r="N1159" s="13">
        <v>32.386000000000003</v>
      </c>
      <c r="O1159" s="13" t="s">
        <v>8085</v>
      </c>
      <c r="P1159" s="13" t="s">
        <v>8086</v>
      </c>
      <c r="Q1159" s="13" t="s">
        <v>143</v>
      </c>
      <c r="R1159" s="13" t="s">
        <v>8087</v>
      </c>
      <c r="S1159" s="13" t="s">
        <v>192</v>
      </c>
      <c r="T1159" s="13" t="s">
        <v>146</v>
      </c>
      <c r="U1159" s="13" t="s">
        <v>110</v>
      </c>
      <c r="V1159" s="47">
        <f>SUMIF(Data!$E:$E,$I1159,Data!$AI:$AI)</f>
        <v>0</v>
      </c>
    </row>
    <row r="1160" spans="1:22" x14ac:dyDescent="0.25">
      <c r="A1160" s="46" t="s">
        <v>7964</v>
      </c>
      <c r="B1160" s="46" t="s">
        <v>120</v>
      </c>
      <c r="C1160" s="46" t="s">
        <v>4890</v>
      </c>
      <c r="D1160" s="46">
        <v>3.73873990386309</v>
      </c>
      <c r="E1160" s="47">
        <f>SUMIF(Data!$E:$E,$C1160,Data!$AI:$AI)</f>
        <v>0</v>
      </c>
      <c r="I1160" s="13" t="s">
        <v>8088</v>
      </c>
      <c r="J1160" s="13" t="s">
        <v>8089</v>
      </c>
      <c r="K1160" s="13" t="s">
        <v>137</v>
      </c>
      <c r="L1160" s="13" t="s">
        <v>8066</v>
      </c>
      <c r="M1160" s="13" t="s">
        <v>8090</v>
      </c>
      <c r="N1160" s="13">
        <v>663.82600000000002</v>
      </c>
      <c r="O1160" s="13" t="s">
        <v>8091</v>
      </c>
      <c r="P1160" s="13" t="s">
        <v>8092</v>
      </c>
      <c r="Q1160" s="13" t="s">
        <v>260</v>
      </c>
      <c r="R1160" s="13" t="s">
        <v>8093</v>
      </c>
      <c r="S1160" s="13" t="s">
        <v>847</v>
      </c>
      <c r="T1160" s="13" t="s">
        <v>848</v>
      </c>
      <c r="U1160" s="13" t="s">
        <v>849</v>
      </c>
      <c r="V1160" s="47">
        <f>SUMIF(Data!$E:$E,$I1160,Data!$AI:$AI)</f>
        <v>0</v>
      </c>
    </row>
    <row r="1161" spans="1:22" x14ac:dyDescent="0.25">
      <c r="A1161" s="46" t="s">
        <v>7964</v>
      </c>
      <c r="B1161" s="46" t="s">
        <v>120</v>
      </c>
      <c r="C1161" s="46" t="s">
        <v>4897</v>
      </c>
      <c r="D1161" s="46">
        <v>1.5039692592115099</v>
      </c>
      <c r="E1161" s="47">
        <f>SUMIF(Data!$E:$E,$C1161,Data!$AI:$AI)</f>
        <v>0</v>
      </c>
      <c r="I1161" s="13" t="s">
        <v>8094</v>
      </c>
      <c r="J1161" s="13" t="s">
        <v>8095</v>
      </c>
      <c r="K1161" s="13" t="s">
        <v>137</v>
      </c>
      <c r="L1161" s="13" t="s">
        <v>8066</v>
      </c>
      <c r="M1161" s="13" t="s">
        <v>8096</v>
      </c>
      <c r="N1161" s="13">
        <v>48.622</v>
      </c>
      <c r="O1161" s="13" t="s">
        <v>8097</v>
      </c>
      <c r="P1161" s="13" t="s">
        <v>8098</v>
      </c>
      <c r="Q1161" s="13" t="s">
        <v>143</v>
      </c>
      <c r="R1161" s="13" t="s">
        <v>8099</v>
      </c>
      <c r="S1161" s="13" t="s">
        <v>145</v>
      </c>
      <c r="T1161" s="13" t="s">
        <v>146</v>
      </c>
      <c r="U1161" s="13" t="s">
        <v>110</v>
      </c>
      <c r="V1161" s="47">
        <f>SUMIF(Data!$E:$E,$I1161,Data!$AI:$AI)</f>
        <v>0</v>
      </c>
    </row>
    <row r="1162" spans="1:22" x14ac:dyDescent="0.25">
      <c r="A1162" s="46" t="s">
        <v>7964</v>
      </c>
      <c r="B1162" s="46" t="s">
        <v>120</v>
      </c>
      <c r="C1162" s="46" t="s">
        <v>4904</v>
      </c>
      <c r="D1162" s="46">
        <v>2.2229019143813602</v>
      </c>
      <c r="E1162" s="47">
        <f>SUMIF(Data!$E:$E,$C1162,Data!$AI:$AI)</f>
        <v>0</v>
      </c>
      <c r="I1162" s="13" t="s">
        <v>8100</v>
      </c>
      <c r="J1162" s="13" t="s">
        <v>8101</v>
      </c>
      <c r="K1162" s="13" t="s">
        <v>137</v>
      </c>
      <c r="L1162" s="13" t="s">
        <v>8066</v>
      </c>
      <c r="M1162" s="13" t="s">
        <v>4257</v>
      </c>
      <c r="N1162" s="13">
        <v>76.903000000000006</v>
      </c>
      <c r="O1162" s="13" t="s">
        <v>8102</v>
      </c>
      <c r="P1162" s="13" t="s">
        <v>8103</v>
      </c>
      <c r="Q1162" s="13" t="s">
        <v>190</v>
      </c>
      <c r="R1162" s="13" t="s">
        <v>8104</v>
      </c>
      <c r="S1162" s="13" t="s">
        <v>145</v>
      </c>
      <c r="T1162" s="13" t="s">
        <v>146</v>
      </c>
      <c r="U1162" s="13" t="s">
        <v>110</v>
      </c>
      <c r="V1162" s="47">
        <f>SUMIF(Data!$E:$E,$I1162,Data!$AI:$AI)</f>
        <v>0</v>
      </c>
    </row>
    <row r="1163" spans="1:22" x14ac:dyDescent="0.25">
      <c r="A1163" s="46" t="s">
        <v>7964</v>
      </c>
      <c r="B1163" s="46" t="s">
        <v>120</v>
      </c>
      <c r="C1163" s="46" t="s">
        <v>4481</v>
      </c>
      <c r="D1163" s="46">
        <v>5.0200410565804701</v>
      </c>
      <c r="E1163" s="47">
        <f>SUMIF(Data!$E:$E,$C1163,Data!$AI:$AI)</f>
        <v>0</v>
      </c>
      <c r="I1163" s="13">
        <v>4185</v>
      </c>
      <c r="J1163" s="13" t="s">
        <v>8105</v>
      </c>
      <c r="K1163" s="13" t="s">
        <v>137</v>
      </c>
      <c r="L1163" s="13" t="s">
        <v>8066</v>
      </c>
      <c r="M1163" s="13" t="s">
        <v>8106</v>
      </c>
      <c r="N1163" s="13">
        <v>196.5</v>
      </c>
      <c r="O1163" s="13" t="s">
        <v>8107</v>
      </c>
      <c r="P1163" s="13" t="s">
        <v>8108</v>
      </c>
      <c r="Q1163" s="13" t="s">
        <v>734</v>
      </c>
      <c r="R1163" s="13" t="s">
        <v>8109</v>
      </c>
      <c r="S1163" s="13" t="s">
        <v>441</v>
      </c>
      <c r="T1163" s="13" t="s">
        <v>442</v>
      </c>
      <c r="U1163" s="13" t="s">
        <v>443</v>
      </c>
      <c r="V1163" s="47">
        <f>SUMIF(Data!$E:$E,$I1163,Data!$AI:$AI)</f>
        <v>0</v>
      </c>
    </row>
    <row r="1164" spans="1:22" x14ac:dyDescent="0.25">
      <c r="A1164" s="46" t="s">
        <v>7964</v>
      </c>
      <c r="B1164" s="46" t="s">
        <v>120</v>
      </c>
      <c r="C1164" s="46" t="s">
        <v>4923</v>
      </c>
      <c r="D1164" s="46">
        <v>0.73980768707104705</v>
      </c>
      <c r="E1164" s="47">
        <f>SUMIF(Data!$E:$E,$C1164,Data!$AI:$AI)</f>
        <v>0</v>
      </c>
      <c r="I1164" s="13" t="s">
        <v>8110</v>
      </c>
      <c r="J1164" s="13" t="s">
        <v>8111</v>
      </c>
      <c r="K1164" s="13" t="s">
        <v>137</v>
      </c>
      <c r="L1164" s="13" t="s">
        <v>8066</v>
      </c>
      <c r="M1164" s="13" t="s">
        <v>8112</v>
      </c>
      <c r="N1164" s="13">
        <v>145.29</v>
      </c>
      <c r="O1164" s="13" t="s">
        <v>8113</v>
      </c>
      <c r="P1164" s="13" t="s">
        <v>8114</v>
      </c>
      <c r="Q1164" s="13" t="s">
        <v>416</v>
      </c>
      <c r="R1164" s="13" t="s">
        <v>8115</v>
      </c>
      <c r="S1164" s="13" t="s">
        <v>2928</v>
      </c>
      <c r="T1164" s="13" t="s">
        <v>2929</v>
      </c>
      <c r="U1164" s="13" t="s">
        <v>2930</v>
      </c>
      <c r="V1164" s="47">
        <f>SUMIF(Data!$E:$E,$I1164,Data!$AI:$AI)</f>
        <v>0</v>
      </c>
    </row>
    <row r="1165" spans="1:22" x14ac:dyDescent="0.25">
      <c r="A1165" s="46" t="s">
        <v>7964</v>
      </c>
      <c r="B1165" s="46" t="s">
        <v>120</v>
      </c>
      <c r="C1165" s="46" t="s">
        <v>4935</v>
      </c>
      <c r="D1165" s="46">
        <v>0.843293679053568</v>
      </c>
      <c r="E1165" s="47">
        <f>SUMIF(Data!$E:$E,$C1165,Data!$AI:$AI)</f>
        <v>0</v>
      </c>
      <c r="I1165" s="13" t="s">
        <v>8116</v>
      </c>
      <c r="J1165" s="13" t="s">
        <v>8117</v>
      </c>
      <c r="K1165" s="13" t="s">
        <v>137</v>
      </c>
      <c r="L1165" s="13" t="s">
        <v>8066</v>
      </c>
      <c r="M1165" s="13" t="s">
        <v>8118</v>
      </c>
      <c r="N1165" s="13">
        <v>36.210999999999999</v>
      </c>
      <c r="O1165" s="13" t="s">
        <v>8119</v>
      </c>
      <c r="P1165" s="13" t="s">
        <v>8120</v>
      </c>
      <c r="Q1165" s="13" t="s">
        <v>734</v>
      </c>
      <c r="R1165" s="13" t="s">
        <v>8121</v>
      </c>
      <c r="S1165" s="13" t="s">
        <v>560</v>
      </c>
      <c r="T1165" s="13" t="s">
        <v>561</v>
      </c>
      <c r="U1165" s="13" t="s">
        <v>525</v>
      </c>
      <c r="V1165" s="47">
        <f>SUMIF(Data!$E:$E,$I1165,Data!$AI:$AI)</f>
        <v>0</v>
      </c>
    </row>
    <row r="1166" spans="1:22" x14ac:dyDescent="0.25">
      <c r="A1166" s="46" t="s">
        <v>7964</v>
      </c>
      <c r="B1166" s="46" t="s">
        <v>120</v>
      </c>
      <c r="C1166" s="46" t="s">
        <v>1939</v>
      </c>
      <c r="D1166" s="46">
        <v>9.6756897146175493</v>
      </c>
      <c r="E1166" s="47">
        <f>SUMIF(Data!$E:$E,$C1166,Data!$AI:$AI)</f>
        <v>0</v>
      </c>
      <c r="I1166" s="13" t="s">
        <v>8122</v>
      </c>
      <c r="J1166" s="13" t="s">
        <v>8123</v>
      </c>
      <c r="K1166" s="13" t="s">
        <v>137</v>
      </c>
      <c r="L1166" s="13" t="s">
        <v>8066</v>
      </c>
      <c r="M1166" s="13" t="s">
        <v>8124</v>
      </c>
      <c r="N1166" s="13">
        <v>47.198999999999998</v>
      </c>
      <c r="O1166" s="13" t="s">
        <v>8125</v>
      </c>
      <c r="P1166" s="13" t="s">
        <v>8126</v>
      </c>
      <c r="Q1166" s="13" t="s">
        <v>734</v>
      </c>
      <c r="R1166" s="13" t="s">
        <v>8127</v>
      </c>
      <c r="S1166" s="13" t="s">
        <v>768</v>
      </c>
      <c r="T1166" s="13" t="s">
        <v>769</v>
      </c>
      <c r="U1166" s="13" t="s">
        <v>770</v>
      </c>
      <c r="V1166" s="47">
        <f>SUMIF(Data!$E:$E,$I1166,Data!$AI:$AI)</f>
        <v>0</v>
      </c>
    </row>
    <row r="1167" spans="1:22" x14ac:dyDescent="0.25">
      <c r="A1167" s="46" t="s">
        <v>7964</v>
      </c>
      <c r="B1167" s="46" t="s">
        <v>120</v>
      </c>
      <c r="C1167" s="46" t="s">
        <v>4948</v>
      </c>
      <c r="D1167" s="46">
        <v>2.8813542652778601</v>
      </c>
      <c r="E1167" s="47">
        <f>SUMIF(Data!$E:$E,$C1167,Data!$AI:$AI)</f>
        <v>0</v>
      </c>
      <c r="I1167" s="13" t="s">
        <v>8128</v>
      </c>
      <c r="J1167" s="13" t="s">
        <v>8129</v>
      </c>
      <c r="K1167" s="13" t="s">
        <v>137</v>
      </c>
      <c r="L1167" s="13" t="s">
        <v>8066</v>
      </c>
      <c r="M1167" s="13" t="s">
        <v>8130</v>
      </c>
      <c r="N1167" s="13">
        <v>367.565</v>
      </c>
      <c r="O1167" s="13" t="s">
        <v>8131</v>
      </c>
      <c r="P1167" s="13" t="s">
        <v>8132</v>
      </c>
      <c r="Q1167" s="13" t="s">
        <v>224</v>
      </c>
      <c r="R1167" s="13" t="s">
        <v>8133</v>
      </c>
      <c r="S1167" s="13" t="s">
        <v>3711</v>
      </c>
      <c r="T1167" s="13" t="s">
        <v>3712</v>
      </c>
      <c r="U1167" s="13" t="s">
        <v>3713</v>
      </c>
      <c r="V1167" s="47">
        <f>SUMIF(Data!$E:$E,$I1167,Data!$AI:$AI)</f>
        <v>0</v>
      </c>
    </row>
    <row r="1168" spans="1:22" x14ac:dyDescent="0.25">
      <c r="A1168" s="46" t="s">
        <v>7964</v>
      </c>
      <c r="B1168" s="46" t="s">
        <v>120</v>
      </c>
      <c r="C1168" s="46" t="s">
        <v>1466</v>
      </c>
      <c r="D1168" s="46">
        <v>1.29145723000421</v>
      </c>
      <c r="E1168" s="47">
        <f>SUMIF(Data!$E:$E,$C1168,Data!$AI:$AI)</f>
        <v>0</v>
      </c>
      <c r="I1168" s="13">
        <v>9532</v>
      </c>
      <c r="J1168" s="13" t="s">
        <v>8134</v>
      </c>
      <c r="K1168" s="13" t="s">
        <v>137</v>
      </c>
      <c r="L1168" s="13" t="s">
        <v>8066</v>
      </c>
      <c r="M1168" s="13" t="s">
        <v>8135</v>
      </c>
      <c r="N1168" s="13">
        <v>197.31100000000001</v>
      </c>
      <c r="O1168" s="13" t="s">
        <v>8136</v>
      </c>
      <c r="P1168" s="13" t="s">
        <v>8137</v>
      </c>
      <c r="Q1168" s="13" t="s">
        <v>694</v>
      </c>
      <c r="R1168" s="13" t="s">
        <v>8138</v>
      </c>
      <c r="S1168" s="13" t="s">
        <v>441</v>
      </c>
      <c r="T1168" s="13" t="s">
        <v>442</v>
      </c>
      <c r="U1168" s="13" t="s">
        <v>443</v>
      </c>
      <c r="V1168" s="47">
        <f>SUMIF(Data!$E:$E,$I1168,Data!$AI:$AI)</f>
        <v>0</v>
      </c>
    </row>
    <row r="1169" spans="1:22" x14ac:dyDescent="0.25">
      <c r="A1169" s="46" t="s">
        <v>7964</v>
      </c>
      <c r="B1169" s="46" t="s">
        <v>120</v>
      </c>
      <c r="C1169" s="46" t="s">
        <v>6847</v>
      </c>
      <c r="D1169" s="46">
        <v>0.44788679511471002</v>
      </c>
      <c r="E1169" s="47">
        <f>SUMIF(Data!$E:$E,$C1169,Data!$AI:$AI)</f>
        <v>0</v>
      </c>
      <c r="I1169" s="13" t="s">
        <v>8139</v>
      </c>
      <c r="J1169" s="13" t="s">
        <v>8140</v>
      </c>
      <c r="K1169" s="13" t="s">
        <v>137</v>
      </c>
      <c r="L1169" s="13" t="s">
        <v>8066</v>
      </c>
      <c r="M1169" s="13" t="s">
        <v>8141</v>
      </c>
      <c r="N1169" s="13">
        <v>72.489000000000004</v>
      </c>
      <c r="O1169" s="13" t="s">
        <v>8142</v>
      </c>
      <c r="P1169" s="13" t="s">
        <v>8143</v>
      </c>
      <c r="Q1169" s="13" t="s">
        <v>208</v>
      </c>
      <c r="R1169" s="13" t="s">
        <v>8144</v>
      </c>
      <c r="S1169" s="13" t="s">
        <v>192</v>
      </c>
      <c r="T1169" s="13" t="s">
        <v>146</v>
      </c>
      <c r="U1169" s="13" t="s">
        <v>110</v>
      </c>
      <c r="V1169" s="47">
        <f>SUMIF(Data!$E:$E,$I1169,Data!$AI:$AI)</f>
        <v>0</v>
      </c>
    </row>
    <row r="1170" spans="1:22" x14ac:dyDescent="0.25">
      <c r="A1170" s="46" t="s">
        <v>7964</v>
      </c>
      <c r="B1170" s="46" t="s">
        <v>120</v>
      </c>
      <c r="C1170" s="46" t="s">
        <v>4602</v>
      </c>
      <c r="D1170" s="46">
        <v>0.50485172435771697</v>
      </c>
      <c r="E1170" s="47">
        <f>SUMIF(Data!$E:$E,$C1170,Data!$AI:$AI)</f>
        <v>0</v>
      </c>
      <c r="I1170" s="13" t="s">
        <v>8145</v>
      </c>
      <c r="J1170" s="13" t="s">
        <v>8146</v>
      </c>
      <c r="K1170" s="13" t="s">
        <v>137</v>
      </c>
      <c r="L1170" s="13" t="s">
        <v>8066</v>
      </c>
      <c r="M1170" s="13" t="s">
        <v>8147</v>
      </c>
      <c r="N1170" s="13">
        <v>103.375</v>
      </c>
      <c r="O1170" s="13" t="s">
        <v>8148</v>
      </c>
      <c r="P1170" s="13" t="s">
        <v>8149</v>
      </c>
      <c r="Q1170" s="13" t="s">
        <v>162</v>
      </c>
      <c r="R1170" s="13" t="s">
        <v>8150</v>
      </c>
      <c r="S1170" s="13" t="s">
        <v>192</v>
      </c>
      <c r="T1170" s="13" t="s">
        <v>146</v>
      </c>
      <c r="U1170" s="13" t="s">
        <v>110</v>
      </c>
      <c r="V1170" s="47">
        <f>SUMIF(Data!$E:$E,$I1170,Data!$AI:$AI)</f>
        <v>0</v>
      </c>
    </row>
    <row r="1171" spans="1:22" x14ac:dyDescent="0.25">
      <c r="A1171" s="46" t="s">
        <v>7964</v>
      </c>
      <c r="B1171" s="46" t="s">
        <v>120</v>
      </c>
      <c r="C1171" s="46" t="s">
        <v>4610</v>
      </c>
      <c r="D1171" s="46">
        <v>0.187685386286154</v>
      </c>
      <c r="E1171" s="47">
        <f>SUMIF(Data!$E:$E,$C1171,Data!$AI:$AI)</f>
        <v>0</v>
      </c>
      <c r="I1171" s="13" t="s">
        <v>8151</v>
      </c>
      <c r="J1171" s="13" t="s">
        <v>8152</v>
      </c>
      <c r="K1171" s="13" t="s">
        <v>137</v>
      </c>
      <c r="L1171" s="13" t="s">
        <v>8066</v>
      </c>
      <c r="M1171" s="13" t="s">
        <v>8153</v>
      </c>
      <c r="N1171" s="13">
        <v>137.97499999999999</v>
      </c>
      <c r="O1171" s="13" t="s">
        <v>8154</v>
      </c>
      <c r="P1171" s="13" t="s">
        <v>8155</v>
      </c>
      <c r="Q1171" s="13" t="s">
        <v>416</v>
      </c>
      <c r="R1171" s="13" t="s">
        <v>8156</v>
      </c>
      <c r="S1171" s="13" t="s">
        <v>560</v>
      </c>
      <c r="T1171" s="13" t="s">
        <v>561</v>
      </c>
      <c r="U1171" s="13" t="s">
        <v>525</v>
      </c>
      <c r="V1171" s="47">
        <f>SUMIF(Data!$E:$E,$I1171,Data!$AI:$AI)</f>
        <v>0</v>
      </c>
    </row>
    <row r="1172" spans="1:22" x14ac:dyDescent="0.25">
      <c r="A1172" s="46" t="s">
        <v>7964</v>
      </c>
      <c r="B1172" s="46" t="s">
        <v>120</v>
      </c>
      <c r="C1172" s="46" t="s">
        <v>4981</v>
      </c>
      <c r="D1172" s="46">
        <v>1.0420704241215</v>
      </c>
      <c r="E1172" s="47">
        <f>SUMIF(Data!$E:$E,$C1172,Data!$AI:$AI)</f>
        <v>0</v>
      </c>
      <c r="I1172" s="13" t="s">
        <v>8157</v>
      </c>
      <c r="J1172" s="13" t="s">
        <v>8158</v>
      </c>
      <c r="K1172" s="13" t="s">
        <v>137</v>
      </c>
      <c r="L1172" s="13" t="s">
        <v>8066</v>
      </c>
      <c r="M1172" s="13" t="s">
        <v>8159</v>
      </c>
      <c r="N1172" s="13">
        <v>46.881</v>
      </c>
      <c r="O1172" s="13" t="s">
        <v>8160</v>
      </c>
      <c r="P1172" s="13" t="s">
        <v>8161</v>
      </c>
      <c r="Q1172" s="13" t="s">
        <v>143</v>
      </c>
      <c r="R1172" s="13" t="s">
        <v>8162</v>
      </c>
      <c r="S1172" s="13" t="s">
        <v>192</v>
      </c>
      <c r="T1172" s="13" t="s">
        <v>146</v>
      </c>
      <c r="U1172" s="13" t="s">
        <v>110</v>
      </c>
      <c r="V1172" s="47">
        <f>SUMIF(Data!$E:$E,$I1172,Data!$AI:$AI)</f>
        <v>0</v>
      </c>
    </row>
    <row r="1173" spans="1:22" x14ac:dyDescent="0.25">
      <c r="A1173" s="46" t="s">
        <v>7964</v>
      </c>
      <c r="B1173" s="46" t="s">
        <v>120</v>
      </c>
      <c r="C1173" s="46" t="s">
        <v>4988</v>
      </c>
      <c r="D1173" s="46">
        <v>0.59680376505184596</v>
      </c>
      <c r="E1173" s="47">
        <f>SUMIF(Data!$E:$E,$C1173,Data!$AI:$AI)</f>
        <v>0</v>
      </c>
      <c r="I1173" s="13" t="s">
        <v>8163</v>
      </c>
      <c r="J1173" s="13" t="s">
        <v>8164</v>
      </c>
      <c r="K1173" s="13" t="s">
        <v>137</v>
      </c>
      <c r="L1173" s="13" t="s">
        <v>8066</v>
      </c>
      <c r="M1173" s="13" t="s">
        <v>8165</v>
      </c>
      <c r="N1173" s="13">
        <v>561.64300000000003</v>
      </c>
      <c r="O1173" s="13" t="s">
        <v>8166</v>
      </c>
      <c r="P1173" s="13" t="s">
        <v>8167</v>
      </c>
      <c r="Q1173" s="13" t="s">
        <v>190</v>
      </c>
      <c r="R1173" s="13" t="s">
        <v>8168</v>
      </c>
      <c r="S1173" s="13" t="s">
        <v>523</v>
      </c>
      <c r="T1173" s="13" t="s">
        <v>524</v>
      </c>
      <c r="U1173" s="13" t="s">
        <v>525</v>
      </c>
      <c r="V1173" s="47">
        <f>SUMIF(Data!$E:$E,$I1173,Data!$AI:$AI)</f>
        <v>0</v>
      </c>
    </row>
    <row r="1174" spans="1:22" x14ac:dyDescent="0.25">
      <c r="A1174" s="46" t="s">
        <v>7964</v>
      </c>
      <c r="B1174" s="46" t="s">
        <v>120</v>
      </c>
      <c r="C1174" s="46" t="s">
        <v>4995</v>
      </c>
      <c r="D1174" s="46">
        <v>1.63764354043343</v>
      </c>
      <c r="E1174" s="47">
        <f>SUMIF(Data!$E:$E,$C1174,Data!$AI:$AI)</f>
        <v>0</v>
      </c>
      <c r="I1174" s="13" t="s">
        <v>8169</v>
      </c>
      <c r="J1174" s="13" t="s">
        <v>8170</v>
      </c>
      <c r="K1174" s="13" t="s">
        <v>137</v>
      </c>
      <c r="L1174" s="13" t="s">
        <v>8066</v>
      </c>
      <c r="M1174" s="13" t="s">
        <v>8171</v>
      </c>
      <c r="N1174" s="13">
        <v>132.893</v>
      </c>
      <c r="O1174" s="13" t="s">
        <v>8172</v>
      </c>
      <c r="P1174" s="13" t="s">
        <v>8173</v>
      </c>
      <c r="Q1174" s="13" t="s">
        <v>190</v>
      </c>
      <c r="R1174" s="13" t="s">
        <v>8174</v>
      </c>
      <c r="S1174" s="13" t="s">
        <v>725</v>
      </c>
      <c r="T1174" s="13" t="s">
        <v>726</v>
      </c>
      <c r="U1174" s="13" t="s">
        <v>727</v>
      </c>
      <c r="V1174" s="47">
        <f>SUMIF(Data!$E:$E,$I1174,Data!$AI:$AI)</f>
        <v>0</v>
      </c>
    </row>
    <row r="1175" spans="1:22" x14ac:dyDescent="0.25">
      <c r="A1175" s="46" t="s">
        <v>7964</v>
      </c>
      <c r="B1175" s="46" t="s">
        <v>120</v>
      </c>
      <c r="C1175" s="46" t="s">
        <v>6335</v>
      </c>
      <c r="D1175" s="46">
        <v>0.18027515793301899</v>
      </c>
      <c r="E1175" s="47">
        <f>SUMIF(Data!$E:$E,$C1175,Data!$AI:$AI)</f>
        <v>0</v>
      </c>
      <c r="I1175" s="13" t="s">
        <v>8175</v>
      </c>
      <c r="J1175" s="13" t="s">
        <v>8176</v>
      </c>
      <c r="K1175" s="13" t="s">
        <v>137</v>
      </c>
      <c r="L1175" s="13" t="s">
        <v>8066</v>
      </c>
      <c r="M1175" s="13" t="s">
        <v>8177</v>
      </c>
      <c r="N1175" s="13">
        <v>32.484000000000002</v>
      </c>
      <c r="O1175" s="13" t="s">
        <v>8178</v>
      </c>
      <c r="P1175" s="13" t="s">
        <v>8179</v>
      </c>
      <c r="Q1175" s="13" t="s">
        <v>190</v>
      </c>
      <c r="R1175" s="13" t="s">
        <v>8180</v>
      </c>
      <c r="S1175" s="13" t="s">
        <v>192</v>
      </c>
      <c r="T1175" s="13" t="s">
        <v>146</v>
      </c>
      <c r="U1175" s="13" t="s">
        <v>110</v>
      </c>
      <c r="V1175" s="47">
        <f>SUMIF(Data!$E:$E,$I1175,Data!$AI:$AI)</f>
        <v>0</v>
      </c>
    </row>
    <row r="1176" spans="1:22" x14ac:dyDescent="0.25">
      <c r="A1176" s="46" t="s">
        <v>7964</v>
      </c>
      <c r="B1176" s="46" t="s">
        <v>120</v>
      </c>
      <c r="C1176" s="46" t="s">
        <v>5002</v>
      </c>
      <c r="D1176" s="46">
        <v>0.77436055631376499</v>
      </c>
      <c r="E1176" s="47">
        <f>SUMIF(Data!$E:$E,$C1176,Data!$AI:$AI)</f>
        <v>0</v>
      </c>
      <c r="I1176" s="13" t="s">
        <v>8181</v>
      </c>
      <c r="J1176" s="13" t="s">
        <v>8182</v>
      </c>
      <c r="K1176" s="13" t="s">
        <v>137</v>
      </c>
      <c r="L1176" s="13" t="s">
        <v>8066</v>
      </c>
      <c r="M1176" s="13" t="s">
        <v>8183</v>
      </c>
      <c r="N1176" s="13">
        <v>5.5579999999999998</v>
      </c>
      <c r="O1176" s="13" t="s">
        <v>8184</v>
      </c>
      <c r="P1176" s="13" t="s">
        <v>8185</v>
      </c>
      <c r="Q1176" s="13" t="s">
        <v>734</v>
      </c>
      <c r="R1176" s="13" t="s">
        <v>8186</v>
      </c>
      <c r="S1176" s="13" t="s">
        <v>6414</v>
      </c>
      <c r="T1176" s="13" t="s">
        <v>227</v>
      </c>
      <c r="U1176" s="13" t="s">
        <v>228</v>
      </c>
      <c r="V1176" s="47">
        <f>SUMIF(Data!$E:$E,$I1176,Data!$AI:$AI)</f>
        <v>0</v>
      </c>
    </row>
    <row r="1177" spans="1:22" x14ac:dyDescent="0.25">
      <c r="A1177" s="46" t="s">
        <v>7964</v>
      </c>
      <c r="B1177" s="46" t="s">
        <v>120</v>
      </c>
      <c r="C1177" s="46" t="s">
        <v>5009</v>
      </c>
      <c r="D1177" s="46">
        <v>0.62370846213032405</v>
      </c>
      <c r="E1177" s="47">
        <f>SUMIF(Data!$E:$E,$C1177,Data!$AI:$AI)</f>
        <v>0</v>
      </c>
      <c r="I1177" s="13" t="s">
        <v>8187</v>
      </c>
      <c r="J1177" s="13" t="s">
        <v>8188</v>
      </c>
      <c r="K1177" s="13" t="s">
        <v>137</v>
      </c>
      <c r="L1177" s="13" t="s">
        <v>8066</v>
      </c>
      <c r="M1177" s="13" t="s">
        <v>8189</v>
      </c>
      <c r="N1177" s="13">
        <v>123.69799999999999</v>
      </c>
      <c r="O1177" s="13" t="s">
        <v>8190</v>
      </c>
      <c r="P1177" s="13" t="s">
        <v>8191</v>
      </c>
      <c r="Q1177" s="13" t="s">
        <v>190</v>
      </c>
      <c r="R1177" s="13" t="s">
        <v>8192</v>
      </c>
      <c r="S1177" s="13" t="s">
        <v>192</v>
      </c>
      <c r="T1177" s="13" t="s">
        <v>146</v>
      </c>
      <c r="U1177" s="13" t="s">
        <v>110</v>
      </c>
      <c r="V1177" s="47">
        <f>SUMIF(Data!$E:$E,$I1177,Data!$AI:$AI)</f>
        <v>0</v>
      </c>
    </row>
    <row r="1178" spans="1:22" x14ac:dyDescent="0.25">
      <c r="A1178" s="46" t="s">
        <v>7964</v>
      </c>
      <c r="B1178" s="46" t="s">
        <v>120</v>
      </c>
      <c r="C1178" s="46" t="s">
        <v>5016</v>
      </c>
      <c r="D1178" s="46">
        <v>1.96529991418901</v>
      </c>
      <c r="E1178" s="47">
        <f>SUMIF(Data!$E:$E,$C1178,Data!$AI:$AI)</f>
        <v>0</v>
      </c>
      <c r="I1178" s="13" t="s">
        <v>8193</v>
      </c>
      <c r="J1178" s="13" t="s">
        <v>8194</v>
      </c>
      <c r="K1178" s="13" t="s">
        <v>137</v>
      </c>
      <c r="L1178" s="13" t="s">
        <v>8066</v>
      </c>
      <c r="M1178" s="13" t="s">
        <v>8195</v>
      </c>
      <c r="N1178" s="13">
        <v>157.74700000000001</v>
      </c>
      <c r="O1178" s="13" t="s">
        <v>8196</v>
      </c>
      <c r="P1178" s="13" t="s">
        <v>8197</v>
      </c>
      <c r="Q1178" s="13" t="s">
        <v>143</v>
      </c>
      <c r="R1178" s="13" t="s">
        <v>8198</v>
      </c>
      <c r="S1178" s="13" t="s">
        <v>145</v>
      </c>
      <c r="T1178" s="13" t="s">
        <v>146</v>
      </c>
      <c r="U1178" s="13" t="s">
        <v>110</v>
      </c>
      <c r="V1178" s="47">
        <f>SUMIF(Data!$E:$E,$I1178,Data!$AI:$AI)</f>
        <v>0</v>
      </c>
    </row>
    <row r="1179" spans="1:22" x14ac:dyDescent="0.25">
      <c r="A1179" s="46" t="s">
        <v>7964</v>
      </c>
      <c r="B1179" s="46" t="s">
        <v>120</v>
      </c>
      <c r="C1179" s="46" t="s">
        <v>5023</v>
      </c>
      <c r="D1179" s="46">
        <v>1.8782620790704601</v>
      </c>
      <c r="E1179" s="47">
        <f>SUMIF(Data!$E:$E,$C1179,Data!$AI:$AI)</f>
        <v>0</v>
      </c>
      <c r="I1179" s="13" t="s">
        <v>8199</v>
      </c>
      <c r="J1179" s="13" t="s">
        <v>8200</v>
      </c>
      <c r="K1179" s="13" t="s">
        <v>137</v>
      </c>
      <c r="L1179" s="13" t="s">
        <v>8066</v>
      </c>
      <c r="M1179" s="13" t="s">
        <v>8201</v>
      </c>
      <c r="N1179" s="13">
        <v>63.695999999999998</v>
      </c>
      <c r="O1179" s="13" t="s">
        <v>8202</v>
      </c>
      <c r="P1179" s="13" t="s">
        <v>8203</v>
      </c>
      <c r="Q1179" s="13" t="s">
        <v>224</v>
      </c>
      <c r="R1179" s="13" t="s">
        <v>8204</v>
      </c>
      <c r="S1179" s="13" t="s">
        <v>192</v>
      </c>
      <c r="T1179" s="13" t="s">
        <v>146</v>
      </c>
      <c r="U1179" s="13" t="s">
        <v>110</v>
      </c>
      <c r="V1179" s="47">
        <f>SUMIF(Data!$E:$E,$I1179,Data!$AI:$AI)</f>
        <v>0</v>
      </c>
    </row>
    <row r="1180" spans="1:22" x14ac:dyDescent="0.25">
      <c r="A1180" s="46" t="s">
        <v>7964</v>
      </c>
      <c r="B1180" s="46" t="s">
        <v>120</v>
      </c>
      <c r="C1180" s="46" t="s">
        <v>6747</v>
      </c>
      <c r="D1180" s="46">
        <v>0.2036087268258</v>
      </c>
      <c r="E1180" s="47">
        <f>SUMIF(Data!$E:$E,$C1180,Data!$AI:$AI)</f>
        <v>0</v>
      </c>
      <c r="I1180" s="13">
        <v>4324</v>
      </c>
      <c r="J1180" s="13" t="s">
        <v>8205</v>
      </c>
      <c r="K1180" s="13" t="s">
        <v>137</v>
      </c>
      <c r="L1180" s="13" t="s">
        <v>8066</v>
      </c>
      <c r="M1180" s="13" t="s">
        <v>8206</v>
      </c>
      <c r="N1180" s="13">
        <v>102.6</v>
      </c>
      <c r="O1180" s="13" t="s">
        <v>8207</v>
      </c>
      <c r="P1180" s="13" t="s">
        <v>8208</v>
      </c>
      <c r="Q1180" s="13" t="s">
        <v>172</v>
      </c>
      <c r="R1180" s="13" t="s">
        <v>8209</v>
      </c>
      <c r="S1180" s="13" t="s">
        <v>441</v>
      </c>
      <c r="T1180" s="13" t="s">
        <v>442</v>
      </c>
      <c r="U1180" s="13" t="s">
        <v>443</v>
      </c>
      <c r="V1180" s="47">
        <f>SUMIF(Data!$E:$E,$I1180,Data!$AI:$AI)</f>
        <v>0</v>
      </c>
    </row>
    <row r="1181" spans="1:22" x14ac:dyDescent="0.25">
      <c r="A1181" s="46" t="s">
        <v>8210</v>
      </c>
      <c r="B1181" s="46" t="s">
        <v>120</v>
      </c>
      <c r="C1181" s="46" t="s">
        <v>4461</v>
      </c>
      <c r="D1181" s="46">
        <v>0.16502255363851001</v>
      </c>
      <c r="E1181" s="47">
        <f>SUMIF(Data!$E:$E,$C1181,Data!$AI:$AI)</f>
        <v>0</v>
      </c>
      <c r="I1181" s="13" t="s">
        <v>8211</v>
      </c>
      <c r="J1181" s="13" t="s">
        <v>8212</v>
      </c>
      <c r="K1181" s="13" t="s">
        <v>137</v>
      </c>
      <c r="L1181" s="13" t="s">
        <v>8066</v>
      </c>
      <c r="M1181" s="13" t="s">
        <v>8213</v>
      </c>
      <c r="N1181" s="13">
        <v>1.6319999999999999</v>
      </c>
      <c r="O1181" s="13" t="s">
        <v>8214</v>
      </c>
      <c r="P1181" s="13" t="s">
        <v>8215</v>
      </c>
      <c r="Q1181" s="13" t="s">
        <v>224</v>
      </c>
      <c r="R1181" s="13" t="s">
        <v>8216</v>
      </c>
      <c r="S1181" s="13" t="s">
        <v>6414</v>
      </c>
      <c r="T1181" s="13" t="s">
        <v>227</v>
      </c>
      <c r="U1181" s="13" t="s">
        <v>228</v>
      </c>
      <c r="V1181" s="47">
        <f>SUMIF(Data!$E:$E,$I1181,Data!$AI:$AI)</f>
        <v>0</v>
      </c>
    </row>
    <row r="1182" spans="1:22" x14ac:dyDescent="0.25">
      <c r="A1182" s="46" t="s">
        <v>8210</v>
      </c>
      <c r="B1182" s="46" t="s">
        <v>120</v>
      </c>
      <c r="C1182" s="46" t="s">
        <v>4575</v>
      </c>
      <c r="D1182" s="46">
        <v>4.9026783965477803</v>
      </c>
      <c r="E1182" s="47">
        <f>SUMIF(Data!$E:$E,$C1182,Data!$AI:$AI)</f>
        <v>0</v>
      </c>
      <c r="I1182" s="13">
        <v>7259</v>
      </c>
      <c r="J1182" s="13" t="s">
        <v>8217</v>
      </c>
      <c r="K1182" s="13" t="s">
        <v>137</v>
      </c>
      <c r="L1182" s="13" t="s">
        <v>8066</v>
      </c>
      <c r="M1182" s="13" t="s">
        <v>8218</v>
      </c>
      <c r="N1182" s="13">
        <v>99.397999999999996</v>
      </c>
      <c r="O1182" s="13" t="s">
        <v>8219</v>
      </c>
      <c r="P1182" s="13" t="s">
        <v>8220</v>
      </c>
      <c r="Q1182" s="13" t="s">
        <v>162</v>
      </c>
      <c r="R1182" s="13" t="s">
        <v>8221</v>
      </c>
      <c r="S1182" s="13" t="s">
        <v>441</v>
      </c>
      <c r="T1182" s="13" t="s">
        <v>442</v>
      </c>
      <c r="U1182" s="13" t="s">
        <v>443</v>
      </c>
      <c r="V1182" s="47">
        <f>SUMIF(Data!$E:$E,$I1182,Data!$AI:$AI)</f>
        <v>0</v>
      </c>
    </row>
    <row r="1183" spans="1:22" x14ac:dyDescent="0.25">
      <c r="A1183" s="46" t="s">
        <v>8210</v>
      </c>
      <c r="B1183" s="46" t="s">
        <v>120</v>
      </c>
      <c r="C1183" s="46" t="s">
        <v>2014</v>
      </c>
      <c r="D1183" s="46">
        <v>0.45313312251710097</v>
      </c>
      <c r="E1183" s="47">
        <f>SUMIF(Data!$E:$E,$C1183,Data!$AI:$AI)</f>
        <v>0</v>
      </c>
      <c r="I1183" s="13">
        <v>4704</v>
      </c>
      <c r="J1183" s="13" t="s">
        <v>8222</v>
      </c>
      <c r="K1183" s="13" t="s">
        <v>137</v>
      </c>
      <c r="L1183" s="13" t="s">
        <v>8066</v>
      </c>
      <c r="M1183" s="13" t="s">
        <v>8223</v>
      </c>
      <c r="N1183" s="13">
        <v>68.078999999999994</v>
      </c>
      <c r="O1183" s="13" t="s">
        <v>8224</v>
      </c>
      <c r="P1183" s="13" t="s">
        <v>8225</v>
      </c>
      <c r="Q1183" s="13" t="s">
        <v>143</v>
      </c>
      <c r="R1183" s="13" t="s">
        <v>8226</v>
      </c>
      <c r="S1183" s="13" t="s">
        <v>441</v>
      </c>
      <c r="T1183" s="13" t="s">
        <v>442</v>
      </c>
      <c r="U1183" s="13" t="s">
        <v>443</v>
      </c>
      <c r="V1183" s="47">
        <f>SUMIF(Data!$E:$E,$I1183,Data!$AI:$AI)</f>
        <v>0</v>
      </c>
    </row>
    <row r="1184" spans="1:22" x14ac:dyDescent="0.25">
      <c r="A1184" s="46" t="s">
        <v>8210</v>
      </c>
      <c r="B1184" s="46" t="s">
        <v>120</v>
      </c>
      <c r="C1184" s="46" t="s">
        <v>4489</v>
      </c>
      <c r="D1184" s="46">
        <v>0.91640493047468397</v>
      </c>
      <c r="E1184" s="47">
        <f>SUMIF(Data!$E:$E,$C1184,Data!$AI:$AI)</f>
        <v>0</v>
      </c>
      <c r="I1184" s="13" t="s">
        <v>8227</v>
      </c>
      <c r="J1184" s="13" t="s">
        <v>8228</v>
      </c>
      <c r="K1184" s="13" t="s">
        <v>137</v>
      </c>
      <c r="L1184" s="13" t="s">
        <v>8066</v>
      </c>
      <c r="M1184" s="13" t="s">
        <v>8229</v>
      </c>
      <c r="N1184" s="13">
        <v>310.39800000000002</v>
      </c>
      <c r="O1184" s="13" t="s">
        <v>8230</v>
      </c>
      <c r="P1184" s="13" t="s">
        <v>8231</v>
      </c>
      <c r="Q1184" s="13" t="s">
        <v>190</v>
      </c>
      <c r="R1184" s="13" t="s">
        <v>8232</v>
      </c>
      <c r="S1184" s="13" t="s">
        <v>1127</v>
      </c>
      <c r="T1184" s="13" t="s">
        <v>1128</v>
      </c>
      <c r="U1184" s="13" t="s">
        <v>525</v>
      </c>
      <c r="V1184" s="47">
        <f>SUMIF(Data!$E:$E,$I1184,Data!$AI:$AI)</f>
        <v>0</v>
      </c>
    </row>
    <row r="1185" spans="1:22" x14ac:dyDescent="0.25">
      <c r="A1185" s="46" t="s">
        <v>8210</v>
      </c>
      <c r="B1185" s="46" t="s">
        <v>120</v>
      </c>
      <c r="C1185" s="46" t="s">
        <v>4765</v>
      </c>
      <c r="D1185" s="46">
        <v>0.929195699680193</v>
      </c>
      <c r="E1185" s="47">
        <f>SUMIF(Data!$E:$E,$C1185,Data!$AI:$AI)</f>
        <v>0</v>
      </c>
      <c r="I1185" s="13" t="s">
        <v>8233</v>
      </c>
      <c r="J1185" s="13" t="s">
        <v>8234</v>
      </c>
      <c r="K1185" s="13" t="s">
        <v>137</v>
      </c>
      <c r="L1185" s="13" t="s">
        <v>8066</v>
      </c>
      <c r="M1185" s="13" t="s">
        <v>8235</v>
      </c>
      <c r="N1185" s="13">
        <v>322.04500000000002</v>
      </c>
      <c r="O1185" s="13" t="s">
        <v>8236</v>
      </c>
      <c r="P1185" s="13" t="s">
        <v>8237</v>
      </c>
      <c r="Q1185" s="13" t="s">
        <v>694</v>
      </c>
      <c r="R1185" s="13" t="s">
        <v>8238</v>
      </c>
      <c r="S1185" s="13" t="s">
        <v>560</v>
      </c>
      <c r="T1185" s="13" t="s">
        <v>561</v>
      </c>
      <c r="U1185" s="13" t="s">
        <v>525</v>
      </c>
      <c r="V1185" s="47">
        <f>SUMIF(Data!$E:$E,$I1185,Data!$AI:$AI)</f>
        <v>0</v>
      </c>
    </row>
    <row r="1186" spans="1:22" x14ac:dyDescent="0.25">
      <c r="A1186" s="46" t="s">
        <v>8210</v>
      </c>
      <c r="B1186" s="46" t="s">
        <v>120</v>
      </c>
      <c r="C1186" s="46" t="s">
        <v>4582</v>
      </c>
      <c r="D1186" s="46">
        <v>0.19988494639677301</v>
      </c>
      <c r="E1186" s="47">
        <f>SUMIF(Data!$E:$E,$C1186,Data!$AI:$AI)</f>
        <v>0</v>
      </c>
      <c r="I1186" s="13" t="s">
        <v>8239</v>
      </c>
      <c r="J1186" s="13" t="s">
        <v>8240</v>
      </c>
      <c r="K1186" s="13" t="s">
        <v>137</v>
      </c>
      <c r="L1186" s="13" t="s">
        <v>8066</v>
      </c>
      <c r="M1186" s="13" t="s">
        <v>8241</v>
      </c>
      <c r="N1186" s="13">
        <v>48.136000000000003</v>
      </c>
      <c r="O1186" s="13" t="s">
        <v>8242</v>
      </c>
      <c r="P1186" s="13" t="s">
        <v>8243</v>
      </c>
      <c r="Q1186" s="13" t="s">
        <v>162</v>
      </c>
      <c r="R1186" s="13" t="s">
        <v>8244</v>
      </c>
      <c r="S1186" s="13" t="s">
        <v>523</v>
      </c>
      <c r="T1186" s="13" t="s">
        <v>524</v>
      </c>
      <c r="U1186" s="13" t="s">
        <v>525</v>
      </c>
      <c r="V1186" s="47">
        <f>SUMIF(Data!$E:$E,$I1186,Data!$AI:$AI)</f>
        <v>0</v>
      </c>
    </row>
    <row r="1187" spans="1:22" x14ac:dyDescent="0.25">
      <c r="A1187" s="46" t="s">
        <v>8210</v>
      </c>
      <c r="B1187" s="46" t="s">
        <v>120</v>
      </c>
      <c r="C1187" s="46" t="s">
        <v>5048</v>
      </c>
      <c r="D1187" s="46">
        <v>0.49794460656164302</v>
      </c>
      <c r="E1187" s="47">
        <f>SUMIF(Data!$E:$E,$C1187,Data!$AI:$AI)</f>
        <v>0</v>
      </c>
      <c r="I1187" s="13" t="s">
        <v>8245</v>
      </c>
      <c r="J1187" s="13" t="s">
        <v>8246</v>
      </c>
      <c r="K1187" s="13" t="s">
        <v>137</v>
      </c>
      <c r="L1187" s="13" t="s">
        <v>8066</v>
      </c>
      <c r="M1187" s="13" t="s">
        <v>8247</v>
      </c>
      <c r="N1187" s="13">
        <v>48.188000000000002</v>
      </c>
      <c r="O1187" s="13" t="s">
        <v>8248</v>
      </c>
      <c r="P1187" s="13" t="s">
        <v>8249</v>
      </c>
      <c r="Q1187" s="13" t="s">
        <v>172</v>
      </c>
      <c r="R1187" s="13" t="s">
        <v>8250</v>
      </c>
      <c r="S1187" s="13" t="s">
        <v>560</v>
      </c>
      <c r="T1187" s="13" t="s">
        <v>561</v>
      </c>
      <c r="U1187" s="13" t="s">
        <v>525</v>
      </c>
      <c r="V1187" s="47">
        <f>SUMIF(Data!$E:$E,$I1187,Data!$AI:$AI)</f>
        <v>0</v>
      </c>
    </row>
    <row r="1188" spans="1:22" x14ac:dyDescent="0.25">
      <c r="A1188" s="46" t="s">
        <v>8210</v>
      </c>
      <c r="B1188" s="46" t="s">
        <v>120</v>
      </c>
      <c r="C1188" s="46" t="s">
        <v>5055</v>
      </c>
      <c r="D1188" s="46">
        <v>0.17966103231042099</v>
      </c>
      <c r="E1188" s="47">
        <f>SUMIF(Data!$E:$E,$C1188,Data!$AI:$AI)</f>
        <v>0</v>
      </c>
      <c r="I1188" s="13" t="s">
        <v>8251</v>
      </c>
      <c r="J1188" s="13" t="s">
        <v>8252</v>
      </c>
      <c r="K1188" s="13" t="s">
        <v>137</v>
      </c>
      <c r="L1188" s="13" t="s">
        <v>8066</v>
      </c>
      <c r="M1188" s="13" t="s">
        <v>8253</v>
      </c>
      <c r="N1188" s="13">
        <v>804.524</v>
      </c>
      <c r="O1188" s="13" t="s">
        <v>8254</v>
      </c>
      <c r="P1188" s="13" t="s">
        <v>8255</v>
      </c>
      <c r="Q1188" s="13" t="s">
        <v>260</v>
      </c>
      <c r="R1188" s="13" t="s">
        <v>8256</v>
      </c>
      <c r="S1188" s="13" t="s">
        <v>725</v>
      </c>
      <c r="T1188" s="13" t="s">
        <v>726</v>
      </c>
      <c r="U1188" s="13" t="s">
        <v>727</v>
      </c>
      <c r="V1188" s="47">
        <f>SUMIF(Data!$E:$E,$I1188,Data!$AI:$AI)</f>
        <v>0</v>
      </c>
    </row>
    <row r="1189" spans="1:22" x14ac:dyDescent="0.25">
      <c r="A1189" s="46" t="s">
        <v>8210</v>
      </c>
      <c r="B1189" s="46" t="s">
        <v>120</v>
      </c>
      <c r="C1189" s="46" t="s">
        <v>5062</v>
      </c>
      <c r="D1189" s="46">
        <v>0.38742584204121899</v>
      </c>
      <c r="E1189" s="47">
        <f>SUMIF(Data!$E:$E,$C1189,Data!$AI:$AI)</f>
        <v>0</v>
      </c>
      <c r="I1189" s="13" t="s">
        <v>5112</v>
      </c>
      <c r="J1189" s="13" t="s">
        <v>8257</v>
      </c>
      <c r="K1189" s="13" t="s">
        <v>137</v>
      </c>
      <c r="L1189" s="13" t="s">
        <v>8066</v>
      </c>
      <c r="M1189" s="13" t="s">
        <v>8258</v>
      </c>
      <c r="N1189" s="13">
        <v>204.595</v>
      </c>
      <c r="O1189" s="13" t="s">
        <v>8259</v>
      </c>
      <c r="P1189" s="13" t="s">
        <v>8260</v>
      </c>
      <c r="Q1189" s="13" t="s">
        <v>260</v>
      </c>
      <c r="R1189" s="13" t="s">
        <v>8261</v>
      </c>
      <c r="S1189" s="13" t="s">
        <v>725</v>
      </c>
      <c r="T1189" s="13" t="s">
        <v>726</v>
      </c>
      <c r="U1189" s="13" t="s">
        <v>727</v>
      </c>
      <c r="V1189" s="47">
        <f>SUMIF(Data!$E:$E,$I1189,Data!$AI:$AI)</f>
        <v>0</v>
      </c>
    </row>
    <row r="1190" spans="1:22" x14ac:dyDescent="0.25">
      <c r="A1190" s="46" t="s">
        <v>8210</v>
      </c>
      <c r="B1190" s="46" t="s">
        <v>120</v>
      </c>
      <c r="C1190" s="46" t="s">
        <v>4589</v>
      </c>
      <c r="D1190" s="46">
        <v>9.6566962729684906</v>
      </c>
      <c r="E1190" s="47">
        <f>SUMIF(Data!$E:$E,$C1190,Data!$AI:$AI)</f>
        <v>0</v>
      </c>
      <c r="I1190" s="13">
        <v>2002</v>
      </c>
      <c r="J1190" s="13" t="s">
        <v>8262</v>
      </c>
      <c r="K1190" s="13" t="s">
        <v>137</v>
      </c>
      <c r="L1190" s="13" t="s">
        <v>8066</v>
      </c>
      <c r="M1190" s="13" t="s">
        <v>8263</v>
      </c>
      <c r="N1190" s="13">
        <v>201.4</v>
      </c>
      <c r="O1190" s="13" t="s">
        <v>8264</v>
      </c>
      <c r="P1190" s="13" t="s">
        <v>8265</v>
      </c>
      <c r="Q1190" s="13" t="s">
        <v>224</v>
      </c>
      <c r="R1190" s="13" t="s">
        <v>8266</v>
      </c>
      <c r="S1190" s="13" t="s">
        <v>441</v>
      </c>
      <c r="T1190" s="13" t="s">
        <v>442</v>
      </c>
      <c r="U1190" s="13" t="s">
        <v>443</v>
      </c>
      <c r="V1190" s="47">
        <f>SUMIF(Data!$E:$E,$I1190,Data!$AI:$AI)</f>
        <v>0</v>
      </c>
    </row>
    <row r="1191" spans="1:22" x14ac:dyDescent="0.25">
      <c r="A1191" s="46" t="s">
        <v>8210</v>
      </c>
      <c r="B1191" s="46" t="s">
        <v>120</v>
      </c>
      <c r="C1191" s="46" t="s">
        <v>4779</v>
      </c>
      <c r="D1191" s="46">
        <v>0.97339040045333802</v>
      </c>
      <c r="E1191" s="47">
        <f>SUMIF(Data!$E:$E,$C1191,Data!$AI:$AI)</f>
        <v>0</v>
      </c>
      <c r="I1191" s="13" t="s">
        <v>8267</v>
      </c>
      <c r="J1191" s="13" t="s">
        <v>8268</v>
      </c>
      <c r="K1191" s="13" t="s">
        <v>137</v>
      </c>
      <c r="L1191" s="13" t="s">
        <v>8066</v>
      </c>
      <c r="M1191" s="13" t="s">
        <v>8269</v>
      </c>
      <c r="N1191" s="13">
        <v>570.476</v>
      </c>
      <c r="O1191" s="13" t="s">
        <v>8270</v>
      </c>
      <c r="P1191" s="13" t="s">
        <v>8271</v>
      </c>
      <c r="Q1191" s="13" t="s">
        <v>416</v>
      </c>
      <c r="R1191" s="13" t="s">
        <v>8272</v>
      </c>
      <c r="S1191" s="13" t="s">
        <v>847</v>
      </c>
      <c r="T1191" s="13" t="s">
        <v>848</v>
      </c>
      <c r="U1191" s="13" t="s">
        <v>849</v>
      </c>
      <c r="V1191" s="47">
        <f>SUMIF(Data!$E:$E,$I1191,Data!$AI:$AI)</f>
        <v>0</v>
      </c>
    </row>
    <row r="1192" spans="1:22" x14ac:dyDescent="0.25">
      <c r="A1192" s="46" t="s">
        <v>8210</v>
      </c>
      <c r="B1192" s="46" t="s">
        <v>120</v>
      </c>
      <c r="C1192" s="46" t="s">
        <v>5069</v>
      </c>
      <c r="D1192" s="46">
        <v>0.19449346882112101</v>
      </c>
      <c r="E1192" s="47">
        <f>SUMIF(Data!$E:$E,$C1192,Data!$AI:$AI)</f>
        <v>0</v>
      </c>
      <c r="I1192" s="13">
        <v>4732</v>
      </c>
      <c r="J1192" s="13" t="s">
        <v>8273</v>
      </c>
      <c r="K1192" s="13" t="s">
        <v>137</v>
      </c>
      <c r="L1192" s="13" t="s">
        <v>8066</v>
      </c>
      <c r="M1192" s="13" t="s">
        <v>8274</v>
      </c>
      <c r="N1192" s="13">
        <v>187.3</v>
      </c>
      <c r="O1192" s="13" t="s">
        <v>8275</v>
      </c>
      <c r="P1192" s="13" t="s">
        <v>8276</v>
      </c>
      <c r="Q1192" s="13" t="s">
        <v>162</v>
      </c>
      <c r="R1192" s="13" t="s">
        <v>8277</v>
      </c>
      <c r="S1192" s="13" t="s">
        <v>441</v>
      </c>
      <c r="T1192" s="13" t="s">
        <v>442</v>
      </c>
      <c r="U1192" s="13" t="s">
        <v>443</v>
      </c>
      <c r="V1192" s="47">
        <f>SUMIF(Data!$E:$E,$I1192,Data!$AI:$AI)</f>
        <v>0</v>
      </c>
    </row>
    <row r="1193" spans="1:22" x14ac:dyDescent="0.25">
      <c r="A1193" s="46" t="s">
        <v>8210</v>
      </c>
      <c r="B1193" s="46" t="s">
        <v>120</v>
      </c>
      <c r="C1193" s="46" t="s">
        <v>4786</v>
      </c>
      <c r="D1193" s="46">
        <v>0.79512491954578801</v>
      </c>
      <c r="E1193" s="47">
        <f>SUMIF(Data!$E:$E,$C1193,Data!$AI:$AI)</f>
        <v>0</v>
      </c>
      <c r="I1193" s="13">
        <v>7202</v>
      </c>
      <c r="J1193" s="13" t="s">
        <v>8278</v>
      </c>
      <c r="K1193" s="13" t="s">
        <v>137</v>
      </c>
      <c r="L1193" s="13" t="s">
        <v>8066</v>
      </c>
      <c r="M1193" s="13" t="s">
        <v>8279</v>
      </c>
      <c r="N1193" s="13">
        <v>310.89999999999998</v>
      </c>
      <c r="O1193" s="13" t="s">
        <v>8280</v>
      </c>
      <c r="P1193" s="13" t="s">
        <v>8281</v>
      </c>
      <c r="Q1193" s="13" t="s">
        <v>162</v>
      </c>
      <c r="R1193" s="13" t="s">
        <v>8282</v>
      </c>
      <c r="S1193" s="13" t="s">
        <v>441</v>
      </c>
      <c r="T1193" s="13" t="s">
        <v>442</v>
      </c>
      <c r="U1193" s="13" t="s">
        <v>443</v>
      </c>
      <c r="V1193" s="47">
        <f>SUMIF(Data!$E:$E,$I1193,Data!$AI:$AI)</f>
        <v>0</v>
      </c>
    </row>
    <row r="1194" spans="1:22" x14ac:dyDescent="0.25">
      <c r="A1194" s="46" t="s">
        <v>8210</v>
      </c>
      <c r="B1194" s="46" t="s">
        <v>120</v>
      </c>
      <c r="C1194" s="46" t="s">
        <v>3202</v>
      </c>
      <c r="D1194" s="46">
        <v>0.79973476937474997</v>
      </c>
      <c r="E1194" s="47">
        <f>SUMIF(Data!$E:$E,$C1194,Data!$AI:$AI)</f>
        <v>0</v>
      </c>
      <c r="I1194" s="13">
        <v>8253</v>
      </c>
      <c r="J1194" s="13" t="s">
        <v>8283</v>
      </c>
      <c r="K1194" s="13" t="s">
        <v>137</v>
      </c>
      <c r="L1194" s="13" t="s">
        <v>8066</v>
      </c>
      <c r="M1194" s="13" t="s">
        <v>8284</v>
      </c>
      <c r="N1194" s="13">
        <v>198.5</v>
      </c>
      <c r="O1194" s="13" t="s">
        <v>8285</v>
      </c>
      <c r="P1194" s="13" t="s">
        <v>8286</v>
      </c>
      <c r="Q1194" s="13" t="s">
        <v>190</v>
      </c>
      <c r="R1194" s="13" t="s">
        <v>8287</v>
      </c>
      <c r="S1194" s="13" t="s">
        <v>441</v>
      </c>
      <c r="T1194" s="13" t="s">
        <v>442</v>
      </c>
      <c r="U1194" s="13" t="s">
        <v>443</v>
      </c>
      <c r="V1194" s="47">
        <f>SUMIF(Data!$E:$E,$I1194,Data!$AI:$AI)</f>
        <v>0</v>
      </c>
    </row>
    <row r="1195" spans="1:22" x14ac:dyDescent="0.25">
      <c r="A1195" s="46" t="s">
        <v>8210</v>
      </c>
      <c r="B1195" s="46" t="s">
        <v>120</v>
      </c>
      <c r="C1195" s="46" t="s">
        <v>4524</v>
      </c>
      <c r="D1195" s="46">
        <v>0.57019811136765697</v>
      </c>
      <c r="E1195" s="47">
        <f>SUMIF(Data!$E:$E,$C1195,Data!$AI:$AI)</f>
        <v>0</v>
      </c>
      <c r="I1195" s="13">
        <v>9064</v>
      </c>
      <c r="J1195" s="13" t="s">
        <v>8288</v>
      </c>
      <c r="K1195" s="13" t="s">
        <v>137</v>
      </c>
      <c r="L1195" s="13" t="s">
        <v>8066</v>
      </c>
      <c r="M1195" s="13" t="s">
        <v>8289</v>
      </c>
      <c r="N1195" s="13">
        <v>202.76400000000001</v>
      </c>
      <c r="O1195" s="13" t="s">
        <v>8290</v>
      </c>
      <c r="P1195" s="13" t="s">
        <v>8291</v>
      </c>
      <c r="Q1195" s="13" t="s">
        <v>416</v>
      </c>
      <c r="R1195" s="13" t="s">
        <v>8292</v>
      </c>
      <c r="S1195" s="13" t="s">
        <v>441</v>
      </c>
      <c r="T1195" s="13" t="s">
        <v>442</v>
      </c>
      <c r="U1195" s="13" t="s">
        <v>443</v>
      </c>
      <c r="V1195" s="47">
        <f>SUMIF(Data!$E:$E,$I1195,Data!$AI:$AI)</f>
        <v>0</v>
      </c>
    </row>
    <row r="1196" spans="1:22" x14ac:dyDescent="0.25">
      <c r="A1196" s="46" t="s">
        <v>8210</v>
      </c>
      <c r="B1196" s="46" t="s">
        <v>120</v>
      </c>
      <c r="C1196" s="46" t="s">
        <v>5082</v>
      </c>
      <c r="D1196" s="46">
        <v>0.12836444387937501</v>
      </c>
      <c r="E1196" s="47">
        <f>SUMIF(Data!$E:$E,$C1196,Data!$AI:$AI)</f>
        <v>0</v>
      </c>
      <c r="I1196" s="13" t="s">
        <v>8293</v>
      </c>
      <c r="J1196" s="13" t="s">
        <v>8294</v>
      </c>
      <c r="K1196" s="13" t="s">
        <v>137</v>
      </c>
      <c r="L1196" s="13" t="s">
        <v>8066</v>
      </c>
      <c r="M1196" s="13" t="s">
        <v>8295</v>
      </c>
      <c r="N1196" s="13">
        <v>274.27100000000002</v>
      </c>
      <c r="O1196" s="13" t="s">
        <v>8296</v>
      </c>
      <c r="P1196" s="13" t="s">
        <v>8297</v>
      </c>
      <c r="Q1196" s="13" t="s">
        <v>806</v>
      </c>
      <c r="R1196" s="13" t="s">
        <v>8298</v>
      </c>
      <c r="S1196" s="13" t="s">
        <v>847</v>
      </c>
      <c r="T1196" s="13" t="s">
        <v>848</v>
      </c>
      <c r="U1196" s="13" t="s">
        <v>849</v>
      </c>
      <c r="V1196" s="47">
        <f>SUMIF(Data!$E:$E,$I1196,Data!$AI:$AI)</f>
        <v>0</v>
      </c>
    </row>
    <row r="1197" spans="1:22" x14ac:dyDescent="0.25">
      <c r="A1197" s="46" t="s">
        <v>8210</v>
      </c>
      <c r="B1197" s="46" t="s">
        <v>120</v>
      </c>
      <c r="C1197" s="46" t="s">
        <v>4798</v>
      </c>
      <c r="D1197" s="46">
        <v>2.9859597663879698</v>
      </c>
      <c r="E1197" s="47">
        <f>SUMIF(Data!$E:$E,$C1197,Data!$AI:$AI)</f>
        <v>0</v>
      </c>
      <c r="I1197" s="13" t="s">
        <v>8299</v>
      </c>
      <c r="J1197" s="13" t="s">
        <v>8300</v>
      </c>
      <c r="K1197" s="13" t="s">
        <v>137</v>
      </c>
      <c r="L1197" s="13" t="s">
        <v>8066</v>
      </c>
      <c r="M1197" s="13" t="s">
        <v>8301</v>
      </c>
      <c r="N1197" s="13">
        <v>2.5819999999999999</v>
      </c>
      <c r="O1197" s="13" t="s">
        <v>8302</v>
      </c>
      <c r="P1197" s="13" t="s">
        <v>8303</v>
      </c>
      <c r="Q1197" s="13" t="s">
        <v>416</v>
      </c>
      <c r="R1197" s="13" t="s">
        <v>8304</v>
      </c>
      <c r="S1197" s="13" t="s">
        <v>768</v>
      </c>
      <c r="T1197" s="13" t="s">
        <v>769</v>
      </c>
      <c r="U1197" s="13" t="s">
        <v>770</v>
      </c>
      <c r="V1197" s="47">
        <f>SUMIF(Data!$E:$E,$I1197,Data!$AI:$AI)</f>
        <v>0</v>
      </c>
    </row>
    <row r="1198" spans="1:22" x14ac:dyDescent="0.25">
      <c r="A1198" s="46" t="s">
        <v>8210</v>
      </c>
      <c r="B1198" s="46" t="s">
        <v>120</v>
      </c>
      <c r="C1198" s="46" t="s">
        <v>4496</v>
      </c>
      <c r="D1198" s="46">
        <v>0.52029743350199598</v>
      </c>
      <c r="E1198" s="47">
        <f>SUMIF(Data!$E:$E,$C1198,Data!$AI:$AI)</f>
        <v>0</v>
      </c>
      <c r="I1198" s="13" t="s">
        <v>8305</v>
      </c>
      <c r="J1198" s="13" t="s">
        <v>8306</v>
      </c>
      <c r="K1198" s="13" t="s">
        <v>137</v>
      </c>
      <c r="L1198" s="13" t="s">
        <v>8066</v>
      </c>
      <c r="M1198" s="13" t="s">
        <v>8307</v>
      </c>
      <c r="N1198" s="13">
        <v>865.14099999999996</v>
      </c>
      <c r="O1198" s="13" t="s">
        <v>8308</v>
      </c>
      <c r="P1198" s="13" t="s">
        <v>8309</v>
      </c>
      <c r="Q1198" s="13" t="s">
        <v>806</v>
      </c>
      <c r="R1198" s="13" t="s">
        <v>8310</v>
      </c>
      <c r="S1198" s="13" t="s">
        <v>847</v>
      </c>
      <c r="T1198" s="13" t="s">
        <v>848</v>
      </c>
      <c r="U1198" s="13" t="s">
        <v>849</v>
      </c>
      <c r="V1198" s="47">
        <f>SUMIF(Data!$E:$E,$I1198,Data!$AI:$AI)</f>
        <v>0</v>
      </c>
    </row>
    <row r="1199" spans="1:22" x14ac:dyDescent="0.25">
      <c r="A1199" s="46" t="s">
        <v>8210</v>
      </c>
      <c r="B1199" s="46" t="s">
        <v>120</v>
      </c>
      <c r="C1199" s="46" t="s">
        <v>3142</v>
      </c>
      <c r="D1199" s="46">
        <v>1.0327279078670599</v>
      </c>
      <c r="E1199" s="47">
        <f>SUMIF(Data!$E:$E,$C1199,Data!$AI:$AI)</f>
        <v>0</v>
      </c>
      <c r="I1199" s="13">
        <v>4307</v>
      </c>
      <c r="J1199" s="13" t="s">
        <v>8311</v>
      </c>
      <c r="K1199" s="13" t="s">
        <v>137</v>
      </c>
      <c r="L1199" s="13" t="s">
        <v>8066</v>
      </c>
      <c r="M1199" s="13" t="s">
        <v>3933</v>
      </c>
      <c r="N1199" s="13">
        <v>159.31</v>
      </c>
      <c r="O1199" s="13" t="s">
        <v>8312</v>
      </c>
      <c r="P1199" s="13" t="s">
        <v>8313</v>
      </c>
      <c r="Q1199" s="13" t="s">
        <v>143</v>
      </c>
      <c r="R1199" s="13" t="s">
        <v>8314</v>
      </c>
      <c r="S1199" s="13" t="s">
        <v>441</v>
      </c>
      <c r="T1199" s="13" t="s">
        <v>442</v>
      </c>
      <c r="U1199" s="13" t="s">
        <v>443</v>
      </c>
      <c r="V1199" s="47">
        <f>SUMIF(Data!$E:$E,$I1199,Data!$AI:$AI)</f>
        <v>0</v>
      </c>
    </row>
    <row r="1200" spans="1:22" x14ac:dyDescent="0.25">
      <c r="A1200" s="46" t="s">
        <v>8210</v>
      </c>
      <c r="B1200" s="46" t="s">
        <v>120</v>
      </c>
      <c r="C1200" s="46" t="s">
        <v>4503</v>
      </c>
      <c r="D1200" s="46">
        <v>0.21095997481663001</v>
      </c>
      <c r="E1200" s="47">
        <f>SUMIF(Data!$E:$E,$C1200,Data!$AI:$AI)</f>
        <v>0</v>
      </c>
      <c r="I1200" s="13" t="s">
        <v>8315</v>
      </c>
      <c r="J1200" s="13" t="s">
        <v>8316</v>
      </c>
      <c r="K1200" s="13" t="s">
        <v>137</v>
      </c>
      <c r="L1200" s="13" t="s">
        <v>8066</v>
      </c>
      <c r="M1200" s="13" t="s">
        <v>8317</v>
      </c>
      <c r="N1200" s="13">
        <v>54.853000000000002</v>
      </c>
      <c r="O1200" s="13" t="s">
        <v>8318</v>
      </c>
      <c r="P1200" s="13" t="s">
        <v>8319</v>
      </c>
      <c r="Q1200" s="13" t="s">
        <v>416</v>
      </c>
      <c r="R1200" s="13" t="s">
        <v>8320</v>
      </c>
      <c r="S1200" s="13" t="s">
        <v>192</v>
      </c>
      <c r="T1200" s="13" t="s">
        <v>146</v>
      </c>
      <c r="U1200" s="13" t="s">
        <v>110</v>
      </c>
      <c r="V1200" s="47">
        <f>SUMIF(Data!$E:$E,$I1200,Data!$AI:$AI)</f>
        <v>0</v>
      </c>
    </row>
    <row r="1201" spans="1:22" x14ac:dyDescent="0.25">
      <c r="A1201" s="46" t="s">
        <v>8210</v>
      </c>
      <c r="B1201" s="46" t="s">
        <v>120</v>
      </c>
      <c r="C1201" s="46" t="s">
        <v>3149</v>
      </c>
      <c r="D1201" s="46">
        <v>0.35553742521703602</v>
      </c>
      <c r="E1201" s="47">
        <f>SUMIF(Data!$E:$E,$C1201,Data!$AI:$AI)</f>
        <v>0</v>
      </c>
      <c r="I1201" s="13" t="s">
        <v>8321</v>
      </c>
      <c r="J1201" s="13" t="s">
        <v>8322</v>
      </c>
      <c r="K1201" s="13" t="s">
        <v>137</v>
      </c>
      <c r="L1201" s="13" t="s">
        <v>8066</v>
      </c>
      <c r="M1201" s="13" t="s">
        <v>8323</v>
      </c>
      <c r="N1201" s="13">
        <v>281.923</v>
      </c>
      <c r="O1201" s="13" t="s">
        <v>8324</v>
      </c>
      <c r="P1201" s="13" t="s">
        <v>8325</v>
      </c>
      <c r="Q1201" s="13" t="s">
        <v>162</v>
      </c>
      <c r="R1201" s="13" t="s">
        <v>8326</v>
      </c>
      <c r="S1201" s="13" t="s">
        <v>476</v>
      </c>
      <c r="T1201" s="13" t="s">
        <v>477</v>
      </c>
      <c r="U1201" s="13" t="s">
        <v>478</v>
      </c>
      <c r="V1201" s="47">
        <f>SUMIF(Data!$E:$E,$I1201,Data!$AI:$AI)</f>
        <v>0</v>
      </c>
    </row>
    <row r="1202" spans="1:22" x14ac:dyDescent="0.25">
      <c r="A1202" s="46" t="s">
        <v>8210</v>
      </c>
      <c r="B1202" s="46" t="s">
        <v>120</v>
      </c>
      <c r="C1202" s="46" t="s">
        <v>4546</v>
      </c>
      <c r="D1202" s="46">
        <v>0.26509532140004799</v>
      </c>
      <c r="E1202" s="47">
        <f>SUMIF(Data!$E:$E,$C1202,Data!$AI:$AI)</f>
        <v>0</v>
      </c>
      <c r="I1202" s="13" t="s">
        <v>8327</v>
      </c>
      <c r="J1202" s="13" t="s">
        <v>8328</v>
      </c>
      <c r="K1202" s="13" t="s">
        <v>137</v>
      </c>
      <c r="L1202" s="13" t="s">
        <v>8066</v>
      </c>
      <c r="M1202" s="13" t="s">
        <v>8153</v>
      </c>
      <c r="N1202" s="13">
        <v>132.042</v>
      </c>
      <c r="O1202" s="13" t="s">
        <v>8329</v>
      </c>
      <c r="P1202" s="13" t="s">
        <v>8330</v>
      </c>
      <c r="Q1202" s="13" t="s">
        <v>734</v>
      </c>
      <c r="R1202" s="13" t="s">
        <v>8331</v>
      </c>
      <c r="S1202" s="13" t="s">
        <v>2928</v>
      </c>
      <c r="T1202" s="13" t="s">
        <v>2929</v>
      </c>
      <c r="U1202" s="13" t="s">
        <v>2930</v>
      </c>
      <c r="V1202" s="47">
        <f>SUMIF(Data!$E:$E,$I1202,Data!$AI:$AI)</f>
        <v>0</v>
      </c>
    </row>
    <row r="1203" spans="1:22" x14ac:dyDescent="0.25">
      <c r="A1203" s="46" t="s">
        <v>8210</v>
      </c>
      <c r="B1203" s="46" t="s">
        <v>120</v>
      </c>
      <c r="C1203" s="46" t="s">
        <v>4811</v>
      </c>
      <c r="D1203" s="46">
        <v>0.41926094581620199</v>
      </c>
      <c r="E1203" s="47">
        <f>SUMIF(Data!$E:$E,$C1203,Data!$AI:$AI)</f>
        <v>0</v>
      </c>
      <c r="I1203" s="13" t="s">
        <v>8332</v>
      </c>
      <c r="J1203" s="13" t="s">
        <v>8333</v>
      </c>
      <c r="K1203" s="13" t="s">
        <v>137</v>
      </c>
      <c r="L1203" s="13" t="s">
        <v>8066</v>
      </c>
      <c r="M1203" s="13" t="s">
        <v>8334</v>
      </c>
      <c r="N1203" s="13">
        <v>56.591999999999999</v>
      </c>
      <c r="O1203" s="13" t="s">
        <v>8335</v>
      </c>
      <c r="P1203" s="13" t="s">
        <v>8336</v>
      </c>
      <c r="Q1203" s="13" t="s">
        <v>162</v>
      </c>
      <c r="R1203" s="13" t="s">
        <v>8337</v>
      </c>
      <c r="S1203" s="13" t="s">
        <v>476</v>
      </c>
      <c r="T1203" s="13" t="s">
        <v>477</v>
      </c>
      <c r="U1203" s="13" t="s">
        <v>478</v>
      </c>
      <c r="V1203" s="47">
        <f>SUMIF(Data!$E:$E,$I1203,Data!$AI:$AI)</f>
        <v>0</v>
      </c>
    </row>
    <row r="1204" spans="1:22" x14ac:dyDescent="0.25">
      <c r="A1204" s="46" t="s">
        <v>8210</v>
      </c>
      <c r="B1204" s="46" t="s">
        <v>120</v>
      </c>
      <c r="C1204" s="46" t="s">
        <v>4818</v>
      </c>
      <c r="D1204" s="46">
        <v>0.91440323277544799</v>
      </c>
      <c r="E1204" s="47">
        <f>SUMIF(Data!$E:$E,$C1204,Data!$AI:$AI)</f>
        <v>0</v>
      </c>
      <c r="I1204" s="13">
        <v>5938</v>
      </c>
      <c r="J1204" s="13" t="s">
        <v>8338</v>
      </c>
      <c r="K1204" s="13" t="s">
        <v>137</v>
      </c>
      <c r="L1204" s="13" t="s">
        <v>8066</v>
      </c>
      <c r="M1204" s="13" t="s">
        <v>6687</v>
      </c>
      <c r="N1204" s="13">
        <v>200.5</v>
      </c>
      <c r="O1204" s="13" t="s">
        <v>8339</v>
      </c>
      <c r="P1204" s="13" t="s">
        <v>8340</v>
      </c>
      <c r="Q1204" s="13" t="s">
        <v>416</v>
      </c>
      <c r="R1204" s="13" t="s">
        <v>8341</v>
      </c>
      <c r="S1204" s="13" t="s">
        <v>441</v>
      </c>
      <c r="T1204" s="13" t="s">
        <v>442</v>
      </c>
      <c r="U1204" s="13" t="s">
        <v>443</v>
      </c>
      <c r="V1204" s="47">
        <f>SUMIF(Data!$E:$E,$I1204,Data!$AI:$AI)</f>
        <v>0</v>
      </c>
    </row>
    <row r="1205" spans="1:22" x14ac:dyDescent="0.25">
      <c r="A1205" s="46" t="s">
        <v>8210</v>
      </c>
      <c r="B1205" s="46" t="s">
        <v>120</v>
      </c>
      <c r="C1205" s="46" t="s">
        <v>5112</v>
      </c>
      <c r="D1205" s="46">
        <v>0.39757138057830399</v>
      </c>
      <c r="E1205" s="47">
        <f>SUMIF(Data!$E:$E,$C1205,Data!$AI:$AI)</f>
        <v>0</v>
      </c>
      <c r="I1205" s="13">
        <v>5201</v>
      </c>
      <c r="J1205" s="13" t="s">
        <v>8342</v>
      </c>
      <c r="K1205" s="13" t="s">
        <v>137</v>
      </c>
      <c r="L1205" s="13" t="s">
        <v>8066</v>
      </c>
      <c r="M1205" s="13" t="s">
        <v>8343</v>
      </c>
      <c r="N1205" s="13">
        <v>96.811999999999998</v>
      </c>
      <c r="O1205" s="13" t="s">
        <v>8344</v>
      </c>
      <c r="P1205" s="13" t="s">
        <v>8345</v>
      </c>
      <c r="Q1205" s="13" t="s">
        <v>416</v>
      </c>
      <c r="R1205" s="13" t="s">
        <v>8346</v>
      </c>
      <c r="S1205" s="13" t="s">
        <v>441</v>
      </c>
      <c r="T1205" s="13" t="s">
        <v>442</v>
      </c>
      <c r="U1205" s="13" t="s">
        <v>443</v>
      </c>
      <c r="V1205" s="47">
        <f>SUMIF(Data!$E:$E,$I1205,Data!$AI:$AI)</f>
        <v>0</v>
      </c>
    </row>
    <row r="1206" spans="1:22" x14ac:dyDescent="0.25">
      <c r="A1206" s="46" t="s">
        <v>8210</v>
      </c>
      <c r="B1206" s="46" t="s">
        <v>120</v>
      </c>
      <c r="C1206" s="46" t="s">
        <v>5118</v>
      </c>
      <c r="D1206" s="46">
        <v>0.203361558399305</v>
      </c>
      <c r="E1206" s="47">
        <f>SUMIF(Data!$E:$E,$C1206,Data!$AI:$AI)</f>
        <v>0</v>
      </c>
      <c r="I1206" s="13" t="s">
        <v>8347</v>
      </c>
      <c r="J1206" s="13" t="s">
        <v>8348</v>
      </c>
      <c r="K1206" s="13" t="s">
        <v>137</v>
      </c>
      <c r="L1206" s="13" t="s">
        <v>8066</v>
      </c>
      <c r="M1206" s="13" t="s">
        <v>8349</v>
      </c>
      <c r="N1206" s="13">
        <v>42.915999999999997</v>
      </c>
      <c r="O1206" s="13" t="s">
        <v>8350</v>
      </c>
      <c r="P1206" s="13" t="s">
        <v>8351</v>
      </c>
      <c r="Q1206" s="13" t="s">
        <v>224</v>
      </c>
      <c r="R1206" s="13" t="s">
        <v>8352</v>
      </c>
      <c r="S1206" s="13" t="s">
        <v>725</v>
      </c>
      <c r="T1206" s="13" t="s">
        <v>726</v>
      </c>
      <c r="U1206" s="13" t="s">
        <v>727</v>
      </c>
      <c r="V1206" s="47">
        <f>SUMIF(Data!$E:$E,$I1206,Data!$AI:$AI)</f>
        <v>0</v>
      </c>
    </row>
    <row r="1207" spans="1:22" x14ac:dyDescent="0.25">
      <c r="A1207" s="46" t="s">
        <v>8210</v>
      </c>
      <c r="B1207" s="46" t="s">
        <v>120</v>
      </c>
      <c r="C1207" s="46" t="s">
        <v>5124</v>
      </c>
      <c r="D1207" s="46">
        <v>0.215490628747153</v>
      </c>
      <c r="E1207" s="47">
        <f>SUMIF(Data!$E:$E,$C1207,Data!$AI:$AI)</f>
        <v>0</v>
      </c>
      <c r="I1207" s="13" t="s">
        <v>517</v>
      </c>
      <c r="J1207" s="13" t="s">
        <v>8353</v>
      </c>
      <c r="K1207" s="13" t="s">
        <v>137</v>
      </c>
      <c r="L1207" s="13" t="s">
        <v>8066</v>
      </c>
      <c r="M1207" s="13" t="s">
        <v>4456</v>
      </c>
      <c r="N1207" s="13">
        <v>113.51600000000001</v>
      </c>
      <c r="O1207" s="13" t="s">
        <v>8354</v>
      </c>
      <c r="P1207" s="13" t="s">
        <v>8355</v>
      </c>
      <c r="Q1207" s="13" t="s">
        <v>224</v>
      </c>
      <c r="R1207" s="13" t="s">
        <v>8356</v>
      </c>
      <c r="S1207" s="13" t="s">
        <v>725</v>
      </c>
      <c r="T1207" s="13" t="s">
        <v>726</v>
      </c>
      <c r="U1207" s="13" t="s">
        <v>727</v>
      </c>
      <c r="V1207" s="47">
        <f>SUMIF(Data!$E:$E,$I1207,Data!$AI:$AI)</f>
        <v>0</v>
      </c>
    </row>
    <row r="1208" spans="1:22" x14ac:dyDescent="0.25">
      <c r="A1208" s="46" t="s">
        <v>8210</v>
      </c>
      <c r="B1208" s="46" t="s">
        <v>120</v>
      </c>
      <c r="C1208" s="46" t="s">
        <v>4637</v>
      </c>
      <c r="D1208" s="46">
        <v>0.23355820522257301</v>
      </c>
      <c r="E1208" s="47">
        <f>SUMIF(Data!$E:$E,$C1208,Data!$AI:$AI)</f>
        <v>0</v>
      </c>
      <c r="I1208" s="13" t="s">
        <v>8357</v>
      </c>
      <c r="J1208" s="13" t="s">
        <v>8358</v>
      </c>
      <c r="K1208" s="13" t="s">
        <v>137</v>
      </c>
      <c r="L1208" s="13" t="s">
        <v>8066</v>
      </c>
      <c r="M1208" s="13" t="s">
        <v>8359</v>
      </c>
      <c r="N1208" s="13">
        <v>174.41</v>
      </c>
      <c r="O1208" s="13" t="s">
        <v>8360</v>
      </c>
      <c r="P1208" s="13" t="s">
        <v>8361</v>
      </c>
      <c r="Q1208" s="13" t="s">
        <v>694</v>
      </c>
      <c r="R1208" s="13" t="s">
        <v>8362</v>
      </c>
      <c r="S1208" s="13" t="s">
        <v>725</v>
      </c>
      <c r="T1208" s="13" t="s">
        <v>726</v>
      </c>
      <c r="U1208" s="13" t="s">
        <v>727</v>
      </c>
      <c r="V1208" s="47">
        <f>SUMIF(Data!$E:$E,$I1208,Data!$AI:$AI)</f>
        <v>0</v>
      </c>
    </row>
    <row r="1209" spans="1:22" x14ac:dyDescent="0.25">
      <c r="A1209" s="46" t="s">
        <v>8210</v>
      </c>
      <c r="B1209" s="46" t="s">
        <v>120</v>
      </c>
      <c r="C1209" s="46" t="s">
        <v>5131</v>
      </c>
      <c r="D1209" s="46">
        <v>0.19119298436558199</v>
      </c>
      <c r="E1209" s="47">
        <f>SUMIF(Data!$E:$E,$C1209,Data!$AI:$AI)</f>
        <v>0</v>
      </c>
      <c r="I1209" s="13" t="s">
        <v>8363</v>
      </c>
      <c r="J1209" s="13" t="s">
        <v>8364</v>
      </c>
      <c r="K1209" s="13" t="s">
        <v>137</v>
      </c>
      <c r="L1209" s="13" t="s">
        <v>8066</v>
      </c>
      <c r="M1209" s="13" t="s">
        <v>8365</v>
      </c>
      <c r="N1209" s="13">
        <v>631.70899999999995</v>
      </c>
      <c r="O1209" s="13" t="s">
        <v>8366</v>
      </c>
      <c r="P1209" s="13" t="s">
        <v>8367</v>
      </c>
      <c r="Q1209" s="13" t="s">
        <v>190</v>
      </c>
      <c r="R1209" s="13" t="s">
        <v>8368</v>
      </c>
      <c r="S1209" s="13" t="s">
        <v>2410</v>
      </c>
      <c r="T1209" s="13" t="s">
        <v>1282</v>
      </c>
      <c r="U1209" s="13" t="s">
        <v>525</v>
      </c>
      <c r="V1209" s="47">
        <f>SUMIF(Data!$E:$E,$I1209,Data!$AI:$AI)</f>
        <v>0</v>
      </c>
    </row>
    <row r="1210" spans="1:22" x14ac:dyDescent="0.25">
      <c r="A1210" s="46" t="s">
        <v>8210</v>
      </c>
      <c r="B1210" s="46" t="s">
        <v>120</v>
      </c>
      <c r="C1210" s="46" t="s">
        <v>4618</v>
      </c>
      <c r="D1210" s="46">
        <v>0.62246768510140205</v>
      </c>
      <c r="E1210" s="47">
        <f>SUMIF(Data!$E:$E,$C1210,Data!$AI:$AI)</f>
        <v>0</v>
      </c>
      <c r="I1210" s="13" t="s">
        <v>8369</v>
      </c>
      <c r="J1210" s="13" t="s">
        <v>8370</v>
      </c>
      <c r="K1210" s="13" t="s">
        <v>137</v>
      </c>
      <c r="L1210" s="13" t="s">
        <v>8066</v>
      </c>
      <c r="M1210" s="13" t="s">
        <v>8371</v>
      </c>
      <c r="N1210" s="13">
        <v>24.631</v>
      </c>
      <c r="O1210" s="13" t="s">
        <v>8372</v>
      </c>
      <c r="P1210" s="13" t="s">
        <v>8373</v>
      </c>
      <c r="Q1210" s="13" t="s">
        <v>143</v>
      </c>
      <c r="R1210" s="13" t="s">
        <v>8374</v>
      </c>
      <c r="S1210" s="13" t="s">
        <v>145</v>
      </c>
      <c r="T1210" s="13" t="s">
        <v>4831</v>
      </c>
      <c r="U1210" s="13" t="s">
        <v>110</v>
      </c>
      <c r="V1210" s="47">
        <f>SUMIF(Data!$E:$E,$I1210,Data!$AI:$AI)</f>
        <v>0</v>
      </c>
    </row>
    <row r="1211" spans="1:22" x14ac:dyDescent="0.25">
      <c r="A1211" s="46" t="s">
        <v>8210</v>
      </c>
      <c r="B1211" s="46" t="s">
        <v>120</v>
      </c>
      <c r="C1211" s="46" t="s">
        <v>4625</v>
      </c>
      <c r="D1211" s="46">
        <v>1.92444644181913</v>
      </c>
      <c r="E1211" s="47">
        <f>SUMIF(Data!$E:$E,$C1211,Data!$AI:$AI)</f>
        <v>0</v>
      </c>
      <c r="I1211" s="13" t="s">
        <v>8375</v>
      </c>
      <c r="J1211" s="13" t="s">
        <v>8376</v>
      </c>
      <c r="K1211" s="13" t="s">
        <v>137</v>
      </c>
      <c r="L1211" s="13" t="s">
        <v>8066</v>
      </c>
      <c r="M1211" s="13" t="s">
        <v>6240</v>
      </c>
      <c r="N1211" s="13">
        <v>453.38799999999998</v>
      </c>
      <c r="O1211" s="13" t="s">
        <v>8377</v>
      </c>
      <c r="P1211" s="13" t="s">
        <v>8378</v>
      </c>
      <c r="Q1211" s="13" t="s">
        <v>172</v>
      </c>
      <c r="R1211" s="13" t="s">
        <v>8379</v>
      </c>
      <c r="S1211" s="13" t="s">
        <v>476</v>
      </c>
      <c r="T1211" s="13" t="s">
        <v>477</v>
      </c>
      <c r="U1211" s="13" t="s">
        <v>478</v>
      </c>
      <c r="V1211" s="47">
        <f>SUMIF(Data!$E:$E,$I1211,Data!$AI:$AI)</f>
        <v>0</v>
      </c>
    </row>
    <row r="1212" spans="1:22" x14ac:dyDescent="0.25">
      <c r="A1212" s="46" t="s">
        <v>8210</v>
      </c>
      <c r="B1212" s="46" t="s">
        <v>120</v>
      </c>
      <c r="C1212" s="46" t="s">
        <v>5138</v>
      </c>
      <c r="D1212" s="46">
        <v>0.14612583750592301</v>
      </c>
      <c r="E1212" s="47">
        <f>SUMIF(Data!$E:$E,$C1212,Data!$AI:$AI)</f>
        <v>0</v>
      </c>
      <c r="I1212" s="13" t="s">
        <v>8380</v>
      </c>
      <c r="J1212" s="13" t="s">
        <v>8381</v>
      </c>
      <c r="K1212" s="13" t="s">
        <v>137</v>
      </c>
      <c r="L1212" s="13" t="s">
        <v>8066</v>
      </c>
      <c r="M1212" s="13" t="s">
        <v>8382</v>
      </c>
      <c r="N1212" s="13">
        <v>106.7</v>
      </c>
      <c r="O1212" s="13" t="s">
        <v>8383</v>
      </c>
      <c r="P1212" s="13" t="s">
        <v>8384</v>
      </c>
      <c r="Q1212" s="13" t="s">
        <v>416</v>
      </c>
      <c r="R1212" s="13" t="s">
        <v>8385</v>
      </c>
      <c r="S1212" s="13" t="s">
        <v>2365</v>
      </c>
      <c r="T1212" s="13" t="s">
        <v>550</v>
      </c>
      <c r="U1212" s="13" t="s">
        <v>110</v>
      </c>
      <c r="V1212" s="47">
        <f>SUMIF(Data!$E:$E,$I1212,Data!$AI:$AI)</f>
        <v>0</v>
      </c>
    </row>
    <row r="1213" spans="1:22" x14ac:dyDescent="0.25">
      <c r="A1213" s="46" t="s">
        <v>8210</v>
      </c>
      <c r="B1213" s="46" t="s">
        <v>120</v>
      </c>
      <c r="C1213" s="46" t="s">
        <v>4838</v>
      </c>
      <c r="D1213" s="46">
        <v>2.3142187644898802</v>
      </c>
      <c r="E1213" s="47">
        <f>SUMIF(Data!$E:$E,$C1213,Data!$AI:$AI)</f>
        <v>0</v>
      </c>
      <c r="I1213" s="13">
        <v>5411</v>
      </c>
      <c r="J1213" s="13" t="s">
        <v>8386</v>
      </c>
      <c r="K1213" s="13" t="s">
        <v>137</v>
      </c>
      <c r="L1213" s="13" t="s">
        <v>8066</v>
      </c>
      <c r="M1213" s="13" t="s">
        <v>8387</v>
      </c>
      <c r="N1213" s="13">
        <v>256.68700000000001</v>
      </c>
      <c r="O1213" s="13" t="s">
        <v>8388</v>
      </c>
      <c r="P1213" s="13" t="s">
        <v>8389</v>
      </c>
      <c r="Q1213" s="13" t="s">
        <v>734</v>
      </c>
      <c r="R1213" s="13" t="s">
        <v>8390</v>
      </c>
      <c r="S1213" s="13" t="s">
        <v>441</v>
      </c>
      <c r="T1213" s="13" t="s">
        <v>442</v>
      </c>
      <c r="U1213" s="13" t="s">
        <v>443</v>
      </c>
      <c r="V1213" s="47">
        <f>SUMIF(Data!$E:$E,$I1213,Data!$AI:$AI)</f>
        <v>0</v>
      </c>
    </row>
    <row r="1214" spans="1:22" x14ac:dyDescent="0.25">
      <c r="A1214" s="46" t="s">
        <v>8210</v>
      </c>
      <c r="B1214" s="46" t="s">
        <v>120</v>
      </c>
      <c r="C1214" s="46" t="s">
        <v>4845</v>
      </c>
      <c r="D1214" s="46">
        <v>1.3374385828612201</v>
      </c>
      <c r="E1214" s="47">
        <f>SUMIF(Data!$E:$E,$C1214,Data!$AI:$AI)</f>
        <v>0</v>
      </c>
      <c r="I1214" s="13" t="s">
        <v>8391</v>
      </c>
      <c r="J1214" s="13" t="s">
        <v>8392</v>
      </c>
      <c r="K1214" s="13" t="s">
        <v>137</v>
      </c>
      <c r="L1214" s="13" t="s">
        <v>8066</v>
      </c>
      <c r="M1214" s="13" t="s">
        <v>8393</v>
      </c>
      <c r="N1214" s="13">
        <v>252.792</v>
      </c>
      <c r="O1214" s="13" t="s">
        <v>8394</v>
      </c>
      <c r="P1214" s="13" t="s">
        <v>8395</v>
      </c>
      <c r="Q1214" s="13" t="s">
        <v>734</v>
      </c>
      <c r="R1214" s="13" t="s">
        <v>8396</v>
      </c>
      <c r="S1214" s="13" t="s">
        <v>523</v>
      </c>
      <c r="T1214" s="13" t="s">
        <v>524</v>
      </c>
      <c r="U1214" s="13" t="s">
        <v>525</v>
      </c>
      <c r="V1214" s="47">
        <f>SUMIF(Data!$E:$E,$I1214,Data!$AI:$AI)</f>
        <v>0</v>
      </c>
    </row>
    <row r="1215" spans="1:22" x14ac:dyDescent="0.25">
      <c r="A1215" s="46" t="s">
        <v>8210</v>
      </c>
      <c r="B1215" s="46" t="s">
        <v>120</v>
      </c>
      <c r="C1215" s="46" t="s">
        <v>4560</v>
      </c>
      <c r="D1215" s="46">
        <v>0.22125780827918701</v>
      </c>
      <c r="E1215" s="47">
        <f>SUMIF(Data!$E:$E,$C1215,Data!$AI:$AI)</f>
        <v>0</v>
      </c>
      <c r="I1215" s="13">
        <v>7532</v>
      </c>
      <c r="J1215" s="13" t="s">
        <v>8397</v>
      </c>
      <c r="K1215" s="13" t="s">
        <v>137</v>
      </c>
      <c r="L1215" s="13" t="s">
        <v>8066</v>
      </c>
      <c r="M1215" s="13" t="s">
        <v>8398</v>
      </c>
      <c r="N1215" s="13">
        <v>188.74</v>
      </c>
      <c r="O1215" s="13" t="s">
        <v>8399</v>
      </c>
      <c r="P1215" s="13" t="s">
        <v>8400</v>
      </c>
      <c r="Q1215" s="13" t="s">
        <v>162</v>
      </c>
      <c r="R1215" s="13" t="s">
        <v>8401</v>
      </c>
      <c r="S1215" s="13" t="s">
        <v>441</v>
      </c>
      <c r="T1215" s="13" t="s">
        <v>442</v>
      </c>
      <c r="U1215" s="13" t="s">
        <v>443</v>
      </c>
      <c r="V1215" s="47">
        <f>SUMIF(Data!$E:$E,$I1215,Data!$AI:$AI)</f>
        <v>0</v>
      </c>
    </row>
    <row r="1216" spans="1:22" x14ac:dyDescent="0.25">
      <c r="A1216" s="46" t="s">
        <v>8210</v>
      </c>
      <c r="B1216" s="46" t="s">
        <v>120</v>
      </c>
      <c r="C1216" s="46" t="s">
        <v>5150</v>
      </c>
      <c r="D1216" s="46">
        <v>0.14355826961131299</v>
      </c>
      <c r="E1216" s="47">
        <f>SUMIF(Data!$E:$E,$C1216,Data!$AI:$AI)</f>
        <v>0</v>
      </c>
      <c r="I1216" s="13" t="s">
        <v>8402</v>
      </c>
      <c r="J1216" s="13" t="s">
        <v>8403</v>
      </c>
      <c r="K1216" s="13" t="s">
        <v>137</v>
      </c>
      <c r="L1216" s="13" t="s">
        <v>8066</v>
      </c>
      <c r="M1216" s="13" t="s">
        <v>8404</v>
      </c>
      <c r="N1216" s="13">
        <v>128.56899999999999</v>
      </c>
      <c r="O1216" s="13" t="s">
        <v>8405</v>
      </c>
      <c r="P1216" s="13" t="s">
        <v>8406</v>
      </c>
      <c r="Q1216" s="13" t="s">
        <v>190</v>
      </c>
      <c r="R1216" s="13" t="s">
        <v>8407</v>
      </c>
      <c r="S1216" s="13" t="s">
        <v>192</v>
      </c>
      <c r="T1216" s="13" t="s">
        <v>146</v>
      </c>
      <c r="U1216" s="13" t="s">
        <v>110</v>
      </c>
      <c r="V1216" s="47">
        <f>SUMIF(Data!$E:$E,$I1216,Data!$AI:$AI)</f>
        <v>0</v>
      </c>
    </row>
    <row r="1217" spans="1:22" x14ac:dyDescent="0.25">
      <c r="A1217" s="46" t="s">
        <v>8210</v>
      </c>
      <c r="B1217" s="46" t="s">
        <v>120</v>
      </c>
      <c r="C1217" s="46" t="s">
        <v>4852</v>
      </c>
      <c r="D1217" s="46">
        <v>18.100441388330498</v>
      </c>
      <c r="E1217" s="47">
        <f>SUMIF(Data!$E:$E,$C1217,Data!$AI:$AI)</f>
        <v>0</v>
      </c>
      <c r="I1217" s="13">
        <v>3659</v>
      </c>
      <c r="J1217" s="13" t="s">
        <v>8408</v>
      </c>
      <c r="K1217" s="13" t="s">
        <v>137</v>
      </c>
      <c r="L1217" s="13" t="s">
        <v>8066</v>
      </c>
      <c r="M1217" s="13" t="s">
        <v>8409</v>
      </c>
      <c r="N1217" s="13">
        <v>228.84200000000001</v>
      </c>
      <c r="O1217" s="13" t="s">
        <v>8410</v>
      </c>
      <c r="P1217" s="13" t="s">
        <v>8411</v>
      </c>
      <c r="Q1217" s="13" t="s">
        <v>172</v>
      </c>
      <c r="R1217" s="13" t="s">
        <v>8412</v>
      </c>
      <c r="S1217" s="13" t="s">
        <v>441</v>
      </c>
      <c r="T1217" s="13" t="s">
        <v>442</v>
      </c>
      <c r="U1217" s="13" t="s">
        <v>443</v>
      </c>
      <c r="V1217" s="47">
        <f>SUMIF(Data!$E:$E,$I1217,Data!$AI:$AI)</f>
        <v>0</v>
      </c>
    </row>
    <row r="1218" spans="1:22" x14ac:dyDescent="0.25">
      <c r="A1218" s="46" t="s">
        <v>8210</v>
      </c>
      <c r="B1218" s="46" t="s">
        <v>120</v>
      </c>
      <c r="C1218" s="46" t="s">
        <v>4859</v>
      </c>
      <c r="D1218" s="46">
        <v>0.54131023446295201</v>
      </c>
      <c r="E1218" s="47">
        <f>SUMIF(Data!$E:$E,$C1218,Data!$AI:$AI)</f>
        <v>0</v>
      </c>
      <c r="I1218" s="13">
        <v>6723</v>
      </c>
      <c r="J1218" s="13" t="s">
        <v>8413</v>
      </c>
      <c r="K1218" s="13" t="s">
        <v>137</v>
      </c>
      <c r="L1218" s="13" t="s">
        <v>8066</v>
      </c>
      <c r="M1218" s="13" t="s">
        <v>5829</v>
      </c>
      <c r="N1218" s="13">
        <v>442.1</v>
      </c>
      <c r="O1218" s="13" t="s">
        <v>8414</v>
      </c>
      <c r="P1218" s="13" t="s">
        <v>8415</v>
      </c>
      <c r="Q1218" s="13" t="s">
        <v>143</v>
      </c>
      <c r="R1218" s="13" t="s">
        <v>8416</v>
      </c>
      <c r="S1218" s="13" t="s">
        <v>441</v>
      </c>
      <c r="T1218" s="13" t="s">
        <v>442</v>
      </c>
      <c r="U1218" s="13" t="s">
        <v>443</v>
      </c>
      <c r="V1218" s="47">
        <f>SUMIF(Data!$E:$E,$I1218,Data!$AI:$AI)</f>
        <v>0</v>
      </c>
    </row>
    <row r="1219" spans="1:22" x14ac:dyDescent="0.25">
      <c r="A1219" s="46" t="s">
        <v>8210</v>
      </c>
      <c r="B1219" s="46" t="s">
        <v>120</v>
      </c>
      <c r="C1219" s="46" t="s">
        <v>5163</v>
      </c>
      <c r="D1219" s="46">
        <v>4.7177516153286997E-2</v>
      </c>
      <c r="E1219" s="47">
        <f>SUMIF(Data!$E:$E,$C1219,Data!$AI:$AI)</f>
        <v>0</v>
      </c>
      <c r="I1219" s="13" t="s">
        <v>4468</v>
      </c>
      <c r="J1219" s="13" t="s">
        <v>8417</v>
      </c>
      <c r="K1219" s="13" t="s">
        <v>137</v>
      </c>
      <c r="L1219" s="13" t="s">
        <v>8066</v>
      </c>
      <c r="M1219" s="13" t="s">
        <v>8418</v>
      </c>
      <c r="N1219" s="13">
        <v>25.326000000000001</v>
      </c>
      <c r="O1219" s="13" t="s">
        <v>8419</v>
      </c>
      <c r="P1219" s="13" t="s">
        <v>8420</v>
      </c>
      <c r="Q1219" s="13" t="s">
        <v>208</v>
      </c>
      <c r="R1219" s="13" t="s">
        <v>8421</v>
      </c>
      <c r="S1219" s="13" t="s">
        <v>523</v>
      </c>
      <c r="T1219" s="13" t="s">
        <v>524</v>
      </c>
      <c r="U1219" s="13" t="s">
        <v>525</v>
      </c>
      <c r="V1219" s="47">
        <f>SUMIF(Data!$E:$E,$I1219,Data!$AI:$AI)</f>
        <v>0</v>
      </c>
    </row>
    <row r="1220" spans="1:22" x14ac:dyDescent="0.25">
      <c r="A1220" s="46" t="s">
        <v>8210</v>
      </c>
      <c r="B1220" s="46" t="s">
        <v>120</v>
      </c>
      <c r="C1220" s="46" t="s">
        <v>5170</v>
      </c>
      <c r="D1220" s="46">
        <v>0.34741334524487</v>
      </c>
      <c r="E1220" s="47">
        <f>SUMIF(Data!$E:$E,$C1220,Data!$AI:$AI)</f>
        <v>0</v>
      </c>
      <c r="I1220" s="13">
        <v>5333</v>
      </c>
      <c r="J1220" s="13" t="s">
        <v>8422</v>
      </c>
      <c r="K1220" s="13" t="s">
        <v>137</v>
      </c>
      <c r="L1220" s="13" t="s">
        <v>8066</v>
      </c>
      <c r="M1220" s="13" t="s">
        <v>8423</v>
      </c>
      <c r="N1220" s="13">
        <v>184.8</v>
      </c>
      <c r="O1220" s="13" t="s">
        <v>8424</v>
      </c>
      <c r="P1220" s="13" t="s">
        <v>8425</v>
      </c>
      <c r="Q1220" s="13" t="s">
        <v>416</v>
      </c>
      <c r="R1220" s="13" t="s">
        <v>8426</v>
      </c>
      <c r="S1220" s="13" t="s">
        <v>441</v>
      </c>
      <c r="T1220" s="13" t="s">
        <v>442</v>
      </c>
      <c r="U1220" s="13" t="s">
        <v>443</v>
      </c>
      <c r="V1220" s="47">
        <f>SUMIF(Data!$E:$E,$I1220,Data!$AI:$AI)</f>
        <v>0</v>
      </c>
    </row>
    <row r="1221" spans="1:22" x14ac:dyDescent="0.25">
      <c r="A1221" s="46" t="s">
        <v>8210</v>
      </c>
      <c r="B1221" s="46" t="s">
        <v>120</v>
      </c>
      <c r="C1221" s="46" t="s">
        <v>6756</v>
      </c>
      <c r="D1221" s="46">
        <v>0.53206546820892198</v>
      </c>
      <c r="E1221" s="47">
        <f>SUMIF(Data!$E:$E,$C1221,Data!$AI:$AI)</f>
        <v>0</v>
      </c>
      <c r="I1221" s="13" t="s">
        <v>8427</v>
      </c>
      <c r="J1221" s="13" t="s">
        <v>8428</v>
      </c>
      <c r="K1221" s="13" t="s">
        <v>137</v>
      </c>
      <c r="L1221" s="13" t="s">
        <v>8066</v>
      </c>
      <c r="M1221" s="13" t="s">
        <v>8429</v>
      </c>
      <c r="N1221" s="13">
        <v>104.294</v>
      </c>
      <c r="O1221" s="13" t="s">
        <v>8430</v>
      </c>
      <c r="P1221" s="13" t="s">
        <v>8431</v>
      </c>
      <c r="Q1221" s="13" t="s">
        <v>694</v>
      </c>
      <c r="R1221" s="13" t="s">
        <v>8432</v>
      </c>
      <c r="S1221" s="13" t="s">
        <v>523</v>
      </c>
      <c r="T1221" s="13" t="s">
        <v>524</v>
      </c>
      <c r="U1221" s="13" t="s">
        <v>525</v>
      </c>
      <c r="V1221" s="47">
        <f>SUMIF(Data!$E:$E,$I1221,Data!$AI:$AI)</f>
        <v>0</v>
      </c>
    </row>
    <row r="1222" spans="1:22" x14ac:dyDescent="0.25">
      <c r="A1222" s="46" t="s">
        <v>8210</v>
      </c>
      <c r="B1222" s="46" t="s">
        <v>120</v>
      </c>
      <c r="C1222" s="46" t="s">
        <v>3157</v>
      </c>
      <c r="D1222" s="46">
        <v>0.77802819200015805</v>
      </c>
      <c r="E1222" s="47">
        <f>SUMIF(Data!$E:$E,$C1222,Data!$AI:$AI)</f>
        <v>0</v>
      </c>
      <c r="I1222" s="13" t="s">
        <v>8433</v>
      </c>
      <c r="J1222" s="13" t="s">
        <v>8434</v>
      </c>
      <c r="K1222" s="13" t="s">
        <v>137</v>
      </c>
      <c r="L1222" s="13" t="s">
        <v>8066</v>
      </c>
      <c r="M1222" s="13" t="s">
        <v>8435</v>
      </c>
      <c r="N1222" s="13">
        <v>85.665000000000006</v>
      </c>
      <c r="O1222" s="13" t="s">
        <v>8436</v>
      </c>
      <c r="P1222" s="13" t="s">
        <v>8437</v>
      </c>
      <c r="Q1222" s="13" t="s">
        <v>734</v>
      </c>
      <c r="R1222" s="13" t="s">
        <v>8438</v>
      </c>
      <c r="S1222" s="13" t="s">
        <v>476</v>
      </c>
      <c r="T1222" s="13" t="s">
        <v>477</v>
      </c>
      <c r="U1222" s="13" t="s">
        <v>478</v>
      </c>
      <c r="V1222" s="47">
        <f>SUMIF(Data!$E:$E,$I1222,Data!$AI:$AI)</f>
        <v>0</v>
      </c>
    </row>
    <row r="1223" spans="1:22" x14ac:dyDescent="0.25">
      <c r="A1223" s="46" t="s">
        <v>8210</v>
      </c>
      <c r="B1223" s="46" t="s">
        <v>120</v>
      </c>
      <c r="C1223" s="46" t="s">
        <v>4870</v>
      </c>
      <c r="D1223" s="46">
        <v>1.4936605324396801</v>
      </c>
      <c r="E1223" s="47">
        <f>SUMIF(Data!$E:$E,$C1223,Data!$AI:$AI)</f>
        <v>0</v>
      </c>
      <c r="I1223" s="13" t="s">
        <v>8439</v>
      </c>
      <c r="J1223" s="13" t="s">
        <v>8440</v>
      </c>
      <c r="K1223" s="13" t="s">
        <v>137</v>
      </c>
      <c r="L1223" s="13" t="s">
        <v>8066</v>
      </c>
      <c r="M1223" s="13" t="s">
        <v>8441</v>
      </c>
      <c r="N1223" s="13">
        <v>400.02699999999999</v>
      </c>
      <c r="O1223" s="13" t="s">
        <v>8442</v>
      </c>
      <c r="P1223" s="13" t="s">
        <v>8443</v>
      </c>
      <c r="Q1223" s="13" t="s">
        <v>172</v>
      </c>
      <c r="R1223" s="13" t="s">
        <v>8444</v>
      </c>
      <c r="S1223" s="13" t="s">
        <v>476</v>
      </c>
      <c r="T1223" s="13" t="s">
        <v>477</v>
      </c>
      <c r="U1223" s="13" t="s">
        <v>478</v>
      </c>
      <c r="V1223" s="47">
        <f>SUMIF(Data!$E:$E,$I1223,Data!$AI:$AI)</f>
        <v>0</v>
      </c>
    </row>
    <row r="1224" spans="1:22" x14ac:dyDescent="0.25">
      <c r="A1224" s="46" t="s">
        <v>8210</v>
      </c>
      <c r="B1224" s="46" t="s">
        <v>120</v>
      </c>
      <c r="C1224" s="46" t="s">
        <v>3164</v>
      </c>
      <c r="D1224" s="46">
        <v>0.221017087611145</v>
      </c>
      <c r="E1224" s="47">
        <f>SUMIF(Data!$E:$E,$C1224,Data!$AI:$AI)</f>
        <v>0</v>
      </c>
      <c r="I1224" s="13" t="s">
        <v>8445</v>
      </c>
      <c r="J1224" s="13" t="s">
        <v>8446</v>
      </c>
      <c r="K1224" s="13" t="s">
        <v>137</v>
      </c>
      <c r="L1224" s="13" t="s">
        <v>8066</v>
      </c>
      <c r="M1224" s="13" t="s">
        <v>8447</v>
      </c>
      <c r="N1224" s="13">
        <v>69.832999999999998</v>
      </c>
      <c r="O1224" s="13" t="s">
        <v>8448</v>
      </c>
      <c r="P1224" s="13" t="s">
        <v>8449</v>
      </c>
      <c r="Q1224" s="13" t="s">
        <v>694</v>
      </c>
      <c r="R1224" s="13" t="s">
        <v>8450</v>
      </c>
      <c r="S1224" s="13" t="s">
        <v>192</v>
      </c>
      <c r="T1224" s="13" t="s">
        <v>146</v>
      </c>
      <c r="U1224" s="13" t="s">
        <v>110</v>
      </c>
      <c r="V1224" s="47">
        <f>SUMIF(Data!$E:$E,$I1224,Data!$AI:$AI)</f>
        <v>0</v>
      </c>
    </row>
    <row r="1225" spans="1:22" x14ac:dyDescent="0.25">
      <c r="A1225" s="46" t="s">
        <v>8210</v>
      </c>
      <c r="B1225" s="46" t="s">
        <v>120</v>
      </c>
      <c r="C1225" s="46" t="s">
        <v>5183</v>
      </c>
      <c r="D1225" s="46">
        <v>0.17555691682333599</v>
      </c>
      <c r="E1225" s="47">
        <f>SUMIF(Data!$E:$E,$C1225,Data!$AI:$AI)</f>
        <v>0</v>
      </c>
      <c r="I1225" s="13" t="s">
        <v>8451</v>
      </c>
      <c r="J1225" s="13" t="s">
        <v>8452</v>
      </c>
      <c r="K1225" s="13" t="s">
        <v>137</v>
      </c>
      <c r="L1225" s="13" t="s">
        <v>8066</v>
      </c>
      <c r="M1225" s="13" t="s">
        <v>8453</v>
      </c>
      <c r="N1225" s="13" t="s">
        <v>8454</v>
      </c>
      <c r="O1225" s="13" t="s">
        <v>8455</v>
      </c>
      <c r="P1225" s="13" t="s">
        <v>8456</v>
      </c>
      <c r="Q1225" s="13" t="s">
        <v>416</v>
      </c>
      <c r="R1225" s="13" t="s">
        <v>8457</v>
      </c>
      <c r="S1225" s="13" t="s">
        <v>2365</v>
      </c>
      <c r="T1225" s="13" t="s">
        <v>2366</v>
      </c>
      <c r="U1225" s="13" t="s">
        <v>2367</v>
      </c>
      <c r="V1225" s="47">
        <f>SUMIF(Data!$E:$E,$I1225,Data!$AI:$AI)</f>
        <v>0</v>
      </c>
    </row>
    <row r="1226" spans="1:22" x14ac:dyDescent="0.25">
      <c r="A1226" s="46" t="s">
        <v>8210</v>
      </c>
      <c r="B1226" s="46" t="s">
        <v>120</v>
      </c>
      <c r="C1226" s="46" t="s">
        <v>4877</v>
      </c>
      <c r="D1226" s="46">
        <v>0.70413047708585197</v>
      </c>
      <c r="E1226" s="47">
        <f>SUMIF(Data!$E:$E,$C1226,Data!$AI:$AI)</f>
        <v>0</v>
      </c>
      <c r="I1226" s="13" t="s">
        <v>8458</v>
      </c>
      <c r="J1226" s="13" t="s">
        <v>8459</v>
      </c>
      <c r="K1226" s="13" t="s">
        <v>137</v>
      </c>
      <c r="L1226" s="13" t="s">
        <v>8066</v>
      </c>
      <c r="M1226" s="13" t="s">
        <v>8460</v>
      </c>
      <c r="N1226" s="13" t="s">
        <v>8461</v>
      </c>
      <c r="O1226" s="13" t="s">
        <v>8462</v>
      </c>
      <c r="P1226" s="13" t="s">
        <v>8463</v>
      </c>
      <c r="Q1226" s="13" t="s">
        <v>190</v>
      </c>
      <c r="R1226" s="13" t="s">
        <v>8464</v>
      </c>
      <c r="S1226" s="13" t="s">
        <v>1164</v>
      </c>
      <c r="T1226" s="13" t="s">
        <v>1165</v>
      </c>
      <c r="U1226" s="13" t="s">
        <v>525</v>
      </c>
      <c r="V1226" s="47">
        <f>SUMIF(Data!$E:$E,$I1226,Data!$AI:$AI)</f>
        <v>0</v>
      </c>
    </row>
    <row r="1227" spans="1:22" x14ac:dyDescent="0.25">
      <c r="A1227" s="46" t="s">
        <v>8210</v>
      </c>
      <c r="B1227" s="46" t="s">
        <v>120</v>
      </c>
      <c r="C1227" s="46" t="s">
        <v>5189</v>
      </c>
      <c r="D1227" s="46">
        <v>0.15131755836168501</v>
      </c>
      <c r="E1227" s="47">
        <f>SUMIF(Data!$E:$E,$C1227,Data!$AI:$AI)</f>
        <v>0</v>
      </c>
      <c r="I1227" s="13" t="s">
        <v>8465</v>
      </c>
      <c r="J1227" s="13" t="s">
        <v>8466</v>
      </c>
      <c r="K1227" s="13" t="s">
        <v>137</v>
      </c>
      <c r="L1227" s="13" t="s">
        <v>8066</v>
      </c>
      <c r="M1227" s="13" t="s">
        <v>8467</v>
      </c>
      <c r="N1227" s="13" t="s">
        <v>8468</v>
      </c>
      <c r="O1227" s="13" t="s">
        <v>8469</v>
      </c>
      <c r="P1227" s="13" t="s">
        <v>8470</v>
      </c>
      <c r="Q1227" s="13" t="s">
        <v>224</v>
      </c>
      <c r="R1227" s="13" t="s">
        <v>8471</v>
      </c>
      <c r="S1227" s="13" t="s">
        <v>476</v>
      </c>
      <c r="T1227" s="13" t="s">
        <v>477</v>
      </c>
      <c r="U1227" s="13" t="s">
        <v>478</v>
      </c>
      <c r="V1227" s="47">
        <f>SUMIF(Data!$E:$E,$I1227,Data!$AI:$AI)</f>
        <v>0</v>
      </c>
    </row>
    <row r="1228" spans="1:22" x14ac:dyDescent="0.25">
      <c r="A1228" s="46" t="s">
        <v>8210</v>
      </c>
      <c r="B1228" s="46" t="s">
        <v>120</v>
      </c>
      <c r="C1228" s="46" t="s">
        <v>517</v>
      </c>
      <c r="D1228" s="46">
        <v>0.69581080964477404</v>
      </c>
      <c r="E1228" s="47">
        <f>SUMIF(Data!$E:$E,$C1228,Data!$AI:$AI)</f>
        <v>0</v>
      </c>
      <c r="I1228" s="13" t="s">
        <v>8472</v>
      </c>
      <c r="J1228" s="13" t="s">
        <v>8472</v>
      </c>
      <c r="K1228" s="13" t="s">
        <v>137</v>
      </c>
      <c r="L1228" s="13" t="s">
        <v>8066</v>
      </c>
      <c r="M1228" s="13" t="s">
        <v>8473</v>
      </c>
      <c r="N1228" s="13">
        <v>104.575</v>
      </c>
      <c r="O1228" s="13" t="s">
        <v>8474</v>
      </c>
      <c r="P1228" s="13" t="s">
        <v>8475</v>
      </c>
      <c r="Q1228" s="13" t="s">
        <v>208</v>
      </c>
      <c r="R1228" s="13" t="s">
        <v>8476</v>
      </c>
      <c r="S1228" s="13" t="s">
        <v>768</v>
      </c>
      <c r="T1228" s="13" t="s">
        <v>769</v>
      </c>
      <c r="U1228" s="13" t="s">
        <v>770</v>
      </c>
      <c r="V1228" s="47">
        <f>SUMIF(Data!$E:$E,$I1228,Data!$AI:$AI)</f>
        <v>0</v>
      </c>
    </row>
    <row r="1229" spans="1:22" x14ac:dyDescent="0.25">
      <c r="A1229" s="46" t="s">
        <v>8210</v>
      </c>
      <c r="B1229" s="46" t="s">
        <v>120</v>
      </c>
      <c r="C1229" s="46" t="s">
        <v>4890</v>
      </c>
      <c r="D1229" s="46">
        <v>3.1697528152846499</v>
      </c>
      <c r="E1229" s="47">
        <f>SUMIF(Data!$E:$E,$C1229,Data!$AI:$AI)</f>
        <v>0</v>
      </c>
      <c r="I1229" s="13">
        <v>2433</v>
      </c>
      <c r="J1229" s="13" t="s">
        <v>8477</v>
      </c>
      <c r="K1229" s="13" t="s">
        <v>137</v>
      </c>
      <c r="L1229" s="13" t="s">
        <v>8066</v>
      </c>
      <c r="M1229" s="13" t="s">
        <v>8478</v>
      </c>
      <c r="N1229" s="13">
        <v>204.1</v>
      </c>
      <c r="O1229" s="13" t="s">
        <v>8479</v>
      </c>
      <c r="P1229" s="13" t="s">
        <v>8480</v>
      </c>
      <c r="Q1229" s="13" t="s">
        <v>172</v>
      </c>
      <c r="R1229" s="13" t="s">
        <v>8481</v>
      </c>
      <c r="S1229" s="13" t="s">
        <v>441</v>
      </c>
      <c r="T1229" s="13" t="s">
        <v>442</v>
      </c>
      <c r="U1229" s="13" t="s">
        <v>443</v>
      </c>
      <c r="V1229" s="47">
        <f>SUMIF(Data!$E:$E,$I1229,Data!$AI:$AI)</f>
        <v>0</v>
      </c>
    </row>
    <row r="1230" spans="1:22" x14ac:dyDescent="0.25">
      <c r="A1230" s="46" t="s">
        <v>8210</v>
      </c>
      <c r="B1230" s="46" t="s">
        <v>120</v>
      </c>
      <c r="C1230" s="46" t="s">
        <v>4897</v>
      </c>
      <c r="D1230" s="46">
        <v>1.27508489920936</v>
      </c>
      <c r="E1230" s="47">
        <f>SUMIF(Data!$E:$E,$C1230,Data!$AI:$AI)</f>
        <v>0</v>
      </c>
      <c r="I1230" s="13" t="s">
        <v>8482</v>
      </c>
      <c r="J1230" s="13" t="s">
        <v>8483</v>
      </c>
      <c r="K1230" s="13" t="s">
        <v>137</v>
      </c>
      <c r="L1230" s="13" t="s">
        <v>8066</v>
      </c>
      <c r="M1230" s="13" t="s">
        <v>286</v>
      </c>
      <c r="N1230" s="13" t="s">
        <v>8484</v>
      </c>
      <c r="O1230" s="13" t="s">
        <v>8485</v>
      </c>
      <c r="P1230" s="13" t="s">
        <v>8486</v>
      </c>
      <c r="Q1230" s="13" t="s">
        <v>172</v>
      </c>
      <c r="R1230" s="13" t="s">
        <v>8487</v>
      </c>
      <c r="S1230" s="13" t="s">
        <v>1127</v>
      </c>
      <c r="T1230" s="13" t="s">
        <v>1128</v>
      </c>
      <c r="U1230" s="13" t="s">
        <v>525</v>
      </c>
      <c r="V1230" s="47">
        <f>SUMIF(Data!$E:$E,$I1230,Data!$AI:$AI)</f>
        <v>0</v>
      </c>
    </row>
    <row r="1231" spans="1:22" x14ac:dyDescent="0.25">
      <c r="A1231" s="46" t="s">
        <v>8210</v>
      </c>
      <c r="B1231" s="46" t="s">
        <v>120</v>
      </c>
      <c r="C1231" s="46" t="s">
        <v>4904</v>
      </c>
      <c r="D1231" s="46">
        <v>1.88460545060424</v>
      </c>
      <c r="E1231" s="47">
        <f>SUMIF(Data!$E:$E,$C1231,Data!$AI:$AI)</f>
        <v>0</v>
      </c>
      <c r="I1231" s="13">
        <v>8015</v>
      </c>
      <c r="J1231" s="13" t="s">
        <v>8488</v>
      </c>
      <c r="K1231" s="13" t="s">
        <v>137</v>
      </c>
      <c r="L1231" s="13" t="s">
        <v>8066</v>
      </c>
      <c r="M1231" s="13" t="s">
        <v>8489</v>
      </c>
      <c r="N1231" s="13">
        <v>93</v>
      </c>
      <c r="O1231" s="13" t="s">
        <v>8490</v>
      </c>
      <c r="P1231" s="13" t="s">
        <v>8491</v>
      </c>
      <c r="Q1231" s="13" t="s">
        <v>416</v>
      </c>
      <c r="R1231" s="13" t="s">
        <v>8492</v>
      </c>
      <c r="S1231" s="13" t="s">
        <v>441</v>
      </c>
      <c r="T1231" s="13" t="s">
        <v>442</v>
      </c>
      <c r="U1231" s="13" t="s">
        <v>443</v>
      </c>
      <c r="V1231" s="47">
        <f>SUMIF(Data!$E:$E,$I1231,Data!$AI:$AI)</f>
        <v>0</v>
      </c>
    </row>
    <row r="1232" spans="1:22" x14ac:dyDescent="0.25">
      <c r="A1232" s="46" t="s">
        <v>8210</v>
      </c>
      <c r="B1232" s="46" t="s">
        <v>120</v>
      </c>
      <c r="C1232" s="46" t="s">
        <v>5196</v>
      </c>
      <c r="D1232" s="46">
        <v>0.18736811603884701</v>
      </c>
      <c r="E1232" s="47">
        <f>SUMIF(Data!$E:$E,$C1232,Data!$AI:$AI)</f>
        <v>0</v>
      </c>
      <c r="I1232" s="13" t="s">
        <v>8493</v>
      </c>
      <c r="J1232" s="13" t="s">
        <v>8494</v>
      </c>
      <c r="K1232" s="13" t="s">
        <v>137</v>
      </c>
      <c r="L1232" s="13" t="s">
        <v>8066</v>
      </c>
      <c r="M1232" s="13" t="s">
        <v>8495</v>
      </c>
      <c r="N1232" s="13">
        <v>131.066</v>
      </c>
      <c r="O1232" s="13" t="s">
        <v>8496</v>
      </c>
      <c r="P1232" s="13" t="s">
        <v>8497</v>
      </c>
      <c r="Q1232" s="13" t="s">
        <v>260</v>
      </c>
      <c r="R1232" s="13" t="s">
        <v>8498</v>
      </c>
      <c r="S1232" s="13" t="s">
        <v>847</v>
      </c>
      <c r="T1232" s="13" t="s">
        <v>848</v>
      </c>
      <c r="U1232" s="13" t="s">
        <v>849</v>
      </c>
      <c r="V1232" s="47">
        <f>SUMIF(Data!$E:$E,$I1232,Data!$AI:$AI)</f>
        <v>0</v>
      </c>
    </row>
    <row r="1233" spans="1:22" x14ac:dyDescent="0.25">
      <c r="A1233" s="46" t="s">
        <v>8210</v>
      </c>
      <c r="B1233" s="46" t="s">
        <v>120</v>
      </c>
      <c r="C1233" s="46" t="s">
        <v>4481</v>
      </c>
      <c r="D1233" s="46">
        <v>4.2560567680835302</v>
      </c>
      <c r="E1233" s="47">
        <f>SUMIF(Data!$E:$E,$C1233,Data!$AI:$AI)</f>
        <v>0</v>
      </c>
      <c r="I1233" s="13">
        <v>6963</v>
      </c>
      <c r="J1233" s="13" t="s">
        <v>8499</v>
      </c>
      <c r="K1233" s="13" t="s">
        <v>137</v>
      </c>
      <c r="L1233" s="13" t="s">
        <v>8066</v>
      </c>
      <c r="M1233" s="13" t="s">
        <v>8500</v>
      </c>
      <c r="N1233" s="13">
        <v>39.75</v>
      </c>
      <c r="O1233" s="13" t="s">
        <v>8501</v>
      </c>
      <c r="P1233" s="13" t="s">
        <v>8502</v>
      </c>
      <c r="Q1233" s="13" t="s">
        <v>143</v>
      </c>
      <c r="R1233" s="13" t="s">
        <v>8503</v>
      </c>
      <c r="S1233" s="13" t="s">
        <v>441</v>
      </c>
      <c r="T1233" s="13" t="s">
        <v>442</v>
      </c>
      <c r="U1233" s="13" t="s">
        <v>443</v>
      </c>
      <c r="V1233" s="47">
        <f>SUMIF(Data!$E:$E,$I1233,Data!$AI:$AI)</f>
        <v>0</v>
      </c>
    </row>
    <row r="1234" spans="1:22" x14ac:dyDescent="0.25">
      <c r="A1234" s="46" t="s">
        <v>8210</v>
      </c>
      <c r="B1234" s="46" t="s">
        <v>120</v>
      </c>
      <c r="C1234" s="46" t="s">
        <v>1783</v>
      </c>
      <c r="D1234" s="46">
        <v>0.20668318450223</v>
      </c>
      <c r="E1234" s="47">
        <f>SUMIF(Data!$E:$E,$C1234,Data!$AI:$AI)</f>
        <v>0</v>
      </c>
      <c r="I1234" s="13" t="s">
        <v>8504</v>
      </c>
      <c r="J1234" s="13" t="s">
        <v>8505</v>
      </c>
      <c r="K1234" s="13" t="s">
        <v>137</v>
      </c>
      <c r="L1234" s="13" t="s">
        <v>8066</v>
      </c>
      <c r="M1234" s="13" t="s">
        <v>8506</v>
      </c>
      <c r="N1234" s="13">
        <v>67.534000000000006</v>
      </c>
      <c r="O1234" s="13" t="s">
        <v>8507</v>
      </c>
      <c r="P1234" s="13" t="s">
        <v>8508</v>
      </c>
      <c r="Q1234" s="13" t="s">
        <v>172</v>
      </c>
      <c r="R1234" s="13" t="s">
        <v>8509</v>
      </c>
      <c r="S1234" s="13" t="s">
        <v>145</v>
      </c>
      <c r="T1234" s="13" t="s">
        <v>146</v>
      </c>
      <c r="U1234" s="13" t="s">
        <v>110</v>
      </c>
      <c r="V1234" s="47">
        <f>SUMIF(Data!$E:$E,$I1234,Data!$AI:$AI)</f>
        <v>0</v>
      </c>
    </row>
    <row r="1235" spans="1:22" x14ac:dyDescent="0.25">
      <c r="A1235" s="46" t="s">
        <v>8210</v>
      </c>
      <c r="B1235" s="46" t="s">
        <v>120</v>
      </c>
      <c r="C1235" s="46" t="s">
        <v>4916</v>
      </c>
      <c r="D1235" s="46">
        <v>0.50505329107668295</v>
      </c>
      <c r="E1235" s="47">
        <f>SUMIF(Data!$E:$E,$C1235,Data!$AI:$AI)</f>
        <v>0</v>
      </c>
      <c r="I1235" s="13" t="s">
        <v>8510</v>
      </c>
      <c r="J1235" s="13" t="s">
        <v>8511</v>
      </c>
      <c r="K1235" s="13" t="s">
        <v>137</v>
      </c>
      <c r="L1235" s="13" t="s">
        <v>8066</v>
      </c>
      <c r="M1235" s="13" t="s">
        <v>5368</v>
      </c>
      <c r="N1235" s="13">
        <v>92.56</v>
      </c>
      <c r="O1235" s="13" t="s">
        <v>8512</v>
      </c>
      <c r="P1235" s="13" t="s">
        <v>8513</v>
      </c>
      <c r="Q1235" s="13" t="s">
        <v>172</v>
      </c>
      <c r="R1235" s="13" t="s">
        <v>8514</v>
      </c>
      <c r="S1235" s="13" t="s">
        <v>523</v>
      </c>
      <c r="T1235" s="13" t="s">
        <v>524</v>
      </c>
      <c r="U1235" s="13" t="s">
        <v>525</v>
      </c>
      <c r="V1235" s="47">
        <f>SUMIF(Data!$E:$E,$I1235,Data!$AI:$AI)</f>
        <v>0</v>
      </c>
    </row>
    <row r="1236" spans="1:22" x14ac:dyDescent="0.25">
      <c r="A1236" s="46" t="s">
        <v>8210</v>
      </c>
      <c r="B1236" s="46" t="s">
        <v>120</v>
      </c>
      <c r="C1236" s="46" t="s">
        <v>4923</v>
      </c>
      <c r="D1236" s="46">
        <v>0.62721867772606299</v>
      </c>
      <c r="E1236" s="47">
        <f>SUMIF(Data!$E:$E,$C1236,Data!$AI:$AI)</f>
        <v>0</v>
      </c>
      <c r="I1236" s="13" t="s">
        <v>8515</v>
      </c>
      <c r="J1236" s="13" t="s">
        <v>8516</v>
      </c>
      <c r="K1236" s="13" t="s">
        <v>137</v>
      </c>
      <c r="L1236" s="13" t="s">
        <v>8066</v>
      </c>
      <c r="M1236" s="13" t="s">
        <v>8517</v>
      </c>
      <c r="N1236" s="13">
        <v>73.962000000000003</v>
      </c>
      <c r="O1236" s="13" t="s">
        <v>8518</v>
      </c>
      <c r="P1236" s="13" t="s">
        <v>8519</v>
      </c>
      <c r="Q1236" s="13" t="s">
        <v>734</v>
      </c>
      <c r="R1236" s="13" t="s">
        <v>8520</v>
      </c>
      <c r="S1236" s="13" t="s">
        <v>725</v>
      </c>
      <c r="T1236" s="13" t="s">
        <v>726</v>
      </c>
      <c r="U1236" s="13" t="s">
        <v>727</v>
      </c>
      <c r="V1236" s="47">
        <f>SUMIF(Data!$E:$E,$I1236,Data!$AI:$AI)</f>
        <v>0</v>
      </c>
    </row>
    <row r="1237" spans="1:22" x14ac:dyDescent="0.25">
      <c r="A1237" s="46" t="s">
        <v>8210</v>
      </c>
      <c r="B1237" s="46" t="s">
        <v>120</v>
      </c>
      <c r="C1237" s="46" t="s">
        <v>5218</v>
      </c>
      <c r="D1237" s="46">
        <v>0.23355720896294599</v>
      </c>
      <c r="E1237" s="47">
        <f>SUMIF(Data!$E:$E,$C1237,Data!$AI:$AI)</f>
        <v>0</v>
      </c>
      <c r="I1237" s="13" t="s">
        <v>8521</v>
      </c>
      <c r="J1237" s="13" t="s">
        <v>8522</v>
      </c>
      <c r="K1237" s="13" t="s">
        <v>137</v>
      </c>
      <c r="L1237" s="13" t="s">
        <v>8066</v>
      </c>
      <c r="M1237" s="13" t="s">
        <v>8523</v>
      </c>
      <c r="N1237" s="13">
        <v>29.402000000000001</v>
      </c>
      <c r="O1237" s="13" t="s">
        <v>8524</v>
      </c>
      <c r="P1237" s="13" t="s">
        <v>8525</v>
      </c>
      <c r="Q1237" s="13" t="s">
        <v>416</v>
      </c>
      <c r="R1237" s="13" t="s">
        <v>8526</v>
      </c>
      <c r="S1237" s="13" t="s">
        <v>145</v>
      </c>
      <c r="T1237" s="13" t="s">
        <v>146</v>
      </c>
      <c r="U1237" s="13" t="s">
        <v>110</v>
      </c>
      <c r="V1237" s="47">
        <f>SUMIF(Data!$E:$E,$I1237,Data!$AI:$AI)</f>
        <v>0</v>
      </c>
    </row>
    <row r="1238" spans="1:22" x14ac:dyDescent="0.25">
      <c r="A1238" s="46" t="s">
        <v>8210</v>
      </c>
      <c r="B1238" s="46" t="s">
        <v>120</v>
      </c>
      <c r="C1238" s="46" t="s">
        <v>5225</v>
      </c>
      <c r="D1238" s="46">
        <v>9.5906245797004006E-2</v>
      </c>
      <c r="E1238" s="47">
        <f>SUMIF(Data!$E:$E,$C1238,Data!$AI:$AI)</f>
        <v>0</v>
      </c>
      <c r="I1238" s="13" t="s">
        <v>8527</v>
      </c>
      <c r="J1238" s="13" t="s">
        <v>8528</v>
      </c>
      <c r="K1238" s="13" t="s">
        <v>137</v>
      </c>
      <c r="L1238" s="13" t="s">
        <v>8066</v>
      </c>
      <c r="M1238" s="13" t="s">
        <v>8529</v>
      </c>
      <c r="N1238" s="13" t="s">
        <v>8530</v>
      </c>
      <c r="O1238" s="13" t="s">
        <v>8531</v>
      </c>
      <c r="P1238" s="13" t="s">
        <v>8532</v>
      </c>
      <c r="Q1238" s="13" t="s">
        <v>190</v>
      </c>
      <c r="R1238" s="13" t="s">
        <v>8533</v>
      </c>
      <c r="S1238" s="13" t="s">
        <v>847</v>
      </c>
      <c r="T1238" s="13" t="s">
        <v>848</v>
      </c>
      <c r="U1238" s="13" t="s">
        <v>849</v>
      </c>
      <c r="V1238" s="47">
        <f>SUMIF(Data!$E:$E,$I1238,Data!$AI:$AI)</f>
        <v>0</v>
      </c>
    </row>
    <row r="1239" spans="1:22" x14ac:dyDescent="0.25">
      <c r="A1239" s="46" t="s">
        <v>8210</v>
      </c>
      <c r="B1239" s="46" t="s">
        <v>120</v>
      </c>
      <c r="C1239" s="46" t="s">
        <v>3898</v>
      </c>
      <c r="D1239" s="46">
        <v>0.53640590131028998</v>
      </c>
      <c r="E1239" s="47">
        <f>SUMIF(Data!$E:$E,$C1239,Data!$AI:$AI)</f>
        <v>0</v>
      </c>
      <c r="I1239" s="13" t="s">
        <v>8534</v>
      </c>
      <c r="J1239" s="13" t="s">
        <v>8535</v>
      </c>
      <c r="K1239" s="13" t="s">
        <v>137</v>
      </c>
      <c r="L1239" s="13" t="s">
        <v>8066</v>
      </c>
      <c r="M1239" s="13" t="s">
        <v>8536</v>
      </c>
      <c r="N1239" s="13">
        <v>328.858</v>
      </c>
      <c r="O1239" s="13" t="s">
        <v>8537</v>
      </c>
      <c r="P1239" s="13" t="s">
        <v>8538</v>
      </c>
      <c r="Q1239" s="13" t="s">
        <v>734</v>
      </c>
      <c r="R1239" s="13" t="s">
        <v>8539</v>
      </c>
      <c r="S1239" s="13" t="s">
        <v>725</v>
      </c>
      <c r="T1239" s="13" t="s">
        <v>726</v>
      </c>
      <c r="U1239" s="13" t="s">
        <v>727</v>
      </c>
      <c r="V1239" s="47">
        <f>SUMIF(Data!$E:$E,$I1239,Data!$AI:$AI)</f>
        <v>0</v>
      </c>
    </row>
    <row r="1240" spans="1:22" x14ac:dyDescent="0.25">
      <c r="A1240" s="46" t="s">
        <v>8210</v>
      </c>
      <c r="B1240" s="46" t="s">
        <v>120</v>
      </c>
      <c r="C1240" s="46" t="s">
        <v>5238</v>
      </c>
      <c r="D1240" s="46">
        <v>0.23138599662426099</v>
      </c>
      <c r="E1240" s="47">
        <f>SUMIF(Data!$E:$E,$C1240,Data!$AI:$AI)</f>
        <v>0</v>
      </c>
      <c r="I1240" s="13" t="s">
        <v>8540</v>
      </c>
      <c r="J1240" s="13" t="s">
        <v>8541</v>
      </c>
      <c r="K1240" s="13" t="s">
        <v>137</v>
      </c>
      <c r="L1240" s="13" t="s">
        <v>8066</v>
      </c>
      <c r="M1240" s="13" t="s">
        <v>8542</v>
      </c>
      <c r="N1240" s="13">
        <v>88.718999999999994</v>
      </c>
      <c r="O1240" s="13" t="s">
        <v>8543</v>
      </c>
      <c r="P1240" s="13" t="s">
        <v>8544</v>
      </c>
      <c r="Q1240" s="13" t="s">
        <v>162</v>
      </c>
      <c r="R1240" s="13" t="s">
        <v>8545</v>
      </c>
      <c r="S1240" s="13" t="s">
        <v>192</v>
      </c>
      <c r="T1240" s="13" t="s">
        <v>146</v>
      </c>
      <c r="U1240" s="13" t="s">
        <v>110</v>
      </c>
      <c r="V1240" s="47">
        <f>SUMIF(Data!$E:$E,$I1240,Data!$AI:$AI)</f>
        <v>0</v>
      </c>
    </row>
    <row r="1241" spans="1:22" x14ac:dyDescent="0.25">
      <c r="A1241" s="46" t="s">
        <v>8210</v>
      </c>
      <c r="B1241" s="46" t="s">
        <v>120</v>
      </c>
      <c r="C1241" s="46" t="s">
        <v>4935</v>
      </c>
      <c r="D1241" s="46">
        <v>0.71495546147242195</v>
      </c>
      <c r="E1241" s="47">
        <f>SUMIF(Data!$E:$E,$C1241,Data!$AI:$AI)</f>
        <v>0</v>
      </c>
      <c r="I1241" s="13" t="s">
        <v>8546</v>
      </c>
      <c r="J1241" s="13" t="s">
        <v>8547</v>
      </c>
      <c r="K1241" s="13" t="s">
        <v>137</v>
      </c>
      <c r="L1241" s="13" t="s">
        <v>8066</v>
      </c>
      <c r="M1241" s="13" t="s">
        <v>8548</v>
      </c>
      <c r="N1241" s="13">
        <v>297.21800000000002</v>
      </c>
      <c r="O1241" s="13" t="s">
        <v>8549</v>
      </c>
      <c r="P1241" s="13" t="s">
        <v>8550</v>
      </c>
      <c r="Q1241" s="13" t="s">
        <v>734</v>
      </c>
      <c r="R1241" s="13" t="s">
        <v>8551</v>
      </c>
      <c r="S1241" s="13" t="s">
        <v>847</v>
      </c>
      <c r="T1241" s="13" t="s">
        <v>848</v>
      </c>
      <c r="U1241" s="13" t="s">
        <v>849</v>
      </c>
      <c r="V1241" s="47">
        <f>SUMIF(Data!$E:$E,$I1241,Data!$AI:$AI)</f>
        <v>0</v>
      </c>
    </row>
    <row r="1242" spans="1:22" x14ac:dyDescent="0.25">
      <c r="A1242" s="46" t="s">
        <v>8210</v>
      </c>
      <c r="B1242" s="46" t="s">
        <v>120</v>
      </c>
      <c r="C1242" s="46" t="s">
        <v>5245</v>
      </c>
      <c r="D1242" s="46">
        <v>9.4407887894034995E-2</v>
      </c>
      <c r="E1242" s="47">
        <f>SUMIF(Data!$E:$E,$C1242,Data!$AI:$AI)</f>
        <v>0</v>
      </c>
      <c r="I1242" s="13" t="s">
        <v>8552</v>
      </c>
      <c r="J1242" s="13" t="s">
        <v>8553</v>
      </c>
      <c r="K1242" s="13" t="s">
        <v>137</v>
      </c>
      <c r="L1242" s="13" t="s">
        <v>8066</v>
      </c>
      <c r="M1242" s="13" t="s">
        <v>8554</v>
      </c>
      <c r="N1242" s="13">
        <v>75.477999999999994</v>
      </c>
      <c r="O1242" s="13" t="s">
        <v>8555</v>
      </c>
      <c r="P1242" s="13" t="s">
        <v>8556</v>
      </c>
      <c r="Q1242" s="13" t="s">
        <v>190</v>
      </c>
      <c r="R1242" s="13" t="s">
        <v>8557</v>
      </c>
      <c r="S1242" s="13" t="s">
        <v>560</v>
      </c>
      <c r="T1242" s="13" t="s">
        <v>561</v>
      </c>
      <c r="U1242" s="13" t="s">
        <v>525</v>
      </c>
      <c r="V1242" s="47">
        <f>SUMIF(Data!$E:$E,$I1242,Data!$AI:$AI)</f>
        <v>0</v>
      </c>
    </row>
    <row r="1243" spans="1:22" x14ac:dyDescent="0.25">
      <c r="A1243" s="46" t="s">
        <v>8210</v>
      </c>
      <c r="B1243" s="46" t="s">
        <v>120</v>
      </c>
      <c r="C1243" s="46" t="s">
        <v>4006</v>
      </c>
      <c r="D1243" s="46">
        <v>0.18259170316044901</v>
      </c>
      <c r="E1243" s="47">
        <f>SUMIF(Data!$E:$E,$C1243,Data!$AI:$AI)</f>
        <v>0</v>
      </c>
      <c r="I1243" s="13" t="s">
        <v>8558</v>
      </c>
      <c r="J1243" s="13" t="s">
        <v>8559</v>
      </c>
      <c r="K1243" s="13" t="s">
        <v>137</v>
      </c>
      <c r="L1243" s="13" t="s">
        <v>8066</v>
      </c>
      <c r="M1243" s="13" t="s">
        <v>8560</v>
      </c>
      <c r="N1243" s="13">
        <v>226.22300000000001</v>
      </c>
      <c r="O1243" s="13" t="s">
        <v>8561</v>
      </c>
      <c r="P1243" s="13" t="s">
        <v>8562</v>
      </c>
      <c r="Q1243" s="13" t="s">
        <v>172</v>
      </c>
      <c r="R1243" s="13" t="s">
        <v>8563</v>
      </c>
      <c r="S1243" s="13" t="s">
        <v>560</v>
      </c>
      <c r="T1243" s="13" t="s">
        <v>561</v>
      </c>
      <c r="U1243" s="13" t="s">
        <v>525</v>
      </c>
      <c r="V1243" s="47">
        <f>SUMIF(Data!$E:$E,$I1243,Data!$AI:$AI)</f>
        <v>0</v>
      </c>
    </row>
    <row r="1244" spans="1:22" x14ac:dyDescent="0.25">
      <c r="A1244" s="46" t="s">
        <v>8210</v>
      </c>
      <c r="B1244" s="46" t="s">
        <v>120</v>
      </c>
      <c r="C1244" s="46" t="s">
        <v>4595</v>
      </c>
      <c r="D1244" s="46">
        <v>0.16993656639639401</v>
      </c>
      <c r="E1244" s="47">
        <f>SUMIF(Data!$E:$E,$C1244,Data!$AI:$AI)</f>
        <v>0</v>
      </c>
      <c r="I1244" s="13" t="s">
        <v>8564</v>
      </c>
      <c r="J1244" s="13" t="s">
        <v>8565</v>
      </c>
      <c r="K1244" s="13" t="s">
        <v>137</v>
      </c>
      <c r="L1244" s="13" t="s">
        <v>8066</v>
      </c>
      <c r="M1244" s="13" t="s">
        <v>6663</v>
      </c>
      <c r="N1244" s="13" t="s">
        <v>8566</v>
      </c>
      <c r="O1244" s="13" t="s">
        <v>8567</v>
      </c>
      <c r="P1244" s="13" t="s">
        <v>8568</v>
      </c>
      <c r="Q1244" s="13" t="s">
        <v>694</v>
      </c>
      <c r="R1244" s="13" t="s">
        <v>8569</v>
      </c>
      <c r="S1244" s="13" t="s">
        <v>476</v>
      </c>
      <c r="T1244" s="13" t="s">
        <v>477</v>
      </c>
      <c r="U1244" s="13" t="s">
        <v>478</v>
      </c>
      <c r="V1244" s="47">
        <f>SUMIF(Data!$E:$E,$I1244,Data!$AI:$AI)</f>
        <v>0</v>
      </c>
    </row>
    <row r="1245" spans="1:22" x14ac:dyDescent="0.25">
      <c r="A1245" s="46" t="s">
        <v>8210</v>
      </c>
      <c r="B1245" s="46" t="s">
        <v>120</v>
      </c>
      <c r="C1245" s="46" t="s">
        <v>1939</v>
      </c>
      <c r="D1245" s="46">
        <v>8.20317687278542</v>
      </c>
      <c r="E1245" s="47">
        <f>SUMIF(Data!$E:$E,$C1245,Data!$AI:$AI)</f>
        <v>0</v>
      </c>
      <c r="I1245" s="13" t="s">
        <v>8570</v>
      </c>
      <c r="J1245" s="13" t="s">
        <v>8571</v>
      </c>
      <c r="K1245" s="13" t="s">
        <v>137</v>
      </c>
      <c r="L1245" s="13" t="s">
        <v>8066</v>
      </c>
      <c r="M1245" s="13" t="s">
        <v>8572</v>
      </c>
      <c r="N1245" s="13">
        <v>97.387</v>
      </c>
      <c r="O1245" s="13" t="s">
        <v>8573</v>
      </c>
      <c r="P1245" s="13" t="s">
        <v>8574</v>
      </c>
      <c r="Q1245" s="13" t="s">
        <v>416</v>
      </c>
      <c r="R1245" s="13" t="s">
        <v>8575</v>
      </c>
      <c r="S1245" s="13" t="s">
        <v>523</v>
      </c>
      <c r="T1245" s="13" t="s">
        <v>524</v>
      </c>
      <c r="U1245" s="13" t="s">
        <v>525</v>
      </c>
      <c r="V1245" s="47">
        <f>SUMIF(Data!$E:$E,$I1245,Data!$AI:$AI)</f>
        <v>0</v>
      </c>
    </row>
    <row r="1246" spans="1:22" x14ac:dyDescent="0.25">
      <c r="A1246" s="46" t="s">
        <v>8210</v>
      </c>
      <c r="B1246" s="46" t="s">
        <v>120</v>
      </c>
      <c r="C1246" s="46" t="s">
        <v>4948</v>
      </c>
      <c r="D1246" s="46">
        <v>2.4428500053614299</v>
      </c>
      <c r="E1246" s="47">
        <f>SUMIF(Data!$E:$E,$C1246,Data!$AI:$AI)</f>
        <v>0</v>
      </c>
      <c r="I1246" s="13">
        <v>4204</v>
      </c>
      <c r="J1246" s="13" t="s">
        <v>8576</v>
      </c>
      <c r="K1246" s="13" t="s">
        <v>137</v>
      </c>
      <c r="L1246" s="13" t="s">
        <v>8066</v>
      </c>
      <c r="M1246" s="13" t="s">
        <v>1345</v>
      </c>
      <c r="N1246" s="13">
        <v>184.22399999999999</v>
      </c>
      <c r="O1246" s="13" t="s">
        <v>8577</v>
      </c>
      <c r="P1246" s="13" t="s">
        <v>8578</v>
      </c>
      <c r="Q1246" s="13" t="s">
        <v>162</v>
      </c>
      <c r="R1246" s="13" t="s">
        <v>8579</v>
      </c>
      <c r="S1246" s="13" t="s">
        <v>441</v>
      </c>
      <c r="T1246" s="13" t="s">
        <v>442</v>
      </c>
      <c r="U1246" s="13" t="s">
        <v>443</v>
      </c>
      <c r="V1246" s="47">
        <f>SUMIF(Data!$E:$E,$I1246,Data!$AI:$AI)</f>
        <v>0</v>
      </c>
    </row>
    <row r="1247" spans="1:22" x14ac:dyDescent="0.25">
      <c r="A1247" s="46" t="s">
        <v>8210</v>
      </c>
      <c r="B1247" s="46" t="s">
        <v>120</v>
      </c>
      <c r="C1247" s="46" t="s">
        <v>1466</v>
      </c>
      <c r="D1247" s="46">
        <v>1.0949144085673901</v>
      </c>
      <c r="E1247" s="47">
        <f>SUMIF(Data!$E:$E,$C1247,Data!$AI:$AI)</f>
        <v>0</v>
      </c>
      <c r="I1247" s="13" t="s">
        <v>8580</v>
      </c>
      <c r="J1247" s="13" t="s">
        <v>8581</v>
      </c>
      <c r="K1247" s="13" t="s">
        <v>137</v>
      </c>
      <c r="L1247" s="13" t="s">
        <v>8066</v>
      </c>
      <c r="M1247" s="13" t="s">
        <v>8582</v>
      </c>
      <c r="N1247" s="13">
        <v>285.791</v>
      </c>
      <c r="O1247" s="13" t="s">
        <v>8583</v>
      </c>
      <c r="P1247" s="13" t="s">
        <v>8584</v>
      </c>
      <c r="Q1247" s="13" t="s">
        <v>416</v>
      </c>
      <c r="R1247" s="13" t="s">
        <v>8585</v>
      </c>
      <c r="S1247" s="13" t="s">
        <v>3139</v>
      </c>
      <c r="T1247" s="13" t="s">
        <v>3140</v>
      </c>
      <c r="U1247" s="13" t="s">
        <v>525</v>
      </c>
      <c r="V1247" s="47">
        <f>SUMIF(Data!$E:$E,$I1247,Data!$AI:$AI)</f>
        <v>0</v>
      </c>
    </row>
    <row r="1248" spans="1:22" x14ac:dyDescent="0.25">
      <c r="A1248" s="46" t="s">
        <v>8210</v>
      </c>
      <c r="B1248" s="46" t="s">
        <v>120</v>
      </c>
      <c r="C1248" s="46" t="s">
        <v>4961</v>
      </c>
      <c r="D1248" s="46">
        <v>0.59298435568697005</v>
      </c>
      <c r="E1248" s="47">
        <f>SUMIF(Data!$E:$E,$C1248,Data!$AI:$AI)</f>
        <v>0</v>
      </c>
      <c r="I1248" s="13" t="s">
        <v>8586</v>
      </c>
      <c r="J1248" s="13" t="s">
        <v>8587</v>
      </c>
      <c r="K1248" s="13" t="s">
        <v>137</v>
      </c>
      <c r="L1248" s="13" t="s">
        <v>8066</v>
      </c>
      <c r="M1248" s="13" t="s">
        <v>8588</v>
      </c>
      <c r="N1248" s="13">
        <v>19.169</v>
      </c>
      <c r="O1248" s="13" t="s">
        <v>8589</v>
      </c>
      <c r="P1248" s="13" t="s">
        <v>8590</v>
      </c>
      <c r="Q1248" s="13" t="s">
        <v>208</v>
      </c>
      <c r="R1248" s="13" t="s">
        <v>8591</v>
      </c>
      <c r="S1248" s="13" t="s">
        <v>145</v>
      </c>
      <c r="T1248" s="13" t="s">
        <v>550</v>
      </c>
      <c r="U1248" s="13" t="s">
        <v>110</v>
      </c>
      <c r="V1248" s="47">
        <f>SUMIF(Data!$E:$E,$I1248,Data!$AI:$AI)</f>
        <v>0</v>
      </c>
    </row>
    <row r="1249" spans="1:22" x14ac:dyDescent="0.25">
      <c r="A1249" s="46" t="s">
        <v>8210</v>
      </c>
      <c r="B1249" s="46" t="s">
        <v>120</v>
      </c>
      <c r="C1249" s="46" t="s">
        <v>5268</v>
      </c>
      <c r="D1249" s="46">
        <v>8.6488976341125998E-2</v>
      </c>
      <c r="E1249" s="47">
        <f>SUMIF(Data!$E:$E,$C1249,Data!$AI:$AI)</f>
        <v>0</v>
      </c>
      <c r="I1249" s="13" t="s">
        <v>8592</v>
      </c>
      <c r="J1249" s="13" t="s">
        <v>8593</v>
      </c>
      <c r="K1249" s="13" t="s">
        <v>137</v>
      </c>
      <c r="L1249" s="13" t="s">
        <v>8066</v>
      </c>
      <c r="M1249" s="13" t="s">
        <v>8594</v>
      </c>
      <c r="N1249" s="13">
        <v>972.63599999999997</v>
      </c>
      <c r="O1249" s="13" t="s">
        <v>8595</v>
      </c>
      <c r="P1249" s="13" t="s">
        <v>8596</v>
      </c>
      <c r="Q1249" s="13" t="s">
        <v>162</v>
      </c>
      <c r="R1249" s="13" t="s">
        <v>8597</v>
      </c>
      <c r="S1249" s="13" t="s">
        <v>847</v>
      </c>
      <c r="T1249" s="13" t="s">
        <v>848</v>
      </c>
      <c r="U1249" s="13" t="s">
        <v>849</v>
      </c>
      <c r="V1249" s="47">
        <f>SUMIF(Data!$E:$E,$I1249,Data!$AI:$AI)</f>
        <v>0</v>
      </c>
    </row>
    <row r="1250" spans="1:22" x14ac:dyDescent="0.25">
      <c r="A1250" s="46" t="s">
        <v>8210</v>
      </c>
      <c r="B1250" s="46" t="s">
        <v>120</v>
      </c>
      <c r="C1250" s="46" t="s">
        <v>5274</v>
      </c>
      <c r="D1250" s="46">
        <v>0.276222252568255</v>
      </c>
      <c r="E1250" s="47">
        <f>SUMIF(Data!$E:$E,$C1250,Data!$AI:$AI)</f>
        <v>0</v>
      </c>
      <c r="I1250" s="13">
        <v>9501</v>
      </c>
      <c r="J1250" s="13" t="s">
        <v>8598</v>
      </c>
      <c r="K1250" s="13" t="s">
        <v>137</v>
      </c>
      <c r="L1250" s="13" t="s">
        <v>8066</v>
      </c>
      <c r="M1250" s="13" t="s">
        <v>8599</v>
      </c>
      <c r="N1250" s="13">
        <v>771.1</v>
      </c>
      <c r="O1250" s="13" t="s">
        <v>8600</v>
      </c>
      <c r="P1250" s="13" t="s">
        <v>8601</v>
      </c>
      <c r="Q1250" s="13" t="s">
        <v>694</v>
      </c>
      <c r="R1250" s="13" t="s">
        <v>8602</v>
      </c>
      <c r="S1250" s="13" t="s">
        <v>441</v>
      </c>
      <c r="T1250" s="13" t="s">
        <v>442</v>
      </c>
      <c r="U1250" s="13" t="s">
        <v>443</v>
      </c>
      <c r="V1250" s="47">
        <f>SUMIF(Data!$E:$E,$I1250,Data!$AI:$AI)</f>
        <v>0</v>
      </c>
    </row>
    <row r="1251" spans="1:22" x14ac:dyDescent="0.25">
      <c r="A1251" s="46" t="s">
        <v>8210</v>
      </c>
      <c r="B1251" s="46" t="s">
        <v>120</v>
      </c>
      <c r="C1251" s="46" t="s">
        <v>5281</v>
      </c>
      <c r="D1251" s="46">
        <v>0.25010805366759897</v>
      </c>
      <c r="E1251" s="47">
        <f>SUMIF(Data!$E:$E,$C1251,Data!$AI:$AI)</f>
        <v>0</v>
      </c>
      <c r="I1251" s="13" t="s">
        <v>8603</v>
      </c>
      <c r="J1251" s="13" t="s">
        <v>8604</v>
      </c>
      <c r="K1251" s="13" t="s">
        <v>137</v>
      </c>
      <c r="L1251" s="13" t="s">
        <v>8066</v>
      </c>
      <c r="M1251" s="13" t="s">
        <v>8605</v>
      </c>
      <c r="N1251" s="13">
        <v>109.761</v>
      </c>
      <c r="O1251" s="13" t="s">
        <v>8606</v>
      </c>
      <c r="P1251" s="13" t="s">
        <v>8607</v>
      </c>
      <c r="Q1251" s="13" t="s">
        <v>162</v>
      </c>
      <c r="R1251" s="13" t="s">
        <v>8608</v>
      </c>
      <c r="S1251" s="13" t="s">
        <v>725</v>
      </c>
      <c r="T1251" s="13" t="s">
        <v>726</v>
      </c>
      <c r="U1251" s="13" t="s">
        <v>727</v>
      </c>
      <c r="V1251" s="47">
        <f>SUMIF(Data!$E:$E,$I1251,Data!$AI:$AI)</f>
        <v>0</v>
      </c>
    </row>
    <row r="1252" spans="1:22" x14ac:dyDescent="0.25">
      <c r="A1252" s="46" t="s">
        <v>8210</v>
      </c>
      <c r="B1252" s="46" t="s">
        <v>120</v>
      </c>
      <c r="C1252" s="46" t="s">
        <v>4968</v>
      </c>
      <c r="D1252" s="46">
        <v>0.50983470827784405</v>
      </c>
      <c r="E1252" s="47">
        <f>SUMIF(Data!$E:$E,$C1252,Data!$AI:$AI)</f>
        <v>0</v>
      </c>
      <c r="I1252" s="13">
        <v>5019</v>
      </c>
      <c r="J1252" s="13" t="s">
        <v>8609</v>
      </c>
      <c r="K1252" s="13" t="s">
        <v>137</v>
      </c>
      <c r="L1252" s="13" t="s">
        <v>8066</v>
      </c>
      <c r="M1252" s="13" t="s">
        <v>8610</v>
      </c>
      <c r="N1252" s="13">
        <v>112.514</v>
      </c>
      <c r="O1252" s="13" t="s">
        <v>8611</v>
      </c>
      <c r="P1252" s="13" t="s">
        <v>8612</v>
      </c>
      <c r="Q1252" s="13" t="s">
        <v>260</v>
      </c>
      <c r="R1252" s="13" t="s">
        <v>8613</v>
      </c>
      <c r="S1252" s="13" t="s">
        <v>441</v>
      </c>
      <c r="T1252" s="13" t="s">
        <v>442</v>
      </c>
      <c r="U1252" s="13" t="s">
        <v>443</v>
      </c>
      <c r="V1252" s="47">
        <f>SUMIF(Data!$E:$E,$I1252,Data!$AI:$AI)</f>
        <v>0</v>
      </c>
    </row>
    <row r="1253" spans="1:22" x14ac:dyDescent="0.25">
      <c r="A1253" s="46" t="s">
        <v>8210</v>
      </c>
      <c r="B1253" s="46" t="s">
        <v>120</v>
      </c>
      <c r="C1253" s="46" t="s">
        <v>4975</v>
      </c>
      <c r="D1253" s="46">
        <v>0.58846165735995903</v>
      </c>
      <c r="E1253" s="47">
        <f>SUMIF(Data!$E:$E,$C1253,Data!$AI:$AI)</f>
        <v>0</v>
      </c>
      <c r="I1253" s="13" t="s">
        <v>8614</v>
      </c>
      <c r="J1253" s="13" t="s">
        <v>8615</v>
      </c>
      <c r="K1253" s="13" t="s">
        <v>137</v>
      </c>
      <c r="L1253" s="13" t="s">
        <v>8066</v>
      </c>
      <c r="M1253" s="13" t="s">
        <v>6394</v>
      </c>
      <c r="N1253" s="13">
        <v>129.494</v>
      </c>
      <c r="O1253" s="13" t="s">
        <v>8616</v>
      </c>
      <c r="P1253" s="13" t="s">
        <v>8617</v>
      </c>
      <c r="Q1253" s="13" t="s">
        <v>416</v>
      </c>
      <c r="R1253" s="13" t="s">
        <v>8618</v>
      </c>
      <c r="S1253" s="13" t="s">
        <v>1127</v>
      </c>
      <c r="T1253" s="13" t="s">
        <v>1128</v>
      </c>
      <c r="U1253" s="13" t="s">
        <v>525</v>
      </c>
      <c r="V1253" s="47">
        <f>SUMIF(Data!$E:$E,$I1253,Data!$AI:$AI)</f>
        <v>0</v>
      </c>
    </row>
    <row r="1254" spans="1:22" x14ac:dyDescent="0.25">
      <c r="A1254" s="46" t="s">
        <v>8210</v>
      </c>
      <c r="B1254" s="46" t="s">
        <v>120</v>
      </c>
      <c r="C1254" s="46" t="s">
        <v>5299</v>
      </c>
      <c r="D1254" s="46">
        <v>0.26993294681539798</v>
      </c>
      <c r="E1254" s="47">
        <f>SUMIF(Data!$E:$E,$C1254,Data!$AI:$AI)</f>
        <v>0</v>
      </c>
      <c r="I1254" s="13" t="s">
        <v>1302</v>
      </c>
      <c r="J1254" s="13" t="s">
        <v>8619</v>
      </c>
      <c r="K1254" s="13" t="s">
        <v>137</v>
      </c>
      <c r="L1254" s="13" t="s">
        <v>8066</v>
      </c>
      <c r="M1254" s="13" t="s">
        <v>8620</v>
      </c>
      <c r="N1254" s="13">
        <v>27.431999999999999</v>
      </c>
      <c r="O1254" s="13" t="s">
        <v>8621</v>
      </c>
      <c r="P1254" s="13" t="s">
        <v>8622</v>
      </c>
      <c r="Q1254" s="13" t="s">
        <v>143</v>
      </c>
      <c r="R1254" s="13" t="s">
        <v>8623</v>
      </c>
      <c r="S1254" s="13" t="s">
        <v>192</v>
      </c>
      <c r="T1254" s="13" t="s">
        <v>146</v>
      </c>
      <c r="U1254" s="13" t="s">
        <v>110</v>
      </c>
      <c r="V1254" s="47">
        <f>SUMIF(Data!$E:$E,$I1254,Data!$AI:$AI)</f>
        <v>0</v>
      </c>
    </row>
    <row r="1255" spans="1:22" x14ac:dyDescent="0.25">
      <c r="A1255" s="46" t="s">
        <v>8210</v>
      </c>
      <c r="B1255" s="46" t="s">
        <v>120</v>
      </c>
      <c r="C1255" s="46" t="s">
        <v>6847</v>
      </c>
      <c r="D1255" s="46">
        <v>0.37972430986085998</v>
      </c>
      <c r="E1255" s="47">
        <f>SUMIF(Data!$E:$E,$C1255,Data!$AI:$AI)</f>
        <v>0</v>
      </c>
      <c r="I1255" s="13" t="s">
        <v>8624</v>
      </c>
      <c r="J1255" s="13" t="s">
        <v>8625</v>
      </c>
      <c r="K1255" s="13" t="s">
        <v>137</v>
      </c>
      <c r="L1255" s="13" t="s">
        <v>8066</v>
      </c>
      <c r="M1255" s="13" t="s">
        <v>8626</v>
      </c>
      <c r="N1255" s="13">
        <v>8</v>
      </c>
      <c r="O1255" s="13" t="s">
        <v>8627</v>
      </c>
      <c r="P1255" s="13" t="s">
        <v>8628</v>
      </c>
      <c r="Q1255" s="13" t="s">
        <v>208</v>
      </c>
      <c r="R1255" s="13" t="s">
        <v>8629</v>
      </c>
      <c r="S1255" s="13" t="s">
        <v>192</v>
      </c>
      <c r="T1255" s="13" t="s">
        <v>146</v>
      </c>
      <c r="U1255" s="13" t="s">
        <v>110</v>
      </c>
      <c r="V1255" s="47">
        <f>SUMIF(Data!$E:$E,$I1255,Data!$AI:$AI)</f>
        <v>0</v>
      </c>
    </row>
    <row r="1256" spans="1:22" x14ac:dyDescent="0.25">
      <c r="A1256" s="46" t="s">
        <v>8210</v>
      </c>
      <c r="B1256" s="46" t="s">
        <v>120</v>
      </c>
      <c r="C1256" s="46" t="s">
        <v>5306</v>
      </c>
      <c r="D1256" s="46">
        <v>0.16193532345182701</v>
      </c>
      <c r="E1256" s="47">
        <f>SUMIF(Data!$E:$E,$C1256,Data!$AI:$AI)</f>
        <v>0</v>
      </c>
      <c r="I1256" s="13">
        <v>4912</v>
      </c>
      <c r="J1256" s="13" t="s">
        <v>8630</v>
      </c>
      <c r="K1256" s="13" t="s">
        <v>137</v>
      </c>
      <c r="L1256" s="13" t="s">
        <v>8066</v>
      </c>
      <c r="M1256" s="13" t="s">
        <v>8631</v>
      </c>
      <c r="N1256" s="13">
        <v>160.30000000000001</v>
      </c>
      <c r="O1256" s="13" t="s">
        <v>8632</v>
      </c>
      <c r="P1256" s="13" t="s">
        <v>8633</v>
      </c>
      <c r="Q1256" s="13" t="s">
        <v>224</v>
      </c>
      <c r="R1256" s="13" t="s">
        <v>8634</v>
      </c>
      <c r="S1256" s="13" t="s">
        <v>441</v>
      </c>
      <c r="T1256" s="13" t="s">
        <v>442</v>
      </c>
      <c r="U1256" s="13" t="s">
        <v>443</v>
      </c>
      <c r="V1256" s="47">
        <f>SUMIF(Data!$E:$E,$I1256,Data!$AI:$AI)</f>
        <v>0</v>
      </c>
    </row>
    <row r="1257" spans="1:22" x14ac:dyDescent="0.25">
      <c r="A1257" s="46" t="s">
        <v>8210</v>
      </c>
      <c r="B1257" s="46" t="s">
        <v>120</v>
      </c>
      <c r="C1257" s="46" t="s">
        <v>5313</v>
      </c>
      <c r="D1257" s="46">
        <v>7.1448732439595999E-2</v>
      </c>
      <c r="E1257" s="47">
        <f>SUMIF(Data!$E:$E,$C1257,Data!$AI:$AI)</f>
        <v>0</v>
      </c>
      <c r="I1257" s="13" t="s">
        <v>8635</v>
      </c>
      <c r="J1257" s="13" t="s">
        <v>8636</v>
      </c>
      <c r="K1257" s="13" t="s">
        <v>137</v>
      </c>
      <c r="L1257" s="13" t="s">
        <v>8066</v>
      </c>
      <c r="M1257" s="13" t="s">
        <v>8637</v>
      </c>
      <c r="N1257" s="13" t="s">
        <v>8638</v>
      </c>
      <c r="O1257" s="13" t="s">
        <v>8639</v>
      </c>
      <c r="P1257" s="13" t="s">
        <v>8640</v>
      </c>
      <c r="Q1257" s="13" t="s">
        <v>806</v>
      </c>
      <c r="R1257" s="13" t="s">
        <v>8641</v>
      </c>
      <c r="S1257" s="13" t="s">
        <v>847</v>
      </c>
      <c r="T1257" s="13" t="s">
        <v>848</v>
      </c>
      <c r="U1257" s="13" t="s">
        <v>849</v>
      </c>
      <c r="V1257" s="47">
        <f>SUMIF(Data!$E:$E,$I1257,Data!$AI:$AI)</f>
        <v>0</v>
      </c>
    </row>
    <row r="1258" spans="1:22" x14ac:dyDescent="0.25">
      <c r="A1258" s="46" t="s">
        <v>8210</v>
      </c>
      <c r="B1258" s="46" t="s">
        <v>120</v>
      </c>
      <c r="C1258" s="46" t="s">
        <v>3171</v>
      </c>
      <c r="D1258" s="46">
        <v>0.19669113396517701</v>
      </c>
      <c r="E1258" s="47">
        <f>SUMIF(Data!$E:$E,$C1258,Data!$AI:$AI)</f>
        <v>0</v>
      </c>
      <c r="I1258" s="13" t="s">
        <v>8642</v>
      </c>
      <c r="J1258" s="13" t="s">
        <v>8643</v>
      </c>
      <c r="K1258" s="13" t="s">
        <v>137</v>
      </c>
      <c r="L1258" s="13" t="s">
        <v>8066</v>
      </c>
      <c r="M1258" s="13" t="s">
        <v>8644</v>
      </c>
      <c r="N1258" s="13">
        <v>75.528000000000006</v>
      </c>
      <c r="O1258" s="13" t="s">
        <v>8645</v>
      </c>
      <c r="P1258" s="13" t="s">
        <v>8646</v>
      </c>
      <c r="Q1258" s="13" t="s">
        <v>190</v>
      </c>
      <c r="R1258" s="13" t="s">
        <v>8647</v>
      </c>
      <c r="S1258" s="13" t="s">
        <v>192</v>
      </c>
      <c r="T1258" s="13" t="s">
        <v>146</v>
      </c>
      <c r="U1258" s="13" t="s">
        <v>110</v>
      </c>
      <c r="V1258" s="47">
        <f>SUMIF(Data!$E:$E,$I1258,Data!$AI:$AI)</f>
        <v>0</v>
      </c>
    </row>
    <row r="1259" spans="1:22" x14ac:dyDescent="0.25">
      <c r="A1259" s="46" t="s">
        <v>8210</v>
      </c>
      <c r="B1259" s="46" t="s">
        <v>120</v>
      </c>
      <c r="C1259" s="46" t="s">
        <v>4517</v>
      </c>
      <c r="D1259" s="46">
        <v>0.34859644366369502</v>
      </c>
      <c r="E1259" s="47">
        <f>SUMIF(Data!$E:$E,$C1259,Data!$AI:$AI)</f>
        <v>0</v>
      </c>
      <c r="I1259" s="13" t="s">
        <v>8648</v>
      </c>
      <c r="J1259" s="13" t="s">
        <v>8649</v>
      </c>
      <c r="K1259" s="13" t="s">
        <v>137</v>
      </c>
      <c r="L1259" s="13" t="s">
        <v>8066</v>
      </c>
      <c r="M1259" s="13" t="s">
        <v>8650</v>
      </c>
      <c r="N1259" s="13">
        <v>426.67099999999999</v>
      </c>
      <c r="O1259" s="13" t="s">
        <v>8651</v>
      </c>
      <c r="P1259" s="13" t="s">
        <v>8652</v>
      </c>
      <c r="Q1259" s="13" t="s">
        <v>190</v>
      </c>
      <c r="R1259" s="13" t="s">
        <v>8653</v>
      </c>
      <c r="S1259" s="13" t="s">
        <v>1164</v>
      </c>
      <c r="T1259" s="13" t="s">
        <v>1165</v>
      </c>
      <c r="U1259" s="13" t="s">
        <v>525</v>
      </c>
      <c r="V1259" s="47">
        <f>SUMIF(Data!$E:$E,$I1259,Data!$AI:$AI)</f>
        <v>0</v>
      </c>
    </row>
    <row r="1260" spans="1:22" x14ac:dyDescent="0.25">
      <c r="A1260" s="46" t="s">
        <v>8210</v>
      </c>
      <c r="B1260" s="46" t="s">
        <v>120</v>
      </c>
      <c r="C1260" s="46" t="s">
        <v>5332</v>
      </c>
      <c r="D1260" s="46">
        <v>0.46014454326611698</v>
      </c>
      <c r="E1260" s="47">
        <f>SUMIF(Data!$E:$E,$C1260,Data!$AI:$AI)</f>
        <v>0</v>
      </c>
      <c r="I1260" s="13" t="s">
        <v>8654</v>
      </c>
      <c r="J1260" s="13" t="s">
        <v>8655</v>
      </c>
      <c r="K1260" s="13" t="s">
        <v>137</v>
      </c>
      <c r="L1260" s="13" t="s">
        <v>8066</v>
      </c>
      <c r="M1260" s="13" t="s">
        <v>8656</v>
      </c>
      <c r="N1260" s="13">
        <v>671.06700000000001</v>
      </c>
      <c r="O1260" s="13" t="s">
        <v>8657</v>
      </c>
      <c r="P1260" s="13" t="s">
        <v>8658</v>
      </c>
      <c r="Q1260" s="13" t="s">
        <v>190</v>
      </c>
      <c r="R1260" s="13" t="s">
        <v>8659</v>
      </c>
      <c r="S1260" s="13" t="s">
        <v>5736</v>
      </c>
      <c r="T1260" s="13" t="s">
        <v>4831</v>
      </c>
      <c r="U1260" s="13" t="s">
        <v>5737</v>
      </c>
      <c r="V1260" s="47">
        <f>SUMIF(Data!$E:$E,$I1260,Data!$AI:$AI)</f>
        <v>0</v>
      </c>
    </row>
    <row r="1261" spans="1:22" x14ac:dyDescent="0.25">
      <c r="A1261" s="46" t="s">
        <v>8210</v>
      </c>
      <c r="B1261" s="46" t="s">
        <v>120</v>
      </c>
      <c r="C1261" s="46" t="s">
        <v>3578</v>
      </c>
      <c r="D1261" s="46">
        <v>5.6963304531776997E-2</v>
      </c>
      <c r="E1261" s="47">
        <f>SUMIF(Data!$E:$E,$C1261,Data!$AI:$AI)</f>
        <v>0</v>
      </c>
      <c r="I1261" s="13">
        <v>7261</v>
      </c>
      <c r="J1261" s="13" t="s">
        <v>8660</v>
      </c>
      <c r="K1261" s="13" t="s">
        <v>137</v>
      </c>
      <c r="L1261" s="13" t="s">
        <v>8066</v>
      </c>
      <c r="M1261" s="13" t="s">
        <v>8661</v>
      </c>
      <c r="N1261" s="13">
        <v>347.7</v>
      </c>
      <c r="O1261" s="13" t="s">
        <v>8662</v>
      </c>
      <c r="P1261" s="13" t="s">
        <v>8663</v>
      </c>
      <c r="Q1261" s="13" t="s">
        <v>162</v>
      </c>
      <c r="R1261" s="13" t="s">
        <v>8664</v>
      </c>
      <c r="S1261" s="13" t="s">
        <v>441</v>
      </c>
      <c r="T1261" s="13" t="s">
        <v>442</v>
      </c>
      <c r="U1261" s="13" t="s">
        <v>443</v>
      </c>
      <c r="V1261" s="47">
        <f>SUMIF(Data!$E:$E,$I1261,Data!$AI:$AI)</f>
        <v>0</v>
      </c>
    </row>
    <row r="1262" spans="1:22" x14ac:dyDescent="0.25">
      <c r="A1262" s="46" t="s">
        <v>8210</v>
      </c>
      <c r="B1262" s="46" t="s">
        <v>120</v>
      </c>
      <c r="C1262" s="46" t="s">
        <v>5345</v>
      </c>
      <c r="D1262" s="46">
        <v>0.16261200441333401</v>
      </c>
      <c r="E1262" s="47">
        <f>SUMIF(Data!$E:$E,$C1262,Data!$AI:$AI)</f>
        <v>0</v>
      </c>
      <c r="I1262" s="13" t="s">
        <v>8665</v>
      </c>
      <c r="J1262" s="13" t="s">
        <v>8666</v>
      </c>
      <c r="K1262" s="13" t="s">
        <v>137</v>
      </c>
      <c r="L1262" s="13" t="s">
        <v>8066</v>
      </c>
      <c r="M1262" s="13" t="s">
        <v>8667</v>
      </c>
      <c r="N1262" s="13">
        <v>535.75099999999998</v>
      </c>
      <c r="O1262" s="13" t="s">
        <v>8668</v>
      </c>
      <c r="P1262" s="13" t="s">
        <v>8669</v>
      </c>
      <c r="Q1262" s="13" t="s">
        <v>806</v>
      </c>
      <c r="R1262" s="13" t="s">
        <v>8670</v>
      </c>
      <c r="S1262" s="13" t="s">
        <v>2365</v>
      </c>
      <c r="T1262" s="13" t="s">
        <v>550</v>
      </c>
      <c r="U1262" s="13" t="s">
        <v>110</v>
      </c>
      <c r="V1262" s="47">
        <f>SUMIF(Data!$E:$E,$I1262,Data!$AI:$AI)</f>
        <v>0</v>
      </c>
    </row>
    <row r="1263" spans="1:22" x14ac:dyDescent="0.25">
      <c r="A1263" s="46" t="s">
        <v>8210</v>
      </c>
      <c r="B1263" s="46" t="s">
        <v>120</v>
      </c>
      <c r="C1263" s="46" t="s">
        <v>5351</v>
      </c>
      <c r="D1263" s="46">
        <v>8.7416028350549999E-2</v>
      </c>
      <c r="E1263" s="47">
        <f>SUMIF(Data!$E:$E,$C1263,Data!$AI:$AI)</f>
        <v>0</v>
      </c>
      <c r="I1263" s="13" t="s">
        <v>8671</v>
      </c>
      <c r="J1263" s="13" t="s">
        <v>8672</v>
      </c>
      <c r="K1263" s="13" t="s">
        <v>137</v>
      </c>
      <c r="L1263" s="13" t="s">
        <v>8066</v>
      </c>
      <c r="M1263" s="13" t="s">
        <v>8673</v>
      </c>
      <c r="N1263" s="13">
        <v>820.05700000000002</v>
      </c>
      <c r="O1263" s="13" t="s">
        <v>8674</v>
      </c>
      <c r="P1263" s="13" t="s">
        <v>8675</v>
      </c>
      <c r="Q1263" s="13" t="s">
        <v>734</v>
      </c>
      <c r="R1263" s="13" t="s">
        <v>8676</v>
      </c>
      <c r="S1263" s="13" t="s">
        <v>3711</v>
      </c>
      <c r="T1263" s="13" t="s">
        <v>3712</v>
      </c>
      <c r="U1263" s="13" t="s">
        <v>3713</v>
      </c>
      <c r="V1263" s="47">
        <f>SUMIF(Data!$E:$E,$I1263,Data!$AI:$AI)</f>
        <v>0</v>
      </c>
    </row>
    <row r="1264" spans="1:22" x14ac:dyDescent="0.25">
      <c r="A1264" s="46" t="s">
        <v>8210</v>
      </c>
      <c r="B1264" s="46" t="s">
        <v>120</v>
      </c>
      <c r="C1264" s="46" t="s">
        <v>4602</v>
      </c>
      <c r="D1264" s="46">
        <v>0.42801992535792699</v>
      </c>
      <c r="E1264" s="47">
        <f>SUMIF(Data!$E:$E,$C1264,Data!$AI:$AI)</f>
        <v>0</v>
      </c>
      <c r="I1264" s="13">
        <v>7951</v>
      </c>
      <c r="J1264" s="13" t="s">
        <v>8677</v>
      </c>
      <c r="K1264" s="13" t="s">
        <v>137</v>
      </c>
      <c r="L1264" s="13" t="s">
        <v>8066</v>
      </c>
      <c r="M1264" s="13" t="s">
        <v>8678</v>
      </c>
      <c r="N1264" s="13">
        <v>52.8</v>
      </c>
      <c r="O1264" s="13" t="s">
        <v>8679</v>
      </c>
      <c r="P1264" s="13" t="s">
        <v>8680</v>
      </c>
      <c r="Q1264" s="13" t="s">
        <v>162</v>
      </c>
      <c r="R1264" s="13" t="s">
        <v>8681</v>
      </c>
      <c r="S1264" s="13" t="s">
        <v>441</v>
      </c>
      <c r="T1264" s="13" t="s">
        <v>442</v>
      </c>
      <c r="U1264" s="13" t="s">
        <v>443</v>
      </c>
      <c r="V1264" s="47">
        <f>SUMIF(Data!$E:$E,$I1264,Data!$AI:$AI)</f>
        <v>0</v>
      </c>
    </row>
    <row r="1265" spans="1:22" x14ac:dyDescent="0.25">
      <c r="A1265" s="46" t="s">
        <v>8210</v>
      </c>
      <c r="B1265" s="46" t="s">
        <v>120</v>
      </c>
      <c r="C1265" s="46" t="s">
        <v>5358</v>
      </c>
      <c r="D1265" s="46">
        <v>5.8734708517543997E-2</v>
      </c>
      <c r="E1265" s="47">
        <f>SUMIF(Data!$E:$E,$C1265,Data!$AI:$AI)</f>
        <v>0</v>
      </c>
      <c r="I1265" s="13">
        <v>522</v>
      </c>
      <c r="J1265" s="13" t="s">
        <v>8682</v>
      </c>
      <c r="K1265" s="13" t="s">
        <v>137</v>
      </c>
      <c r="L1265" s="13" t="s">
        <v>8066</v>
      </c>
      <c r="M1265" s="13" t="s">
        <v>8683</v>
      </c>
      <c r="N1265" s="13">
        <v>201.6</v>
      </c>
      <c r="O1265" s="13" t="s">
        <v>8684</v>
      </c>
      <c r="P1265" s="13" t="s">
        <v>8685</v>
      </c>
      <c r="Q1265" s="13" t="s">
        <v>143</v>
      </c>
      <c r="R1265" s="13" t="s">
        <v>8686</v>
      </c>
      <c r="S1265" s="13" t="s">
        <v>549</v>
      </c>
      <c r="T1265" s="13" t="s">
        <v>550</v>
      </c>
      <c r="U1265" s="13" t="s">
        <v>551</v>
      </c>
      <c r="V1265" s="47">
        <f>SUMIF(Data!$E:$E,$I1265,Data!$AI:$AI)</f>
        <v>0</v>
      </c>
    </row>
    <row r="1266" spans="1:22" x14ac:dyDescent="0.25">
      <c r="A1266" s="46" t="s">
        <v>8210</v>
      </c>
      <c r="B1266" s="46" t="s">
        <v>120</v>
      </c>
      <c r="C1266" s="46" t="s">
        <v>4610</v>
      </c>
      <c r="D1266" s="46">
        <v>0.15912213656628499</v>
      </c>
      <c r="E1266" s="47">
        <f>SUMIF(Data!$E:$E,$C1266,Data!$AI:$AI)</f>
        <v>0</v>
      </c>
      <c r="I1266" s="13">
        <v>12</v>
      </c>
      <c r="J1266" s="13" t="s">
        <v>8687</v>
      </c>
      <c r="K1266" s="13" t="s">
        <v>137</v>
      </c>
      <c r="L1266" s="13" t="s">
        <v>8066</v>
      </c>
      <c r="M1266" s="13" t="s">
        <v>8688</v>
      </c>
      <c r="N1266" s="13">
        <v>609.83000000000004</v>
      </c>
      <c r="O1266" s="13" t="s">
        <v>8689</v>
      </c>
      <c r="P1266" s="13" t="s">
        <v>8690</v>
      </c>
      <c r="Q1266" s="13" t="s">
        <v>806</v>
      </c>
      <c r="R1266" s="13" t="s">
        <v>8691</v>
      </c>
      <c r="S1266" s="13" t="s">
        <v>549</v>
      </c>
      <c r="T1266" s="13" t="s">
        <v>550</v>
      </c>
      <c r="U1266" s="13" t="s">
        <v>551</v>
      </c>
      <c r="V1266" s="47">
        <f>SUMIF(Data!$E:$E,$I1266,Data!$AI:$AI)</f>
        <v>0</v>
      </c>
    </row>
    <row r="1267" spans="1:22" x14ac:dyDescent="0.25">
      <c r="A1267" s="46" t="s">
        <v>8210</v>
      </c>
      <c r="B1267" s="46" t="s">
        <v>120</v>
      </c>
      <c r="C1267" s="46" t="s">
        <v>4981</v>
      </c>
      <c r="D1267" s="46">
        <v>0.88348099774767397</v>
      </c>
      <c r="E1267" s="47">
        <f>SUMIF(Data!$E:$E,$C1267,Data!$AI:$AI)</f>
        <v>0</v>
      </c>
      <c r="I1267" s="13">
        <v>2587</v>
      </c>
      <c r="J1267" s="13" t="s">
        <v>8692</v>
      </c>
      <c r="K1267" s="13" t="s">
        <v>137</v>
      </c>
      <c r="L1267" s="13" t="s">
        <v>8066</v>
      </c>
      <c r="M1267" s="13" t="s">
        <v>8693</v>
      </c>
      <c r="N1267" s="13">
        <v>71.900000000000006</v>
      </c>
      <c r="O1267" s="13" t="s">
        <v>8694</v>
      </c>
      <c r="P1267" s="13" t="s">
        <v>8695</v>
      </c>
      <c r="Q1267" s="13" t="s">
        <v>224</v>
      </c>
      <c r="R1267" s="13" t="s">
        <v>8696</v>
      </c>
      <c r="S1267" s="13" t="s">
        <v>441</v>
      </c>
      <c r="T1267" s="13" t="s">
        <v>442</v>
      </c>
      <c r="U1267" s="13" t="s">
        <v>443</v>
      </c>
      <c r="V1267" s="47">
        <f>SUMIF(Data!$E:$E,$I1267,Data!$AI:$AI)</f>
        <v>0</v>
      </c>
    </row>
    <row r="1268" spans="1:22" x14ac:dyDescent="0.25">
      <c r="A1268" s="46" t="s">
        <v>8210</v>
      </c>
      <c r="B1268" s="46" t="s">
        <v>120</v>
      </c>
      <c r="C1268" s="46" t="s">
        <v>5365</v>
      </c>
      <c r="D1268" s="46">
        <v>7.3907469840515994E-2</v>
      </c>
      <c r="E1268" s="47">
        <f>SUMIF(Data!$E:$E,$C1268,Data!$AI:$AI)</f>
        <v>0</v>
      </c>
      <c r="I1268" s="13" t="s">
        <v>7451</v>
      </c>
      <c r="J1268" s="13" t="s">
        <v>8697</v>
      </c>
      <c r="K1268" s="13" t="s">
        <v>137</v>
      </c>
      <c r="L1268" s="13" t="s">
        <v>8066</v>
      </c>
      <c r="M1268" s="13" t="s">
        <v>8698</v>
      </c>
      <c r="N1268" s="13">
        <v>27.34</v>
      </c>
      <c r="O1268" s="13" t="s">
        <v>8699</v>
      </c>
      <c r="P1268" s="13" t="s">
        <v>8700</v>
      </c>
      <c r="Q1268" s="13" t="s">
        <v>143</v>
      </c>
      <c r="R1268" s="13" t="s">
        <v>8701</v>
      </c>
      <c r="S1268" s="13" t="s">
        <v>560</v>
      </c>
      <c r="T1268" s="13" t="s">
        <v>561</v>
      </c>
      <c r="U1268" s="13" t="s">
        <v>525</v>
      </c>
      <c r="V1268" s="47">
        <f>SUMIF(Data!$E:$E,$I1268,Data!$AI:$AI)</f>
        <v>0</v>
      </c>
    </row>
    <row r="1269" spans="1:22" x14ac:dyDescent="0.25">
      <c r="A1269" s="46" t="s">
        <v>8210</v>
      </c>
      <c r="B1269" s="46" t="s">
        <v>120</v>
      </c>
      <c r="C1269" s="46" t="s">
        <v>4988</v>
      </c>
      <c r="D1269" s="46">
        <v>0.50597807365281799</v>
      </c>
      <c r="E1269" s="47">
        <f>SUMIF(Data!$E:$E,$C1269,Data!$AI:$AI)</f>
        <v>0</v>
      </c>
      <c r="I1269" s="13" t="s">
        <v>8702</v>
      </c>
      <c r="J1269" s="13" t="s">
        <v>8703</v>
      </c>
      <c r="K1269" s="13" t="s">
        <v>137</v>
      </c>
      <c r="L1269" s="13" t="s">
        <v>8066</v>
      </c>
      <c r="M1269" s="13" t="s">
        <v>8704</v>
      </c>
      <c r="N1269" s="13">
        <v>57.838000000000001</v>
      </c>
      <c r="O1269" s="13" t="s">
        <v>8705</v>
      </c>
      <c r="P1269" s="13" t="s">
        <v>8706</v>
      </c>
      <c r="Q1269" s="13" t="s">
        <v>162</v>
      </c>
      <c r="R1269" s="13" t="s">
        <v>8707</v>
      </c>
      <c r="S1269" s="13" t="s">
        <v>768</v>
      </c>
      <c r="T1269" s="13" t="s">
        <v>769</v>
      </c>
      <c r="U1269" s="13" t="s">
        <v>770</v>
      </c>
      <c r="V1269" s="47">
        <f>SUMIF(Data!$E:$E,$I1269,Data!$AI:$AI)</f>
        <v>0</v>
      </c>
    </row>
    <row r="1270" spans="1:22" x14ac:dyDescent="0.25">
      <c r="A1270" s="46" t="s">
        <v>8210</v>
      </c>
      <c r="B1270" s="46" t="s">
        <v>120</v>
      </c>
      <c r="C1270" s="46" t="s">
        <v>4995</v>
      </c>
      <c r="D1270" s="46">
        <v>1.38841571122881</v>
      </c>
      <c r="E1270" s="47">
        <f>SUMIF(Data!$E:$E,$C1270,Data!$AI:$AI)</f>
        <v>0</v>
      </c>
      <c r="I1270" s="13" t="s">
        <v>8708</v>
      </c>
      <c r="J1270" s="13" t="s">
        <v>8709</v>
      </c>
      <c r="K1270" s="13" t="s">
        <v>137</v>
      </c>
      <c r="L1270" s="13" t="s">
        <v>8066</v>
      </c>
      <c r="M1270" s="13" t="s">
        <v>8710</v>
      </c>
      <c r="N1270" s="13">
        <v>70.031999999999996</v>
      </c>
      <c r="O1270" s="13" t="s">
        <v>8711</v>
      </c>
      <c r="P1270" s="13" t="s">
        <v>8712</v>
      </c>
      <c r="Q1270" s="13" t="s">
        <v>806</v>
      </c>
      <c r="R1270" s="13" t="s">
        <v>8713</v>
      </c>
      <c r="S1270" s="13" t="s">
        <v>192</v>
      </c>
      <c r="T1270" s="13" t="s">
        <v>146</v>
      </c>
      <c r="U1270" s="13" t="s">
        <v>110</v>
      </c>
      <c r="V1270" s="47">
        <f>SUMIF(Data!$E:$E,$I1270,Data!$AI:$AI)</f>
        <v>0</v>
      </c>
    </row>
    <row r="1271" spans="1:22" x14ac:dyDescent="0.25">
      <c r="A1271" s="46" t="s">
        <v>8210</v>
      </c>
      <c r="B1271" s="46" t="s">
        <v>120</v>
      </c>
      <c r="C1271" s="46" t="s">
        <v>5372</v>
      </c>
      <c r="D1271" s="46">
        <v>0.106198898455904</v>
      </c>
      <c r="E1271" s="47">
        <f>SUMIF(Data!$E:$E,$C1271,Data!$AI:$AI)</f>
        <v>0</v>
      </c>
      <c r="I1271" s="13" t="s">
        <v>8714</v>
      </c>
      <c r="J1271" s="13" t="s">
        <v>8715</v>
      </c>
      <c r="K1271" s="13" t="s">
        <v>137</v>
      </c>
      <c r="L1271" s="13" t="s">
        <v>8066</v>
      </c>
      <c r="M1271" s="13" t="s">
        <v>8716</v>
      </c>
      <c r="N1271" s="13">
        <v>34.938000000000002</v>
      </c>
      <c r="O1271" s="13" t="s">
        <v>8717</v>
      </c>
      <c r="P1271" s="13" t="s">
        <v>8718</v>
      </c>
      <c r="Q1271" s="13" t="s">
        <v>143</v>
      </c>
      <c r="R1271" s="13" t="s">
        <v>8719</v>
      </c>
      <c r="S1271" s="13" t="s">
        <v>192</v>
      </c>
      <c r="T1271" s="13" t="s">
        <v>146</v>
      </c>
      <c r="U1271" s="13" t="s">
        <v>110</v>
      </c>
      <c r="V1271" s="47">
        <f>SUMIF(Data!$E:$E,$I1271,Data!$AI:$AI)</f>
        <v>0</v>
      </c>
    </row>
    <row r="1272" spans="1:22" x14ac:dyDescent="0.25">
      <c r="A1272" s="46" t="s">
        <v>8210</v>
      </c>
      <c r="B1272" s="46" t="s">
        <v>120</v>
      </c>
      <c r="C1272" s="46" t="s">
        <v>6335</v>
      </c>
      <c r="D1272" s="46">
        <v>0.152839647602562</v>
      </c>
      <c r="E1272" s="47">
        <f>SUMIF(Data!$E:$E,$C1272,Data!$AI:$AI)</f>
        <v>0</v>
      </c>
      <c r="I1272" s="13" t="s">
        <v>8720</v>
      </c>
      <c r="J1272" s="13" t="s">
        <v>8721</v>
      </c>
      <c r="K1272" s="13" t="s">
        <v>137</v>
      </c>
      <c r="L1272" s="13" t="s">
        <v>8066</v>
      </c>
      <c r="M1272" s="13" t="s">
        <v>8722</v>
      </c>
      <c r="N1272" s="13">
        <v>29.954999999999998</v>
      </c>
      <c r="O1272" s="13" t="s">
        <v>8723</v>
      </c>
      <c r="P1272" s="13" t="s">
        <v>8724</v>
      </c>
      <c r="Q1272" s="13" t="s">
        <v>416</v>
      </c>
      <c r="R1272" s="13" t="s">
        <v>8725</v>
      </c>
      <c r="S1272" s="13" t="s">
        <v>192</v>
      </c>
      <c r="T1272" s="13" t="s">
        <v>146</v>
      </c>
      <c r="U1272" s="13" t="s">
        <v>110</v>
      </c>
      <c r="V1272" s="47">
        <f>SUMIF(Data!$E:$E,$I1272,Data!$AI:$AI)</f>
        <v>0</v>
      </c>
    </row>
    <row r="1273" spans="1:22" x14ac:dyDescent="0.25">
      <c r="A1273" s="46" t="s">
        <v>8210</v>
      </c>
      <c r="B1273" s="46" t="s">
        <v>120</v>
      </c>
      <c r="C1273" s="46" t="s">
        <v>5379</v>
      </c>
      <c r="D1273" s="46">
        <v>0.10185863529451999</v>
      </c>
      <c r="E1273" s="47">
        <f>SUMIF(Data!$E:$E,$C1273,Data!$AI:$AI)</f>
        <v>0</v>
      </c>
      <c r="I1273" s="13">
        <v>7912</v>
      </c>
      <c r="J1273" s="13" t="s">
        <v>8726</v>
      </c>
      <c r="K1273" s="13" t="s">
        <v>137</v>
      </c>
      <c r="L1273" s="13" t="s">
        <v>8066</v>
      </c>
      <c r="M1273" s="13" t="s">
        <v>8610</v>
      </c>
      <c r="N1273" s="13">
        <v>106.443</v>
      </c>
      <c r="O1273" s="13" t="s">
        <v>8727</v>
      </c>
      <c r="P1273" s="13" t="s">
        <v>8728</v>
      </c>
      <c r="Q1273" s="13" t="s">
        <v>416</v>
      </c>
      <c r="R1273" s="13" t="s">
        <v>8729</v>
      </c>
      <c r="S1273" s="13" t="s">
        <v>441</v>
      </c>
      <c r="T1273" s="13" t="s">
        <v>442</v>
      </c>
      <c r="U1273" s="13" t="s">
        <v>443</v>
      </c>
      <c r="V1273" s="47">
        <f>SUMIF(Data!$E:$E,$I1273,Data!$AI:$AI)</f>
        <v>0</v>
      </c>
    </row>
    <row r="1274" spans="1:22" x14ac:dyDescent="0.25">
      <c r="A1274" s="46" t="s">
        <v>8210</v>
      </c>
      <c r="B1274" s="46" t="s">
        <v>120</v>
      </c>
      <c r="C1274" s="46" t="s">
        <v>5386</v>
      </c>
      <c r="D1274" s="46">
        <v>0.17572868504635</v>
      </c>
      <c r="E1274" s="47">
        <f>SUMIF(Data!$E:$E,$C1274,Data!$AI:$AI)</f>
        <v>0</v>
      </c>
      <c r="I1274" s="13" t="s">
        <v>8730</v>
      </c>
      <c r="J1274" s="13" t="s">
        <v>8731</v>
      </c>
      <c r="K1274" s="13" t="s">
        <v>137</v>
      </c>
      <c r="L1274" s="13" t="s">
        <v>8066</v>
      </c>
      <c r="M1274" s="13" t="s">
        <v>8732</v>
      </c>
      <c r="N1274" s="13">
        <v>31.988</v>
      </c>
      <c r="O1274" s="13" t="s">
        <v>8733</v>
      </c>
      <c r="P1274" s="13" t="s">
        <v>8734</v>
      </c>
      <c r="Q1274" s="13" t="s">
        <v>224</v>
      </c>
      <c r="R1274" s="13" t="s">
        <v>8735</v>
      </c>
      <c r="S1274" s="13" t="s">
        <v>192</v>
      </c>
      <c r="T1274" s="13" t="s">
        <v>146</v>
      </c>
      <c r="U1274" s="13" t="s">
        <v>110</v>
      </c>
      <c r="V1274" s="47">
        <f>SUMIF(Data!$E:$E,$I1274,Data!$AI:$AI)</f>
        <v>0</v>
      </c>
    </row>
    <row r="1275" spans="1:22" x14ac:dyDescent="0.25">
      <c r="A1275" s="46" t="s">
        <v>8210</v>
      </c>
      <c r="B1275" s="46" t="s">
        <v>120</v>
      </c>
      <c r="C1275" s="46" t="s">
        <v>5002</v>
      </c>
      <c r="D1275" s="46">
        <v>0.65651305427392104</v>
      </c>
      <c r="E1275" s="47">
        <f>SUMIF(Data!$E:$E,$C1275,Data!$AI:$AI)</f>
        <v>0</v>
      </c>
      <c r="I1275" s="13">
        <v>2897</v>
      </c>
      <c r="J1275" s="13" t="s">
        <v>8736</v>
      </c>
      <c r="K1275" s="13" t="s">
        <v>137</v>
      </c>
      <c r="L1275" s="13" t="s">
        <v>8066</v>
      </c>
      <c r="M1275" s="13" t="s">
        <v>8737</v>
      </c>
      <c r="N1275" s="13">
        <v>39.5</v>
      </c>
      <c r="O1275" s="13" t="s">
        <v>8738</v>
      </c>
      <c r="P1275" s="13" t="s">
        <v>8739</v>
      </c>
      <c r="Q1275" s="13" t="s">
        <v>224</v>
      </c>
      <c r="R1275" s="13" t="s">
        <v>8740</v>
      </c>
      <c r="S1275" s="13" t="s">
        <v>441</v>
      </c>
      <c r="T1275" s="13" t="s">
        <v>442</v>
      </c>
      <c r="U1275" s="13" t="s">
        <v>443</v>
      </c>
      <c r="V1275" s="47">
        <f>SUMIF(Data!$E:$E,$I1275,Data!$AI:$AI)</f>
        <v>0</v>
      </c>
    </row>
    <row r="1276" spans="1:22" x14ac:dyDescent="0.25">
      <c r="A1276" s="46" t="s">
        <v>8210</v>
      </c>
      <c r="B1276" s="46" t="s">
        <v>120</v>
      </c>
      <c r="C1276" s="46" t="s">
        <v>5009</v>
      </c>
      <c r="D1276" s="46">
        <v>0.52878822934745895</v>
      </c>
      <c r="E1276" s="47">
        <f>SUMIF(Data!$E:$E,$C1276,Data!$AI:$AI)</f>
        <v>0</v>
      </c>
      <c r="I1276" s="13">
        <v>3391</v>
      </c>
      <c r="J1276" s="13" t="s">
        <v>8741</v>
      </c>
      <c r="K1276" s="13" t="s">
        <v>137</v>
      </c>
      <c r="L1276" s="13" t="s">
        <v>8066</v>
      </c>
      <c r="M1276" s="13" t="s">
        <v>8742</v>
      </c>
      <c r="N1276" s="13">
        <v>23</v>
      </c>
      <c r="O1276" s="13" t="s">
        <v>8743</v>
      </c>
      <c r="P1276" s="13" t="s">
        <v>8744</v>
      </c>
      <c r="Q1276" s="13" t="s">
        <v>224</v>
      </c>
      <c r="R1276" s="13" t="s">
        <v>8745</v>
      </c>
      <c r="S1276" s="13" t="s">
        <v>441</v>
      </c>
      <c r="T1276" s="13" t="s">
        <v>442</v>
      </c>
      <c r="U1276" s="13" t="s">
        <v>443</v>
      </c>
      <c r="V1276" s="47">
        <f>SUMIF(Data!$E:$E,$I1276,Data!$AI:$AI)</f>
        <v>0</v>
      </c>
    </row>
    <row r="1277" spans="1:22" x14ac:dyDescent="0.25">
      <c r="A1277" s="46" t="s">
        <v>8210</v>
      </c>
      <c r="B1277" s="46" t="s">
        <v>120</v>
      </c>
      <c r="C1277" s="46" t="s">
        <v>5393</v>
      </c>
      <c r="D1277" s="46">
        <v>1.2118395766439E-2</v>
      </c>
      <c r="E1277" s="47">
        <f>SUMIF(Data!$E:$E,$C1277,Data!$AI:$AI)</f>
        <v>0</v>
      </c>
      <c r="I1277" s="13" t="s">
        <v>8746</v>
      </c>
      <c r="J1277" s="13" t="s">
        <v>8747</v>
      </c>
      <c r="K1277" s="13" t="s">
        <v>137</v>
      </c>
      <c r="L1277" s="13" t="s">
        <v>8066</v>
      </c>
      <c r="M1277" s="13" t="s">
        <v>8748</v>
      </c>
      <c r="N1277" s="13" t="s">
        <v>8749</v>
      </c>
      <c r="O1277" s="13" t="s">
        <v>8750</v>
      </c>
      <c r="P1277" s="13" t="s">
        <v>8751</v>
      </c>
      <c r="Q1277" s="13" t="s">
        <v>162</v>
      </c>
      <c r="R1277" s="13" t="s">
        <v>8752</v>
      </c>
      <c r="S1277" s="13" t="s">
        <v>476</v>
      </c>
      <c r="T1277" s="13" t="s">
        <v>477</v>
      </c>
      <c r="U1277" s="13" t="s">
        <v>478</v>
      </c>
      <c r="V1277" s="47">
        <f>SUMIF(Data!$E:$E,$I1277,Data!$AI:$AI)</f>
        <v>0</v>
      </c>
    </row>
    <row r="1278" spans="1:22" x14ac:dyDescent="0.25">
      <c r="A1278" s="46" t="s">
        <v>8210</v>
      </c>
      <c r="B1278" s="46" t="s">
        <v>120</v>
      </c>
      <c r="C1278" s="46" t="s">
        <v>5399</v>
      </c>
      <c r="D1278" s="46">
        <v>0.12712977189167199</v>
      </c>
      <c r="E1278" s="47">
        <f>SUMIF(Data!$E:$E,$C1278,Data!$AI:$AI)</f>
        <v>0</v>
      </c>
      <c r="I1278" s="13" t="s">
        <v>8753</v>
      </c>
      <c r="J1278" s="13" t="s">
        <v>8754</v>
      </c>
      <c r="K1278" s="13" t="s">
        <v>137</v>
      </c>
      <c r="L1278" s="13" t="s">
        <v>8066</v>
      </c>
      <c r="M1278" s="13" t="s">
        <v>8755</v>
      </c>
      <c r="N1278" s="13">
        <v>15.436999999999999</v>
      </c>
      <c r="O1278" s="13" t="s">
        <v>8756</v>
      </c>
      <c r="P1278" s="13" t="s">
        <v>8757</v>
      </c>
      <c r="Q1278" s="13" t="s">
        <v>190</v>
      </c>
      <c r="R1278" s="13" t="s">
        <v>8758</v>
      </c>
      <c r="S1278" s="13" t="s">
        <v>192</v>
      </c>
      <c r="T1278" s="13" t="s">
        <v>146</v>
      </c>
      <c r="U1278" s="13" t="s">
        <v>110</v>
      </c>
      <c r="V1278" s="47">
        <f>SUMIF(Data!$E:$E,$I1278,Data!$AI:$AI)</f>
        <v>0</v>
      </c>
    </row>
    <row r="1279" spans="1:22" x14ac:dyDescent="0.25">
      <c r="A1279" s="46" t="s">
        <v>8210</v>
      </c>
      <c r="B1279" s="46" t="s">
        <v>120</v>
      </c>
      <c r="C1279" s="46" t="s">
        <v>5016</v>
      </c>
      <c r="D1279" s="46">
        <v>1.6662070901060999</v>
      </c>
      <c r="E1279" s="47">
        <f>SUMIF(Data!$E:$E,$C1279,Data!$AI:$AI)</f>
        <v>0</v>
      </c>
      <c r="I1279" s="13" t="s">
        <v>787</v>
      </c>
      <c r="J1279" s="13" t="s">
        <v>8759</v>
      </c>
      <c r="K1279" s="13" t="s">
        <v>137</v>
      </c>
      <c r="L1279" s="13" t="s">
        <v>8066</v>
      </c>
      <c r="M1279" s="13" t="s">
        <v>8760</v>
      </c>
      <c r="N1279" s="13">
        <v>36.718000000000004</v>
      </c>
      <c r="O1279" s="13" t="s">
        <v>8761</v>
      </c>
      <c r="P1279" s="13" t="s">
        <v>8762</v>
      </c>
      <c r="Q1279" s="13" t="s">
        <v>162</v>
      </c>
      <c r="R1279" s="13" t="s">
        <v>8763</v>
      </c>
      <c r="S1279" s="13" t="s">
        <v>192</v>
      </c>
      <c r="T1279" s="13" t="s">
        <v>146</v>
      </c>
      <c r="U1279" s="13" t="s">
        <v>110</v>
      </c>
      <c r="V1279" s="47">
        <f>SUMIF(Data!$E:$E,$I1279,Data!$AI:$AI)</f>
        <v>0</v>
      </c>
    </row>
    <row r="1280" spans="1:22" x14ac:dyDescent="0.25">
      <c r="A1280" s="46" t="s">
        <v>8210</v>
      </c>
      <c r="B1280" s="46" t="s">
        <v>120</v>
      </c>
      <c r="C1280" s="46" t="s">
        <v>5406</v>
      </c>
      <c r="D1280" s="46">
        <v>0.40623171230958099</v>
      </c>
      <c r="E1280" s="47">
        <f>SUMIF(Data!$E:$E,$C1280,Data!$AI:$AI)</f>
        <v>0</v>
      </c>
      <c r="I1280" s="13" t="s">
        <v>8764</v>
      </c>
      <c r="J1280" s="13" t="s">
        <v>8765</v>
      </c>
      <c r="K1280" s="13" t="s">
        <v>137</v>
      </c>
      <c r="L1280" s="13" t="s">
        <v>8066</v>
      </c>
      <c r="M1280" s="13" t="s">
        <v>8766</v>
      </c>
      <c r="N1280" s="13">
        <v>349.82400000000001</v>
      </c>
      <c r="O1280" s="13" t="s">
        <v>8767</v>
      </c>
      <c r="P1280" s="13" t="s">
        <v>8768</v>
      </c>
      <c r="Q1280" s="13" t="s">
        <v>162</v>
      </c>
      <c r="R1280" s="13" t="s">
        <v>8769</v>
      </c>
      <c r="S1280" s="13" t="s">
        <v>2928</v>
      </c>
      <c r="T1280" s="13" t="s">
        <v>2929</v>
      </c>
      <c r="U1280" s="13" t="s">
        <v>2930</v>
      </c>
      <c r="V1280" s="47">
        <f>SUMIF(Data!$E:$E,$I1280,Data!$AI:$AI)</f>
        <v>0</v>
      </c>
    </row>
    <row r="1281" spans="1:22" x14ac:dyDescent="0.25">
      <c r="A1281" s="46" t="s">
        <v>8210</v>
      </c>
      <c r="B1281" s="46" t="s">
        <v>120</v>
      </c>
      <c r="C1281" s="46" t="s">
        <v>5023</v>
      </c>
      <c r="D1281" s="46">
        <v>1.59241526986788</v>
      </c>
      <c r="E1281" s="47">
        <f>SUMIF(Data!$E:$E,$C1281,Data!$AI:$AI)</f>
        <v>0</v>
      </c>
      <c r="I1281" s="13">
        <v>20</v>
      </c>
      <c r="J1281" s="13" t="s">
        <v>8770</v>
      </c>
      <c r="K1281" s="13" t="s">
        <v>137</v>
      </c>
      <c r="L1281" s="13" t="s">
        <v>8066</v>
      </c>
      <c r="M1281" s="13" t="s">
        <v>8771</v>
      </c>
      <c r="N1281" s="13">
        <v>419.428</v>
      </c>
      <c r="O1281" s="13" t="s">
        <v>8772</v>
      </c>
      <c r="P1281" s="13" t="s">
        <v>8773</v>
      </c>
      <c r="Q1281" s="13" t="s">
        <v>806</v>
      </c>
      <c r="R1281" s="13" t="s">
        <v>8774</v>
      </c>
      <c r="S1281" s="13" t="s">
        <v>549</v>
      </c>
      <c r="T1281" s="13" t="s">
        <v>550</v>
      </c>
      <c r="U1281" s="13" t="s">
        <v>551</v>
      </c>
      <c r="V1281" s="47">
        <f>SUMIF(Data!$E:$E,$I1281,Data!$AI:$AI)</f>
        <v>0</v>
      </c>
    </row>
    <row r="1282" spans="1:22" x14ac:dyDescent="0.25">
      <c r="A1282" s="46" t="s">
        <v>8210</v>
      </c>
      <c r="B1282" s="46" t="s">
        <v>120</v>
      </c>
      <c r="C1282" s="46" t="s">
        <v>6747</v>
      </c>
      <c r="D1282" s="46">
        <v>0.17262215389889701</v>
      </c>
      <c r="E1282" s="47">
        <f>SUMIF(Data!$E:$E,$C1282,Data!$AI:$AI)</f>
        <v>0</v>
      </c>
      <c r="I1282" s="13">
        <v>3283</v>
      </c>
      <c r="J1282" s="13" t="s">
        <v>8775</v>
      </c>
      <c r="K1282" s="13" t="s">
        <v>137</v>
      </c>
      <c r="L1282" s="13" t="s">
        <v>8066</v>
      </c>
      <c r="M1282" s="13" t="s">
        <v>8776</v>
      </c>
      <c r="N1282" s="13">
        <v>1.1359999999999999</v>
      </c>
      <c r="O1282" s="13" t="s">
        <v>8777</v>
      </c>
      <c r="P1282" s="13" t="s">
        <v>8778</v>
      </c>
      <c r="Q1282" s="13" t="s">
        <v>806</v>
      </c>
      <c r="R1282" s="13" t="s">
        <v>8779</v>
      </c>
      <c r="S1282" s="13" t="s">
        <v>441</v>
      </c>
      <c r="T1282" s="13" t="s">
        <v>442</v>
      </c>
      <c r="U1282" s="13" t="s">
        <v>443</v>
      </c>
      <c r="V1282" s="47">
        <f>SUMIF(Data!$E:$E,$I1282,Data!$AI:$AI)</f>
        <v>0</v>
      </c>
    </row>
    <row r="1283" spans="1:22" x14ac:dyDescent="0.25">
      <c r="A1283" s="46" t="s">
        <v>8780</v>
      </c>
      <c r="B1283" s="46" t="s">
        <v>120</v>
      </c>
      <c r="C1283" s="46" t="s">
        <v>4575</v>
      </c>
      <c r="D1283" s="46">
        <v>19.652999059635999</v>
      </c>
      <c r="E1283" s="47">
        <f>SUMIF(Data!$E:$E,$C1283,Data!$AI:$AI)</f>
        <v>0</v>
      </c>
      <c r="I1283" s="13" t="s">
        <v>276</v>
      </c>
      <c r="J1283" s="13" t="s">
        <v>8781</v>
      </c>
      <c r="K1283" s="13" t="s">
        <v>137</v>
      </c>
      <c r="L1283" s="13" t="s">
        <v>8066</v>
      </c>
      <c r="M1283" s="13" t="s">
        <v>8782</v>
      </c>
      <c r="N1283" s="13">
        <v>75.063999999999993</v>
      </c>
      <c r="O1283" s="13" t="s">
        <v>8783</v>
      </c>
      <c r="P1283" s="13" t="s">
        <v>8784</v>
      </c>
      <c r="Q1283" s="13" t="s">
        <v>172</v>
      </c>
      <c r="R1283" s="13" t="s">
        <v>8785</v>
      </c>
      <c r="S1283" s="13" t="s">
        <v>725</v>
      </c>
      <c r="T1283" s="13" t="s">
        <v>726</v>
      </c>
      <c r="U1283" s="13" t="s">
        <v>727</v>
      </c>
      <c r="V1283" s="47">
        <f>SUMIF(Data!$E:$E,$I1283,Data!$AI:$AI)</f>
        <v>0</v>
      </c>
    </row>
    <row r="1284" spans="1:22" x14ac:dyDescent="0.25">
      <c r="A1284" s="46" t="s">
        <v>8780</v>
      </c>
      <c r="B1284" s="46" t="s">
        <v>120</v>
      </c>
      <c r="C1284" s="46" t="s">
        <v>2014</v>
      </c>
      <c r="D1284" s="46">
        <v>1.81644075144501</v>
      </c>
      <c r="E1284" s="47">
        <f>SUMIF(Data!$E:$E,$C1284,Data!$AI:$AI)</f>
        <v>0</v>
      </c>
      <c r="I1284" s="13" t="s">
        <v>8786</v>
      </c>
      <c r="J1284" s="13" t="s">
        <v>8787</v>
      </c>
      <c r="K1284" s="13" t="s">
        <v>137</v>
      </c>
      <c r="L1284" s="13" t="s">
        <v>8066</v>
      </c>
      <c r="M1284" s="13" t="s">
        <v>8788</v>
      </c>
      <c r="N1284" s="13">
        <v>125.732</v>
      </c>
      <c r="O1284" s="13" t="s">
        <v>8789</v>
      </c>
      <c r="P1284" s="13" t="s">
        <v>8790</v>
      </c>
      <c r="Q1284" s="13" t="s">
        <v>162</v>
      </c>
      <c r="R1284" s="13" t="s">
        <v>8791</v>
      </c>
      <c r="S1284" s="13" t="s">
        <v>145</v>
      </c>
      <c r="T1284" s="13" t="s">
        <v>550</v>
      </c>
      <c r="U1284" s="13" t="s">
        <v>110</v>
      </c>
      <c r="V1284" s="47">
        <f>SUMIF(Data!$E:$E,$I1284,Data!$AI:$AI)</f>
        <v>0</v>
      </c>
    </row>
    <row r="1285" spans="1:22" x14ac:dyDescent="0.25">
      <c r="A1285" s="46" t="s">
        <v>8780</v>
      </c>
      <c r="B1285" s="46" t="s">
        <v>120</v>
      </c>
      <c r="C1285" s="46" t="s">
        <v>4489</v>
      </c>
      <c r="D1285" s="46">
        <v>3.6735236905497399</v>
      </c>
      <c r="E1285" s="47">
        <f>SUMIF(Data!$E:$E,$C1285,Data!$AI:$AI)</f>
        <v>0</v>
      </c>
      <c r="I1285" s="13" t="s">
        <v>6024</v>
      </c>
      <c r="J1285" s="13" t="s">
        <v>8792</v>
      </c>
      <c r="K1285" s="13" t="s">
        <v>137</v>
      </c>
      <c r="L1285" s="13" t="s">
        <v>8066</v>
      </c>
      <c r="M1285" s="13" t="s">
        <v>8793</v>
      </c>
      <c r="N1285" s="13">
        <v>24.015999999999998</v>
      </c>
      <c r="O1285" s="13" t="s">
        <v>8794</v>
      </c>
      <c r="P1285" s="13" t="s">
        <v>8795</v>
      </c>
      <c r="Q1285" s="13" t="s">
        <v>416</v>
      </c>
      <c r="R1285" s="13" t="s">
        <v>8796</v>
      </c>
      <c r="S1285" s="13" t="s">
        <v>192</v>
      </c>
      <c r="T1285" s="13" t="s">
        <v>146</v>
      </c>
      <c r="U1285" s="13" t="s">
        <v>110</v>
      </c>
      <c r="V1285" s="47">
        <f>SUMIF(Data!$E:$E,$I1285,Data!$AI:$AI)</f>
        <v>0</v>
      </c>
    </row>
    <row r="1286" spans="1:22" x14ac:dyDescent="0.25">
      <c r="A1286" s="46" t="s">
        <v>8780</v>
      </c>
      <c r="B1286" s="46" t="s">
        <v>120</v>
      </c>
      <c r="C1286" s="46" t="s">
        <v>4589</v>
      </c>
      <c r="D1286" s="46">
        <v>38.710073845650399</v>
      </c>
      <c r="E1286" s="47">
        <f>SUMIF(Data!$E:$E,$C1286,Data!$AI:$AI)</f>
        <v>0</v>
      </c>
      <c r="I1286" s="13">
        <v>7181</v>
      </c>
      <c r="J1286" s="13" t="s">
        <v>8797</v>
      </c>
      <c r="K1286" s="13" t="s">
        <v>137</v>
      </c>
      <c r="L1286" s="13" t="s">
        <v>8066</v>
      </c>
      <c r="M1286" s="13" t="s">
        <v>2645</v>
      </c>
      <c r="N1286" s="13">
        <v>160.4</v>
      </c>
      <c r="O1286" s="13" t="s">
        <v>8798</v>
      </c>
      <c r="P1286" s="13" t="s">
        <v>8799</v>
      </c>
      <c r="Q1286" s="13" t="s">
        <v>190</v>
      </c>
      <c r="R1286" s="13" t="s">
        <v>8800</v>
      </c>
      <c r="S1286" s="13" t="s">
        <v>441</v>
      </c>
      <c r="T1286" s="13" t="s">
        <v>442</v>
      </c>
      <c r="U1286" s="13" t="s">
        <v>443</v>
      </c>
      <c r="V1286" s="47">
        <f>SUMIF(Data!$E:$E,$I1286,Data!$AI:$AI)</f>
        <v>0</v>
      </c>
    </row>
    <row r="1287" spans="1:22" x14ac:dyDescent="0.25">
      <c r="A1287" s="46" t="s">
        <v>8780</v>
      </c>
      <c r="B1287" s="46" t="s">
        <v>120</v>
      </c>
      <c r="C1287" s="46" t="s">
        <v>4524</v>
      </c>
      <c r="D1287" s="46">
        <v>2.28571038932628</v>
      </c>
      <c r="E1287" s="47">
        <f>SUMIF(Data!$E:$E,$C1287,Data!$AI:$AI)</f>
        <v>0</v>
      </c>
      <c r="I1287" s="13" t="s">
        <v>2691</v>
      </c>
      <c r="J1287" s="13" t="s">
        <v>8801</v>
      </c>
      <c r="K1287" s="13" t="s">
        <v>137</v>
      </c>
      <c r="L1287" s="13" t="s">
        <v>8066</v>
      </c>
      <c r="M1287" s="13" t="s">
        <v>8802</v>
      </c>
      <c r="N1287" s="13">
        <v>95.200999999999993</v>
      </c>
      <c r="O1287" s="13" t="s">
        <v>8803</v>
      </c>
      <c r="P1287" s="13" t="s">
        <v>8804</v>
      </c>
      <c r="Q1287" s="13" t="s">
        <v>190</v>
      </c>
      <c r="R1287" s="13" t="s">
        <v>8805</v>
      </c>
      <c r="S1287" s="13" t="s">
        <v>476</v>
      </c>
      <c r="T1287" s="13" t="s">
        <v>477</v>
      </c>
      <c r="U1287" s="13" t="s">
        <v>478</v>
      </c>
      <c r="V1287" s="47">
        <f>SUMIF(Data!$E:$E,$I1287,Data!$AI:$AI)</f>
        <v>0</v>
      </c>
    </row>
    <row r="1288" spans="1:22" x14ac:dyDescent="0.25">
      <c r="A1288" s="46" t="s">
        <v>8780</v>
      </c>
      <c r="B1288" s="46" t="s">
        <v>120</v>
      </c>
      <c r="C1288" s="46" t="s">
        <v>4496</v>
      </c>
      <c r="D1288" s="46">
        <v>2.0856772858170598</v>
      </c>
      <c r="E1288" s="47">
        <f>SUMIF(Data!$E:$E,$C1288,Data!$AI:$AI)</f>
        <v>0</v>
      </c>
      <c r="I1288" s="13">
        <v>6823</v>
      </c>
      <c r="J1288" s="13" t="s">
        <v>8806</v>
      </c>
      <c r="K1288" s="13" t="s">
        <v>137</v>
      </c>
      <c r="L1288" s="13" t="s">
        <v>8066</v>
      </c>
      <c r="M1288" s="13" t="s">
        <v>8807</v>
      </c>
      <c r="N1288" s="13" t="s">
        <v>8808</v>
      </c>
      <c r="O1288" s="13" t="s">
        <v>8809</v>
      </c>
      <c r="P1288" s="13" t="s">
        <v>8810</v>
      </c>
      <c r="Q1288" s="13" t="s">
        <v>172</v>
      </c>
      <c r="R1288" s="13" t="s">
        <v>8811</v>
      </c>
      <c r="S1288" s="13" t="s">
        <v>549</v>
      </c>
      <c r="T1288" s="13" t="s">
        <v>550</v>
      </c>
      <c r="U1288" s="13" t="s">
        <v>551</v>
      </c>
      <c r="V1288" s="47">
        <f>SUMIF(Data!$E:$E,$I1288,Data!$AI:$AI)</f>
        <v>0</v>
      </c>
    </row>
    <row r="1289" spans="1:22" x14ac:dyDescent="0.25">
      <c r="A1289" s="46" t="s">
        <v>8780</v>
      </c>
      <c r="B1289" s="46" t="s">
        <v>120</v>
      </c>
      <c r="C1289" s="46" t="s">
        <v>4618</v>
      </c>
      <c r="D1289" s="46">
        <v>2.4952395079729799</v>
      </c>
      <c r="E1289" s="47">
        <f>SUMIF(Data!$E:$E,$C1289,Data!$AI:$AI)</f>
        <v>0</v>
      </c>
      <c r="I1289" s="13" t="s">
        <v>8812</v>
      </c>
      <c r="J1289" s="13" t="s">
        <v>8813</v>
      </c>
      <c r="K1289" s="13" t="s">
        <v>137</v>
      </c>
      <c r="L1289" s="13" t="s">
        <v>8066</v>
      </c>
      <c r="M1289" s="13" t="s">
        <v>8814</v>
      </c>
      <c r="N1289" s="13">
        <v>68.061999999999998</v>
      </c>
      <c r="O1289" s="13" t="s">
        <v>8815</v>
      </c>
      <c r="P1289" s="13" t="s">
        <v>8816</v>
      </c>
      <c r="Q1289" s="13" t="s">
        <v>162</v>
      </c>
      <c r="R1289" s="13" t="s">
        <v>8817</v>
      </c>
      <c r="S1289" s="13" t="s">
        <v>192</v>
      </c>
      <c r="T1289" s="13" t="s">
        <v>146</v>
      </c>
      <c r="U1289" s="13" t="s">
        <v>110</v>
      </c>
      <c r="V1289" s="47">
        <f>SUMIF(Data!$E:$E,$I1289,Data!$AI:$AI)</f>
        <v>0</v>
      </c>
    </row>
    <row r="1290" spans="1:22" x14ac:dyDescent="0.25">
      <c r="A1290" s="46" t="s">
        <v>8780</v>
      </c>
      <c r="B1290" s="46" t="s">
        <v>120</v>
      </c>
      <c r="C1290" s="46" t="s">
        <v>4625</v>
      </c>
      <c r="D1290" s="46">
        <v>7.7143840677012001</v>
      </c>
      <c r="E1290" s="47">
        <f>SUMIF(Data!$E:$E,$C1290,Data!$AI:$AI)</f>
        <v>0</v>
      </c>
      <c r="I1290" s="13">
        <v>4612</v>
      </c>
      <c r="J1290" s="13" t="s">
        <v>8818</v>
      </c>
      <c r="K1290" s="13" t="s">
        <v>137</v>
      </c>
      <c r="L1290" s="13" t="s">
        <v>8066</v>
      </c>
      <c r="M1290" s="13" t="s">
        <v>8819</v>
      </c>
      <c r="N1290" s="13">
        <v>55.9</v>
      </c>
      <c r="O1290" s="13" t="s">
        <v>8820</v>
      </c>
      <c r="P1290" s="13" t="s">
        <v>8821</v>
      </c>
      <c r="Q1290" s="13" t="s">
        <v>734</v>
      </c>
      <c r="R1290" s="13" t="s">
        <v>8822</v>
      </c>
      <c r="S1290" s="13" t="s">
        <v>441</v>
      </c>
      <c r="T1290" s="13" t="s">
        <v>442</v>
      </c>
      <c r="U1290" s="13" t="s">
        <v>443</v>
      </c>
      <c r="V1290" s="47">
        <f>SUMIF(Data!$E:$E,$I1290,Data!$AI:$AI)</f>
        <v>0</v>
      </c>
    </row>
    <row r="1291" spans="1:22" x14ac:dyDescent="0.25">
      <c r="A1291" s="46" t="s">
        <v>8780</v>
      </c>
      <c r="B1291" s="46" t="s">
        <v>120</v>
      </c>
      <c r="C1291" s="46" t="s">
        <v>517</v>
      </c>
      <c r="D1291" s="46">
        <v>2.7892445886849</v>
      </c>
      <c r="E1291" s="47">
        <f>SUMIF(Data!$E:$E,$C1291,Data!$AI:$AI)</f>
        <v>0</v>
      </c>
      <c r="I1291" s="13" t="s">
        <v>8823</v>
      </c>
      <c r="J1291" s="13" t="s">
        <v>8824</v>
      </c>
      <c r="K1291" s="13" t="s">
        <v>137</v>
      </c>
      <c r="L1291" s="13" t="s">
        <v>8066</v>
      </c>
      <c r="M1291" s="13" t="s">
        <v>8825</v>
      </c>
      <c r="N1291" s="13">
        <v>146.923</v>
      </c>
      <c r="O1291" s="13" t="s">
        <v>8826</v>
      </c>
      <c r="P1291" s="13" t="s">
        <v>8827</v>
      </c>
      <c r="Q1291" s="13" t="s">
        <v>694</v>
      </c>
      <c r="R1291" s="13" t="s">
        <v>8828</v>
      </c>
      <c r="S1291" s="13" t="s">
        <v>1164</v>
      </c>
      <c r="T1291" s="13" t="s">
        <v>1165</v>
      </c>
      <c r="U1291" s="13" t="s">
        <v>525</v>
      </c>
      <c r="V1291" s="47">
        <f>SUMIF(Data!$E:$E,$I1291,Data!$AI:$AI)</f>
        <v>0</v>
      </c>
    </row>
    <row r="1292" spans="1:22" x14ac:dyDescent="0.25">
      <c r="A1292" s="46" t="s">
        <v>8780</v>
      </c>
      <c r="B1292" s="46" t="s">
        <v>120</v>
      </c>
      <c r="C1292" s="46" t="s">
        <v>4481</v>
      </c>
      <c r="D1292" s="46">
        <v>17.060935451079299</v>
      </c>
      <c r="E1292" s="47">
        <f>SUMIF(Data!$E:$E,$C1292,Data!$AI:$AI)</f>
        <v>0</v>
      </c>
      <c r="I1292" s="13" t="s">
        <v>8829</v>
      </c>
      <c r="J1292" s="13" t="s">
        <v>8830</v>
      </c>
      <c r="K1292" s="13" t="s">
        <v>137</v>
      </c>
      <c r="L1292" s="13" t="s">
        <v>8066</v>
      </c>
      <c r="M1292" s="13" t="s">
        <v>8831</v>
      </c>
      <c r="N1292" s="13">
        <v>73.56</v>
      </c>
      <c r="O1292" s="13" t="s">
        <v>8832</v>
      </c>
      <c r="P1292" s="13" t="s">
        <v>8833</v>
      </c>
      <c r="Q1292" s="13" t="s">
        <v>734</v>
      </c>
      <c r="R1292" s="13" t="s">
        <v>8834</v>
      </c>
      <c r="S1292" s="13" t="s">
        <v>192</v>
      </c>
      <c r="T1292" s="13" t="s">
        <v>146</v>
      </c>
      <c r="U1292" s="13" t="s">
        <v>110</v>
      </c>
      <c r="V1292" s="47">
        <f>SUMIF(Data!$E:$E,$I1292,Data!$AI:$AI)</f>
        <v>0</v>
      </c>
    </row>
    <row r="1293" spans="1:22" x14ac:dyDescent="0.25">
      <c r="A1293" s="46" t="s">
        <v>8780</v>
      </c>
      <c r="B1293" s="46" t="s">
        <v>120</v>
      </c>
      <c r="C1293" s="46" t="s">
        <v>4602</v>
      </c>
      <c r="D1293" s="46">
        <v>1.71577136213707</v>
      </c>
      <c r="E1293" s="47">
        <f>SUMIF(Data!$E:$E,$C1293,Data!$AI:$AI)</f>
        <v>0</v>
      </c>
      <c r="I1293" s="13" t="s">
        <v>8835</v>
      </c>
      <c r="J1293" s="13" t="s">
        <v>8836</v>
      </c>
      <c r="K1293" s="13" t="s">
        <v>137</v>
      </c>
      <c r="L1293" s="13" t="s">
        <v>8066</v>
      </c>
      <c r="M1293" s="13" t="s">
        <v>8837</v>
      </c>
      <c r="N1293" s="13">
        <v>100.631</v>
      </c>
      <c r="O1293" s="13" t="s">
        <v>8838</v>
      </c>
      <c r="P1293" s="13" t="s">
        <v>8839</v>
      </c>
      <c r="Q1293" s="13" t="s">
        <v>172</v>
      </c>
      <c r="R1293" s="13" t="s">
        <v>8840</v>
      </c>
      <c r="S1293" s="13" t="s">
        <v>1274</v>
      </c>
      <c r="T1293" s="13" t="s">
        <v>1275</v>
      </c>
      <c r="U1293" s="13" t="s">
        <v>525</v>
      </c>
      <c r="V1293" s="47">
        <f>SUMIF(Data!$E:$E,$I1293,Data!$AI:$AI)</f>
        <v>0</v>
      </c>
    </row>
    <row r="1294" spans="1:22" x14ac:dyDescent="0.25">
      <c r="A1294" s="46" t="s">
        <v>8841</v>
      </c>
      <c r="B1294" s="46" t="s">
        <v>120</v>
      </c>
      <c r="C1294" s="46" t="s">
        <v>4765</v>
      </c>
      <c r="D1294" s="46">
        <v>2.0184996420080701</v>
      </c>
      <c r="E1294" s="47">
        <f>SUMIF(Data!$E:$E,$C1294,Data!$AI:$AI)</f>
        <v>0</v>
      </c>
      <c r="I1294" s="13">
        <v>6724</v>
      </c>
      <c r="J1294" s="13" t="s">
        <v>8842</v>
      </c>
      <c r="K1294" s="13" t="s">
        <v>137</v>
      </c>
      <c r="L1294" s="13" t="s">
        <v>8066</v>
      </c>
      <c r="M1294" s="13" t="s">
        <v>8843</v>
      </c>
      <c r="N1294" s="13">
        <v>190.2</v>
      </c>
      <c r="O1294" s="13" t="s">
        <v>8844</v>
      </c>
      <c r="P1294" s="13" t="s">
        <v>8845</v>
      </c>
      <c r="Q1294" s="13" t="s">
        <v>143</v>
      </c>
      <c r="R1294" s="13" t="s">
        <v>8846</v>
      </c>
      <c r="S1294" s="13" t="s">
        <v>441</v>
      </c>
      <c r="T1294" s="13" t="s">
        <v>442</v>
      </c>
      <c r="U1294" s="13" t="s">
        <v>443</v>
      </c>
      <c r="V1294" s="47">
        <f>SUMIF(Data!$E:$E,$I1294,Data!$AI:$AI)</f>
        <v>0</v>
      </c>
    </row>
    <row r="1295" spans="1:22" x14ac:dyDescent="0.25">
      <c r="A1295" s="46" t="s">
        <v>8841</v>
      </c>
      <c r="B1295" s="46" t="s">
        <v>120</v>
      </c>
      <c r="C1295" s="46" t="s">
        <v>5048</v>
      </c>
      <c r="D1295" s="46">
        <v>1.0816892614015099</v>
      </c>
      <c r="E1295" s="47">
        <f>SUMIF(Data!$E:$E,$C1295,Data!$AI:$AI)</f>
        <v>0</v>
      </c>
      <c r="I1295" s="13" t="s">
        <v>8847</v>
      </c>
      <c r="J1295" s="13" t="s">
        <v>8848</v>
      </c>
      <c r="K1295" s="13" t="s">
        <v>137</v>
      </c>
      <c r="L1295" s="13" t="s">
        <v>8066</v>
      </c>
      <c r="M1295" s="13" t="s">
        <v>8849</v>
      </c>
      <c r="N1295" s="13">
        <v>56.432000000000002</v>
      </c>
      <c r="O1295" s="13" t="s">
        <v>8850</v>
      </c>
      <c r="P1295" s="13" t="s">
        <v>8851</v>
      </c>
      <c r="Q1295" s="13" t="s">
        <v>416</v>
      </c>
      <c r="R1295" s="13" t="s">
        <v>8852</v>
      </c>
      <c r="S1295" s="13" t="s">
        <v>192</v>
      </c>
      <c r="T1295" s="13" t="s">
        <v>146</v>
      </c>
      <c r="U1295" s="13" t="s">
        <v>110</v>
      </c>
      <c r="V1295" s="47">
        <f>SUMIF(Data!$E:$E,$I1295,Data!$AI:$AI)</f>
        <v>0</v>
      </c>
    </row>
    <row r="1296" spans="1:22" x14ac:dyDescent="0.25">
      <c r="A1296" s="46" t="s">
        <v>8841</v>
      </c>
      <c r="B1296" s="46" t="s">
        <v>120</v>
      </c>
      <c r="C1296" s="46" t="s">
        <v>5062</v>
      </c>
      <c r="D1296" s="46">
        <v>0.84160841869374603</v>
      </c>
      <c r="E1296" s="47">
        <f>SUMIF(Data!$E:$E,$C1296,Data!$AI:$AI)</f>
        <v>0</v>
      </c>
      <c r="I1296" s="13" t="s">
        <v>8853</v>
      </c>
      <c r="J1296" s="13" t="s">
        <v>8854</v>
      </c>
      <c r="K1296" s="13" t="s">
        <v>137</v>
      </c>
      <c r="L1296" s="13" t="s">
        <v>8066</v>
      </c>
      <c r="M1296" s="13" t="s">
        <v>8855</v>
      </c>
      <c r="N1296" s="13">
        <v>80.915000000000006</v>
      </c>
      <c r="O1296" s="13" t="s">
        <v>8856</v>
      </c>
      <c r="P1296" s="13" t="s">
        <v>8857</v>
      </c>
      <c r="Q1296" s="13" t="s">
        <v>416</v>
      </c>
      <c r="R1296" s="13" t="s">
        <v>8858</v>
      </c>
      <c r="S1296" s="13" t="s">
        <v>192</v>
      </c>
      <c r="T1296" s="13" t="s">
        <v>146</v>
      </c>
      <c r="U1296" s="13" t="s">
        <v>110</v>
      </c>
      <c r="V1296" s="47">
        <f>SUMIF(Data!$E:$E,$I1296,Data!$AI:$AI)</f>
        <v>0</v>
      </c>
    </row>
    <row r="1297" spans="1:22" x14ac:dyDescent="0.25">
      <c r="A1297" s="46" t="s">
        <v>8841</v>
      </c>
      <c r="B1297" s="46" t="s">
        <v>120</v>
      </c>
      <c r="C1297" s="46" t="s">
        <v>4779</v>
      </c>
      <c r="D1297" s="46">
        <v>2.1145041626057801</v>
      </c>
      <c r="E1297" s="47">
        <f>SUMIF(Data!$E:$E,$C1297,Data!$AI:$AI)</f>
        <v>0</v>
      </c>
      <c r="I1297" s="13" t="s">
        <v>8859</v>
      </c>
      <c r="J1297" s="13" t="s">
        <v>8860</v>
      </c>
      <c r="K1297" s="13" t="s">
        <v>137</v>
      </c>
      <c r="L1297" s="13" t="s">
        <v>8066</v>
      </c>
      <c r="M1297" s="13" t="s">
        <v>8861</v>
      </c>
      <c r="N1297" s="13">
        <v>38.439</v>
      </c>
      <c r="O1297" s="13" t="s">
        <v>8862</v>
      </c>
      <c r="P1297" s="13" t="s">
        <v>8863</v>
      </c>
      <c r="Q1297" s="13" t="s">
        <v>734</v>
      </c>
      <c r="R1297" s="13" t="s">
        <v>8864</v>
      </c>
      <c r="S1297" s="13" t="s">
        <v>192</v>
      </c>
      <c r="T1297" s="13" t="s">
        <v>146</v>
      </c>
      <c r="U1297" s="13" t="s">
        <v>110</v>
      </c>
      <c r="V1297" s="47">
        <f>SUMIF(Data!$E:$E,$I1297,Data!$AI:$AI)</f>
        <v>0</v>
      </c>
    </row>
    <row r="1298" spans="1:22" x14ac:dyDescent="0.25">
      <c r="A1298" s="46" t="s">
        <v>8841</v>
      </c>
      <c r="B1298" s="46" t="s">
        <v>120</v>
      </c>
      <c r="C1298" s="46" t="s">
        <v>5112</v>
      </c>
      <c r="D1298" s="46">
        <v>0.86364765748072403</v>
      </c>
      <c r="E1298" s="47">
        <f>SUMIF(Data!$E:$E,$C1298,Data!$AI:$AI)</f>
        <v>0</v>
      </c>
      <c r="I1298" s="13" t="s">
        <v>8865</v>
      </c>
      <c r="J1298" s="13" t="s">
        <v>8866</v>
      </c>
      <c r="K1298" s="13" t="s">
        <v>137</v>
      </c>
      <c r="L1298" s="13" t="s">
        <v>8066</v>
      </c>
      <c r="M1298" s="13" t="s">
        <v>8867</v>
      </c>
      <c r="N1298" s="13">
        <v>167.804</v>
      </c>
      <c r="O1298" s="13" t="s">
        <v>8868</v>
      </c>
      <c r="P1298" s="13" t="s">
        <v>8869</v>
      </c>
      <c r="Q1298" s="13" t="s">
        <v>224</v>
      </c>
      <c r="R1298" s="13" t="s">
        <v>8870</v>
      </c>
      <c r="S1298" s="13" t="s">
        <v>5204</v>
      </c>
      <c r="T1298" s="13" t="s">
        <v>5205</v>
      </c>
      <c r="U1298" s="13" t="s">
        <v>525</v>
      </c>
      <c r="V1298" s="47">
        <f>SUMIF(Data!$E:$E,$I1298,Data!$AI:$AI)</f>
        <v>0</v>
      </c>
    </row>
    <row r="1299" spans="1:22" x14ac:dyDescent="0.25">
      <c r="A1299" s="46" t="s">
        <v>8841</v>
      </c>
      <c r="B1299" s="46" t="s">
        <v>120</v>
      </c>
      <c r="C1299" s="46" t="s">
        <v>4838</v>
      </c>
      <c r="D1299" s="46">
        <v>5.0271969072380696</v>
      </c>
      <c r="E1299" s="47">
        <f>SUMIF(Data!$E:$E,$C1299,Data!$AI:$AI)</f>
        <v>0</v>
      </c>
      <c r="I1299" s="13" t="s">
        <v>8871</v>
      </c>
      <c r="J1299" s="13" t="s">
        <v>8872</v>
      </c>
      <c r="K1299" s="13" t="s">
        <v>137</v>
      </c>
      <c r="L1299" s="13" t="s">
        <v>8066</v>
      </c>
      <c r="M1299" s="13" t="s">
        <v>8873</v>
      </c>
      <c r="N1299" s="13">
        <v>242.648</v>
      </c>
      <c r="O1299" s="13" t="s">
        <v>8874</v>
      </c>
      <c r="P1299" s="13" t="s">
        <v>8875</v>
      </c>
      <c r="Q1299" s="13" t="s">
        <v>260</v>
      </c>
      <c r="R1299" s="13" t="s">
        <v>8876</v>
      </c>
      <c r="S1299" s="13" t="s">
        <v>1127</v>
      </c>
      <c r="T1299" s="13" t="s">
        <v>1128</v>
      </c>
      <c r="U1299" s="13" t="s">
        <v>525</v>
      </c>
      <c r="V1299" s="47">
        <f>SUMIF(Data!$E:$E,$I1299,Data!$AI:$AI)</f>
        <v>0</v>
      </c>
    </row>
    <row r="1300" spans="1:22" x14ac:dyDescent="0.25">
      <c r="A1300" s="46" t="s">
        <v>8841</v>
      </c>
      <c r="B1300" s="46" t="s">
        <v>120</v>
      </c>
      <c r="C1300" s="46" t="s">
        <v>4852</v>
      </c>
      <c r="D1300" s="46">
        <v>39.319741229009097</v>
      </c>
      <c r="E1300" s="47">
        <f>SUMIF(Data!$E:$E,$C1300,Data!$AI:$AI)</f>
        <v>0</v>
      </c>
      <c r="I1300" s="13" t="s">
        <v>8877</v>
      </c>
      <c r="J1300" s="13" t="s">
        <v>8878</v>
      </c>
      <c r="K1300" s="13" t="s">
        <v>137</v>
      </c>
      <c r="L1300" s="13" t="s">
        <v>8066</v>
      </c>
      <c r="M1300" s="13" t="s">
        <v>8879</v>
      </c>
      <c r="N1300" s="13">
        <v>29.286999999999999</v>
      </c>
      <c r="O1300" s="13" t="s">
        <v>8880</v>
      </c>
      <c r="P1300" s="13" t="s">
        <v>8881</v>
      </c>
      <c r="Q1300" s="13" t="s">
        <v>162</v>
      </c>
      <c r="R1300" s="13" t="s">
        <v>8882</v>
      </c>
      <c r="S1300" s="13" t="s">
        <v>192</v>
      </c>
      <c r="T1300" s="13" t="s">
        <v>146</v>
      </c>
      <c r="U1300" s="13" t="s">
        <v>110</v>
      </c>
      <c r="V1300" s="47">
        <f>SUMIF(Data!$E:$E,$I1300,Data!$AI:$AI)</f>
        <v>0</v>
      </c>
    </row>
    <row r="1301" spans="1:22" x14ac:dyDescent="0.25">
      <c r="A1301" s="46" t="s">
        <v>8841</v>
      </c>
      <c r="B1301" s="46" t="s">
        <v>120</v>
      </c>
      <c r="C1301" s="46" t="s">
        <v>4859</v>
      </c>
      <c r="D1301" s="46">
        <v>1.1758927800191401</v>
      </c>
      <c r="E1301" s="47">
        <f>SUMIF(Data!$E:$E,$C1301,Data!$AI:$AI)</f>
        <v>0</v>
      </c>
      <c r="I1301" s="13" t="s">
        <v>8883</v>
      </c>
      <c r="J1301" s="13" t="s">
        <v>8884</v>
      </c>
      <c r="K1301" s="13" t="s">
        <v>137</v>
      </c>
      <c r="L1301" s="13" t="s">
        <v>8066</v>
      </c>
      <c r="M1301" s="13" t="s">
        <v>8885</v>
      </c>
      <c r="N1301" s="13">
        <v>59.082999999999998</v>
      </c>
      <c r="O1301" s="13" t="s">
        <v>8886</v>
      </c>
      <c r="P1301" s="13" t="s">
        <v>8887</v>
      </c>
      <c r="Q1301" s="13" t="s">
        <v>190</v>
      </c>
      <c r="R1301" s="13" t="s">
        <v>8888</v>
      </c>
      <c r="S1301" s="13" t="s">
        <v>192</v>
      </c>
      <c r="T1301" s="13" t="s">
        <v>146</v>
      </c>
      <c r="U1301" s="13" t="s">
        <v>110</v>
      </c>
      <c r="V1301" s="47">
        <f>SUMIF(Data!$E:$E,$I1301,Data!$AI:$AI)</f>
        <v>0</v>
      </c>
    </row>
    <row r="1302" spans="1:22" x14ac:dyDescent="0.25">
      <c r="A1302" s="46" t="s">
        <v>8841</v>
      </c>
      <c r="B1302" s="46" t="s">
        <v>120</v>
      </c>
      <c r="C1302" s="46" t="s">
        <v>5170</v>
      </c>
      <c r="D1302" s="46">
        <v>0.75468893500793499</v>
      </c>
      <c r="E1302" s="47">
        <f>SUMIF(Data!$E:$E,$C1302,Data!$AI:$AI)</f>
        <v>0</v>
      </c>
      <c r="I1302" s="13" t="s">
        <v>8889</v>
      </c>
      <c r="J1302" s="13" t="s">
        <v>8890</v>
      </c>
      <c r="K1302" s="13" t="s">
        <v>137</v>
      </c>
      <c r="L1302" s="13" t="s">
        <v>8066</v>
      </c>
      <c r="M1302" s="13" t="s">
        <v>8891</v>
      </c>
      <c r="N1302" s="13">
        <v>77.122</v>
      </c>
      <c r="O1302" s="13" t="s">
        <v>8892</v>
      </c>
      <c r="P1302" s="13" t="s">
        <v>8893</v>
      </c>
      <c r="Q1302" s="13" t="s">
        <v>172</v>
      </c>
      <c r="R1302" s="13" t="s">
        <v>8894</v>
      </c>
      <c r="S1302" s="13" t="s">
        <v>145</v>
      </c>
      <c r="T1302" s="13" t="s">
        <v>146</v>
      </c>
      <c r="U1302" s="13" t="s">
        <v>110</v>
      </c>
      <c r="V1302" s="47">
        <f>SUMIF(Data!$E:$E,$I1302,Data!$AI:$AI)</f>
        <v>0</v>
      </c>
    </row>
    <row r="1303" spans="1:22" x14ac:dyDescent="0.25">
      <c r="A1303" s="46" t="s">
        <v>8841</v>
      </c>
      <c r="B1303" s="46" t="s">
        <v>120</v>
      </c>
      <c r="C1303" s="46" t="s">
        <v>4870</v>
      </c>
      <c r="D1303" s="46">
        <v>3.24469135086265</v>
      </c>
      <c r="E1303" s="47">
        <f>SUMIF(Data!$E:$E,$C1303,Data!$AI:$AI)</f>
        <v>0</v>
      </c>
      <c r="I1303" s="13" t="s">
        <v>8895</v>
      </c>
      <c r="J1303" s="13" t="s">
        <v>8896</v>
      </c>
      <c r="K1303" s="13" t="s">
        <v>137</v>
      </c>
      <c r="L1303" s="13" t="s">
        <v>8066</v>
      </c>
      <c r="M1303" s="13" t="s">
        <v>8897</v>
      </c>
      <c r="N1303" s="13">
        <v>34.627000000000002</v>
      </c>
      <c r="O1303" s="13" t="s">
        <v>8898</v>
      </c>
      <c r="P1303" s="13" t="s">
        <v>8899</v>
      </c>
      <c r="Q1303" s="13" t="s">
        <v>162</v>
      </c>
      <c r="R1303" s="13" t="s">
        <v>8900</v>
      </c>
      <c r="S1303" s="13" t="s">
        <v>523</v>
      </c>
      <c r="T1303" s="13" t="s">
        <v>524</v>
      </c>
      <c r="U1303" s="13" t="s">
        <v>525</v>
      </c>
      <c r="V1303" s="47">
        <f>SUMIF(Data!$E:$E,$I1303,Data!$AI:$AI)</f>
        <v>0</v>
      </c>
    </row>
    <row r="1304" spans="1:22" x14ac:dyDescent="0.25">
      <c r="A1304" s="46" t="s">
        <v>8841</v>
      </c>
      <c r="B1304" s="46" t="s">
        <v>120</v>
      </c>
      <c r="C1304" s="46" t="s">
        <v>4897</v>
      </c>
      <c r="D1304" s="46">
        <v>2.7698776624448498</v>
      </c>
      <c r="E1304" s="47">
        <f>SUMIF(Data!$E:$E,$C1304,Data!$AI:$AI)</f>
        <v>0</v>
      </c>
      <c r="I1304" s="13">
        <v>1802</v>
      </c>
      <c r="J1304" s="13" t="s">
        <v>8901</v>
      </c>
      <c r="K1304" s="13" t="s">
        <v>137</v>
      </c>
      <c r="L1304" s="13" t="s">
        <v>8066</v>
      </c>
      <c r="M1304" s="13" t="s">
        <v>8902</v>
      </c>
      <c r="N1304" s="13">
        <v>248.172</v>
      </c>
      <c r="O1304" s="13" t="s">
        <v>8903</v>
      </c>
      <c r="P1304" s="13" t="s">
        <v>8904</v>
      </c>
      <c r="Q1304" s="13" t="s">
        <v>416</v>
      </c>
      <c r="R1304" s="13" t="s">
        <v>8905</v>
      </c>
      <c r="S1304" s="13" t="s">
        <v>441</v>
      </c>
      <c r="T1304" s="13" t="s">
        <v>442</v>
      </c>
      <c r="U1304" s="13" t="s">
        <v>443</v>
      </c>
      <c r="V1304" s="47">
        <f>SUMIF(Data!$E:$E,$I1304,Data!$AI:$AI)</f>
        <v>0</v>
      </c>
    </row>
    <row r="1305" spans="1:22" x14ac:dyDescent="0.25">
      <c r="A1305" s="46" t="s">
        <v>8841</v>
      </c>
      <c r="B1305" s="46" t="s">
        <v>120</v>
      </c>
      <c r="C1305" s="46" t="s">
        <v>4916</v>
      </c>
      <c r="D1305" s="46">
        <v>1.09713151662686</v>
      </c>
      <c r="E1305" s="47">
        <f>SUMIF(Data!$E:$E,$C1305,Data!$AI:$AI)</f>
        <v>0</v>
      </c>
      <c r="I1305" s="13" t="s">
        <v>8906</v>
      </c>
      <c r="J1305" s="13" t="s">
        <v>8907</v>
      </c>
      <c r="K1305" s="13" t="s">
        <v>137</v>
      </c>
      <c r="L1305" s="13" t="s">
        <v>8066</v>
      </c>
      <c r="M1305" s="13" t="s">
        <v>8908</v>
      </c>
      <c r="N1305" s="13">
        <v>115.039</v>
      </c>
      <c r="O1305" s="13" t="s">
        <v>8909</v>
      </c>
      <c r="P1305" s="13" t="s">
        <v>8910</v>
      </c>
      <c r="Q1305" s="13" t="s">
        <v>190</v>
      </c>
      <c r="R1305" s="13" t="s">
        <v>8911</v>
      </c>
      <c r="S1305" s="13" t="s">
        <v>2928</v>
      </c>
      <c r="T1305" s="13" t="s">
        <v>2929</v>
      </c>
      <c r="U1305" s="13" t="s">
        <v>2930</v>
      </c>
      <c r="V1305" s="47">
        <f>SUMIF(Data!$E:$E,$I1305,Data!$AI:$AI)</f>
        <v>0</v>
      </c>
    </row>
    <row r="1306" spans="1:22" x14ac:dyDescent="0.25">
      <c r="A1306" s="46" t="s">
        <v>8841</v>
      </c>
      <c r="B1306" s="46" t="s">
        <v>120</v>
      </c>
      <c r="C1306" s="46" t="s">
        <v>4923</v>
      </c>
      <c r="D1306" s="46">
        <v>1.36251241464696</v>
      </c>
      <c r="E1306" s="47">
        <f>SUMIF(Data!$E:$E,$C1306,Data!$AI:$AI)</f>
        <v>0</v>
      </c>
      <c r="I1306" s="13">
        <v>2801</v>
      </c>
      <c r="J1306" s="13" t="s">
        <v>8912</v>
      </c>
      <c r="K1306" s="13" t="s">
        <v>137</v>
      </c>
      <c r="L1306" s="13" t="s">
        <v>8066</v>
      </c>
      <c r="M1306" s="13" t="s">
        <v>8913</v>
      </c>
      <c r="N1306" s="13">
        <v>55.5</v>
      </c>
      <c r="O1306" s="13" t="s">
        <v>8914</v>
      </c>
      <c r="P1306" s="13" t="s">
        <v>8915</v>
      </c>
      <c r="Q1306" s="13" t="s">
        <v>224</v>
      </c>
      <c r="R1306" s="13" t="s">
        <v>8916</v>
      </c>
      <c r="S1306" s="13" t="s">
        <v>441</v>
      </c>
      <c r="T1306" s="13" t="s">
        <v>442</v>
      </c>
      <c r="U1306" s="13" t="s">
        <v>443</v>
      </c>
      <c r="V1306" s="47">
        <f>SUMIF(Data!$E:$E,$I1306,Data!$AI:$AI)</f>
        <v>0</v>
      </c>
    </row>
    <row r="1307" spans="1:22" x14ac:dyDescent="0.25">
      <c r="A1307" s="46" t="s">
        <v>8841</v>
      </c>
      <c r="B1307" s="46" t="s">
        <v>120</v>
      </c>
      <c r="C1307" s="46" t="s">
        <v>3898</v>
      </c>
      <c r="D1307" s="46">
        <v>1.1652390558183701</v>
      </c>
      <c r="E1307" s="47">
        <f>SUMIF(Data!$E:$E,$C1307,Data!$AI:$AI)</f>
        <v>0</v>
      </c>
      <c r="I1307" s="13" t="s">
        <v>8917</v>
      </c>
      <c r="J1307" s="13" t="s">
        <v>8918</v>
      </c>
      <c r="K1307" s="13" t="s">
        <v>137</v>
      </c>
      <c r="L1307" s="13" t="s">
        <v>8066</v>
      </c>
      <c r="M1307" s="13" t="s">
        <v>8919</v>
      </c>
      <c r="N1307" s="13">
        <v>191.76599999999999</v>
      </c>
      <c r="O1307" s="13" t="s">
        <v>8920</v>
      </c>
      <c r="P1307" s="13" t="s">
        <v>8921</v>
      </c>
      <c r="Q1307" s="13" t="s">
        <v>172</v>
      </c>
      <c r="R1307" s="13" t="s">
        <v>8922</v>
      </c>
      <c r="S1307" s="13" t="s">
        <v>145</v>
      </c>
      <c r="T1307" s="13" t="s">
        <v>146</v>
      </c>
      <c r="U1307" s="13" t="s">
        <v>110</v>
      </c>
      <c r="V1307" s="47">
        <f>SUMIF(Data!$E:$E,$I1307,Data!$AI:$AI)</f>
        <v>0</v>
      </c>
    </row>
    <row r="1308" spans="1:22" x14ac:dyDescent="0.25">
      <c r="A1308" s="46" t="s">
        <v>8841</v>
      </c>
      <c r="B1308" s="46" t="s">
        <v>120</v>
      </c>
      <c r="C1308" s="46" t="s">
        <v>4935</v>
      </c>
      <c r="D1308" s="46">
        <v>1.5531037687007101</v>
      </c>
      <c r="E1308" s="47">
        <f>SUMIF(Data!$E:$E,$C1308,Data!$AI:$AI)</f>
        <v>0</v>
      </c>
      <c r="I1308" s="13" t="s">
        <v>8923</v>
      </c>
      <c r="J1308" s="13" t="s">
        <v>8924</v>
      </c>
      <c r="K1308" s="13" t="s">
        <v>137</v>
      </c>
      <c r="L1308" s="13" t="s">
        <v>8066</v>
      </c>
      <c r="M1308" s="13" t="s">
        <v>8925</v>
      </c>
      <c r="N1308" s="13">
        <v>643.06100000000004</v>
      </c>
      <c r="O1308" s="13" t="s">
        <v>8926</v>
      </c>
      <c r="P1308" s="13" t="s">
        <v>8927</v>
      </c>
      <c r="Q1308" s="13" t="s">
        <v>190</v>
      </c>
      <c r="R1308" s="13" t="s">
        <v>8928</v>
      </c>
      <c r="S1308" s="13" t="s">
        <v>476</v>
      </c>
      <c r="T1308" s="13" t="s">
        <v>477</v>
      </c>
      <c r="U1308" s="13" t="s">
        <v>478</v>
      </c>
      <c r="V1308" s="47">
        <f>SUMIF(Data!$E:$E,$I1308,Data!$AI:$AI)</f>
        <v>0</v>
      </c>
    </row>
    <row r="1309" spans="1:22" x14ac:dyDescent="0.25">
      <c r="A1309" s="46" t="s">
        <v>8841</v>
      </c>
      <c r="B1309" s="46" t="s">
        <v>120</v>
      </c>
      <c r="C1309" s="46" t="s">
        <v>4006</v>
      </c>
      <c r="D1309" s="46">
        <v>0.39664549415140499</v>
      </c>
      <c r="E1309" s="47">
        <f>SUMIF(Data!$E:$E,$C1309,Data!$AI:$AI)</f>
        <v>0</v>
      </c>
      <c r="I1309" s="13">
        <v>5233</v>
      </c>
      <c r="J1309" s="13" t="s">
        <v>8929</v>
      </c>
      <c r="K1309" s="13" t="s">
        <v>137</v>
      </c>
      <c r="L1309" s="13" t="s">
        <v>8066</v>
      </c>
      <c r="M1309" s="13" t="s">
        <v>8930</v>
      </c>
      <c r="N1309" s="13">
        <v>94.8</v>
      </c>
      <c r="O1309" s="13" t="s">
        <v>8931</v>
      </c>
      <c r="P1309" s="13" t="s">
        <v>8932</v>
      </c>
      <c r="Q1309" s="13" t="s">
        <v>734</v>
      </c>
      <c r="R1309" s="13" t="s">
        <v>8933</v>
      </c>
      <c r="S1309" s="13" t="s">
        <v>441</v>
      </c>
      <c r="T1309" s="13" t="s">
        <v>442</v>
      </c>
      <c r="U1309" s="13" t="s">
        <v>443</v>
      </c>
      <c r="V1309" s="47">
        <f>SUMIF(Data!$E:$E,$I1309,Data!$AI:$AI)</f>
        <v>0</v>
      </c>
    </row>
    <row r="1310" spans="1:22" x14ac:dyDescent="0.25">
      <c r="A1310" s="46" t="s">
        <v>8841</v>
      </c>
      <c r="B1310" s="46" t="s">
        <v>120</v>
      </c>
      <c r="C1310" s="46" t="s">
        <v>1939</v>
      </c>
      <c r="D1310" s="46">
        <v>17.819830189426401</v>
      </c>
      <c r="E1310" s="47">
        <f>SUMIF(Data!$E:$E,$C1310,Data!$AI:$AI)</f>
        <v>0</v>
      </c>
      <c r="I1310" s="13" t="s">
        <v>4165</v>
      </c>
      <c r="J1310" s="13" t="s">
        <v>8934</v>
      </c>
      <c r="K1310" s="13" t="s">
        <v>137</v>
      </c>
      <c r="L1310" s="13" t="s">
        <v>8066</v>
      </c>
      <c r="M1310" s="13" t="s">
        <v>8935</v>
      </c>
      <c r="N1310" s="13">
        <v>600.64700000000005</v>
      </c>
      <c r="O1310" s="13" t="s">
        <v>8936</v>
      </c>
      <c r="P1310" s="13" t="s">
        <v>8937</v>
      </c>
      <c r="Q1310" s="13" t="s">
        <v>734</v>
      </c>
      <c r="R1310" s="13" t="s">
        <v>8938</v>
      </c>
      <c r="S1310" s="13" t="s">
        <v>725</v>
      </c>
      <c r="T1310" s="13" t="s">
        <v>726</v>
      </c>
      <c r="U1310" s="13" t="s">
        <v>727</v>
      </c>
      <c r="V1310" s="47">
        <f>SUMIF(Data!$E:$E,$I1310,Data!$AI:$AI)</f>
        <v>0</v>
      </c>
    </row>
    <row r="1311" spans="1:22" x14ac:dyDescent="0.25">
      <c r="A1311" s="46" t="s">
        <v>8841</v>
      </c>
      <c r="B1311" s="46" t="s">
        <v>120</v>
      </c>
      <c r="C1311" s="46" t="s">
        <v>4948</v>
      </c>
      <c r="D1311" s="46">
        <v>5.3066236348258604</v>
      </c>
      <c r="E1311" s="47">
        <f>SUMIF(Data!$E:$E,$C1311,Data!$AI:$AI)</f>
        <v>0</v>
      </c>
      <c r="I1311" s="13" t="s">
        <v>111</v>
      </c>
      <c r="J1311" s="13" t="s">
        <v>8939</v>
      </c>
      <c r="K1311" s="13" t="s">
        <v>137</v>
      </c>
      <c r="L1311" s="13" t="s">
        <v>8066</v>
      </c>
      <c r="M1311" s="13" t="s">
        <v>8940</v>
      </c>
      <c r="N1311" s="13">
        <v>123.539</v>
      </c>
      <c r="O1311" s="13" t="s">
        <v>8941</v>
      </c>
      <c r="P1311" s="13" t="s">
        <v>8942</v>
      </c>
      <c r="Q1311" s="13" t="s">
        <v>734</v>
      </c>
      <c r="R1311" s="13" t="s">
        <v>8943</v>
      </c>
      <c r="S1311" s="13" t="s">
        <v>226</v>
      </c>
      <c r="T1311" s="13" t="s">
        <v>227</v>
      </c>
      <c r="U1311" s="13" t="s">
        <v>228</v>
      </c>
      <c r="V1311" s="47">
        <f>SUMIF(Data!$E:$E,$I1311,Data!$AI:$AI)</f>
        <v>0</v>
      </c>
    </row>
    <row r="1312" spans="1:22" x14ac:dyDescent="0.25">
      <c r="A1312" s="46" t="s">
        <v>8841</v>
      </c>
      <c r="B1312" s="46" t="s">
        <v>120</v>
      </c>
      <c r="C1312" s="46" t="s">
        <v>1466</v>
      </c>
      <c r="D1312" s="46">
        <v>2.3784917886333599</v>
      </c>
      <c r="E1312" s="47">
        <f>SUMIF(Data!$E:$E,$C1312,Data!$AI:$AI)</f>
        <v>0</v>
      </c>
      <c r="I1312" s="13" t="s">
        <v>8944</v>
      </c>
      <c r="J1312" s="13" t="s">
        <v>8945</v>
      </c>
      <c r="K1312" s="13" t="s">
        <v>137</v>
      </c>
      <c r="L1312" s="13" t="s">
        <v>8066</v>
      </c>
      <c r="M1312" s="13" t="s">
        <v>8946</v>
      </c>
      <c r="N1312" s="13">
        <v>301.57100000000003</v>
      </c>
      <c r="O1312" s="13" t="s">
        <v>8947</v>
      </c>
      <c r="P1312" s="13" t="s">
        <v>8948</v>
      </c>
      <c r="Q1312" s="13" t="s">
        <v>224</v>
      </c>
      <c r="R1312" s="13" t="s">
        <v>8949</v>
      </c>
      <c r="S1312" s="13" t="s">
        <v>1127</v>
      </c>
      <c r="T1312" s="13" t="s">
        <v>1128</v>
      </c>
      <c r="U1312" s="13" t="s">
        <v>525</v>
      </c>
      <c r="V1312" s="47">
        <f>SUMIF(Data!$E:$E,$I1312,Data!$AI:$AI)</f>
        <v>0</v>
      </c>
    </row>
    <row r="1313" spans="1:22" x14ac:dyDescent="0.25">
      <c r="A1313" s="46" t="s">
        <v>8841</v>
      </c>
      <c r="B1313" s="46" t="s">
        <v>120</v>
      </c>
      <c r="C1313" s="46" t="s">
        <v>4961</v>
      </c>
      <c r="D1313" s="46">
        <v>1.28814490863711</v>
      </c>
      <c r="E1313" s="47">
        <f>SUMIF(Data!$E:$E,$C1313,Data!$AI:$AI)</f>
        <v>0</v>
      </c>
      <c r="I1313" s="13" t="s">
        <v>8950</v>
      </c>
      <c r="J1313" s="13" t="s">
        <v>8951</v>
      </c>
      <c r="K1313" s="13" t="s">
        <v>137</v>
      </c>
      <c r="L1313" s="13" t="s">
        <v>8066</v>
      </c>
      <c r="M1313" s="13" t="s">
        <v>8952</v>
      </c>
      <c r="N1313" s="13" t="s">
        <v>8953</v>
      </c>
      <c r="O1313" s="13" t="s">
        <v>8954</v>
      </c>
      <c r="P1313" s="13" t="s">
        <v>8955</v>
      </c>
      <c r="Q1313" s="13" t="s">
        <v>734</v>
      </c>
      <c r="R1313" s="13" t="s">
        <v>8956</v>
      </c>
      <c r="S1313" s="13" t="s">
        <v>847</v>
      </c>
      <c r="T1313" s="13" t="s">
        <v>848</v>
      </c>
      <c r="U1313" s="13" t="s">
        <v>849</v>
      </c>
      <c r="V1313" s="47">
        <f>SUMIF(Data!$E:$E,$I1313,Data!$AI:$AI)</f>
        <v>0</v>
      </c>
    </row>
    <row r="1314" spans="1:22" x14ac:dyDescent="0.25">
      <c r="A1314" s="46" t="s">
        <v>8841</v>
      </c>
      <c r="B1314" s="46" t="s">
        <v>120</v>
      </c>
      <c r="C1314" s="46" t="s">
        <v>4968</v>
      </c>
      <c r="D1314" s="46">
        <v>1.10751822947126</v>
      </c>
      <c r="E1314" s="47">
        <f>SUMIF(Data!$E:$E,$C1314,Data!$AI:$AI)</f>
        <v>0</v>
      </c>
      <c r="I1314" s="13">
        <v>4042</v>
      </c>
      <c r="J1314" s="13" t="s">
        <v>8957</v>
      </c>
      <c r="K1314" s="13" t="s">
        <v>137</v>
      </c>
      <c r="L1314" s="13" t="s">
        <v>8066</v>
      </c>
      <c r="M1314" s="13" t="s">
        <v>8958</v>
      </c>
      <c r="N1314" s="13">
        <v>178.1</v>
      </c>
      <c r="O1314" s="13" t="s">
        <v>8959</v>
      </c>
      <c r="P1314" s="13" t="s">
        <v>8960</v>
      </c>
      <c r="Q1314" s="13" t="s">
        <v>734</v>
      </c>
      <c r="R1314" s="13" t="s">
        <v>8961</v>
      </c>
      <c r="S1314" s="13" t="s">
        <v>441</v>
      </c>
      <c r="T1314" s="13" t="s">
        <v>442</v>
      </c>
      <c r="U1314" s="13" t="s">
        <v>443</v>
      </c>
      <c r="V1314" s="47">
        <f>SUMIF(Data!$E:$E,$I1314,Data!$AI:$AI)</f>
        <v>0</v>
      </c>
    </row>
    <row r="1315" spans="1:22" x14ac:dyDescent="0.25">
      <c r="A1315" s="46" t="s">
        <v>8841</v>
      </c>
      <c r="B1315" s="46" t="s">
        <v>120</v>
      </c>
      <c r="C1315" s="46" t="s">
        <v>4975</v>
      </c>
      <c r="D1315" s="46">
        <v>1.27832021298137</v>
      </c>
      <c r="E1315" s="47">
        <f>SUMIF(Data!$E:$E,$C1315,Data!$AI:$AI)</f>
        <v>0</v>
      </c>
      <c r="I1315" s="13" t="s">
        <v>8962</v>
      </c>
      <c r="J1315" s="13" t="s">
        <v>8963</v>
      </c>
      <c r="K1315" s="13" t="s">
        <v>137</v>
      </c>
      <c r="L1315" s="13" t="s">
        <v>8066</v>
      </c>
      <c r="M1315" s="13" t="s">
        <v>8964</v>
      </c>
      <c r="N1315" s="13">
        <v>901.03099999999995</v>
      </c>
      <c r="O1315" s="13" t="s">
        <v>8965</v>
      </c>
      <c r="P1315" s="13" t="s">
        <v>8966</v>
      </c>
      <c r="Q1315" s="13" t="s">
        <v>172</v>
      </c>
      <c r="R1315" s="13" t="s">
        <v>8967</v>
      </c>
      <c r="S1315" s="13" t="s">
        <v>7564</v>
      </c>
      <c r="T1315" s="13" t="s">
        <v>7565</v>
      </c>
      <c r="U1315" s="13" t="s">
        <v>7566</v>
      </c>
      <c r="V1315" s="47">
        <f>SUMIF(Data!$E:$E,$I1315,Data!$AI:$AI)</f>
        <v>0</v>
      </c>
    </row>
    <row r="1316" spans="1:22" x14ac:dyDescent="0.25">
      <c r="A1316" s="46" t="s">
        <v>8841</v>
      </c>
      <c r="B1316" s="46" t="s">
        <v>120</v>
      </c>
      <c r="C1316" s="46" t="s">
        <v>4981</v>
      </c>
      <c r="D1316" s="46">
        <v>1.91919321009383</v>
      </c>
      <c r="E1316" s="47">
        <f>SUMIF(Data!$E:$E,$C1316,Data!$AI:$AI)</f>
        <v>0</v>
      </c>
      <c r="I1316" s="13">
        <v>9504</v>
      </c>
      <c r="J1316" s="13" t="s">
        <v>8968</v>
      </c>
      <c r="K1316" s="13" t="s">
        <v>137</v>
      </c>
      <c r="L1316" s="13" t="s">
        <v>8066</v>
      </c>
      <c r="M1316" s="13" t="s">
        <v>8387</v>
      </c>
      <c r="N1316" s="13">
        <v>205.87799999999999</v>
      </c>
      <c r="O1316" s="13" t="s">
        <v>8969</v>
      </c>
      <c r="P1316" s="13" t="s">
        <v>8970</v>
      </c>
      <c r="Q1316" s="13" t="s">
        <v>694</v>
      </c>
      <c r="R1316" s="13" t="s">
        <v>8971</v>
      </c>
      <c r="S1316" s="13" t="s">
        <v>441</v>
      </c>
      <c r="T1316" s="13" t="s">
        <v>442</v>
      </c>
      <c r="U1316" s="13" t="s">
        <v>443</v>
      </c>
      <c r="V1316" s="47">
        <f>SUMIF(Data!$E:$E,$I1316,Data!$AI:$AI)</f>
        <v>0</v>
      </c>
    </row>
    <row r="1317" spans="1:22" x14ac:dyDescent="0.25">
      <c r="A1317" s="46" t="s">
        <v>8841</v>
      </c>
      <c r="B1317" s="46" t="s">
        <v>120</v>
      </c>
      <c r="C1317" s="46" t="s">
        <v>4988</v>
      </c>
      <c r="D1317" s="46">
        <v>1.0991404296034299</v>
      </c>
      <c r="E1317" s="47">
        <f>SUMIF(Data!$E:$E,$C1317,Data!$AI:$AI)</f>
        <v>0</v>
      </c>
      <c r="I1317" s="13" t="s">
        <v>8972</v>
      </c>
      <c r="J1317" s="13" t="s">
        <v>8973</v>
      </c>
      <c r="K1317" s="13" t="s">
        <v>137</v>
      </c>
      <c r="L1317" s="13" t="s">
        <v>8066</v>
      </c>
      <c r="M1317" s="13" t="s">
        <v>8974</v>
      </c>
      <c r="N1317" s="13">
        <v>451.69799999999998</v>
      </c>
      <c r="O1317" s="13" t="s">
        <v>8975</v>
      </c>
      <c r="P1317" s="13" t="s">
        <v>8976</v>
      </c>
      <c r="Q1317" s="13" t="s">
        <v>416</v>
      </c>
      <c r="R1317" s="13" t="s">
        <v>8977</v>
      </c>
      <c r="S1317" s="13" t="s">
        <v>7564</v>
      </c>
      <c r="T1317" s="13" t="s">
        <v>7565</v>
      </c>
      <c r="U1317" s="13" t="s">
        <v>7566</v>
      </c>
      <c r="V1317" s="47">
        <f>SUMIF(Data!$E:$E,$I1317,Data!$AI:$AI)</f>
        <v>0</v>
      </c>
    </row>
    <row r="1318" spans="1:22" x14ac:dyDescent="0.25">
      <c r="A1318" s="46" t="s">
        <v>8841</v>
      </c>
      <c r="B1318" s="46" t="s">
        <v>120</v>
      </c>
      <c r="C1318" s="46" t="s">
        <v>4995</v>
      </c>
      <c r="D1318" s="46">
        <v>3.0160671396114802</v>
      </c>
      <c r="E1318" s="47">
        <f>SUMIF(Data!$E:$E,$C1318,Data!$AI:$AI)</f>
        <v>0</v>
      </c>
      <c r="I1318" s="13" t="s">
        <v>8978</v>
      </c>
      <c r="J1318" s="13" t="s">
        <v>8979</v>
      </c>
      <c r="K1318" s="13" t="s">
        <v>137</v>
      </c>
      <c r="L1318" s="13" t="s">
        <v>8066</v>
      </c>
      <c r="M1318" s="13" t="s">
        <v>8980</v>
      </c>
      <c r="N1318" s="13" t="s">
        <v>8981</v>
      </c>
      <c r="O1318" s="13" t="s">
        <v>8982</v>
      </c>
      <c r="P1318" s="13" t="s">
        <v>8983</v>
      </c>
      <c r="Q1318" s="13" t="s">
        <v>806</v>
      </c>
      <c r="R1318" s="13" t="s">
        <v>8984</v>
      </c>
      <c r="S1318" s="13" t="s">
        <v>2365</v>
      </c>
      <c r="T1318" s="13" t="s">
        <v>2366</v>
      </c>
      <c r="U1318" s="13" t="s">
        <v>2367</v>
      </c>
      <c r="V1318" s="47">
        <f>SUMIF(Data!$E:$E,$I1318,Data!$AI:$AI)</f>
        <v>0</v>
      </c>
    </row>
    <row r="1319" spans="1:22" x14ac:dyDescent="0.25">
      <c r="A1319" s="46" t="s">
        <v>8985</v>
      </c>
      <c r="B1319" s="46" t="s">
        <v>120</v>
      </c>
      <c r="C1319" s="46" t="s">
        <v>4786</v>
      </c>
      <c r="D1319" s="46">
        <v>4.0163592824213801</v>
      </c>
      <c r="E1319" s="47">
        <f>SUMIF(Data!$E:$E,$C1319,Data!$AI:$AI)</f>
        <v>0</v>
      </c>
      <c r="I1319" s="13" t="s">
        <v>8986</v>
      </c>
      <c r="J1319" s="13" t="s">
        <v>8987</v>
      </c>
      <c r="K1319" s="13" t="s">
        <v>137</v>
      </c>
      <c r="L1319" s="13" t="s">
        <v>8066</v>
      </c>
      <c r="M1319" s="13" t="s">
        <v>8988</v>
      </c>
      <c r="N1319" s="13">
        <v>218.977</v>
      </c>
      <c r="O1319" s="13" t="s">
        <v>8989</v>
      </c>
      <c r="P1319" s="13" t="s">
        <v>8990</v>
      </c>
      <c r="Q1319" s="13" t="s">
        <v>162</v>
      </c>
      <c r="R1319" s="13" t="s">
        <v>8991</v>
      </c>
      <c r="S1319" s="13" t="s">
        <v>476</v>
      </c>
      <c r="T1319" s="13" t="s">
        <v>477</v>
      </c>
      <c r="U1319" s="13" t="s">
        <v>478</v>
      </c>
      <c r="V1319" s="47">
        <f>SUMIF(Data!$E:$E,$I1319,Data!$AI:$AI)</f>
        <v>0</v>
      </c>
    </row>
    <row r="1320" spans="1:22" x14ac:dyDescent="0.25">
      <c r="A1320" s="46" t="s">
        <v>8985</v>
      </c>
      <c r="B1320" s="46" t="s">
        <v>120</v>
      </c>
      <c r="C1320" s="46" t="s">
        <v>3202</v>
      </c>
      <c r="D1320" s="46">
        <v>4.0396446966952801</v>
      </c>
      <c r="E1320" s="47">
        <f>SUMIF(Data!$E:$E,$C1320,Data!$AI:$AI)</f>
        <v>0</v>
      </c>
      <c r="I1320" s="13">
        <v>8729</v>
      </c>
      <c r="J1320" s="13" t="s">
        <v>8992</v>
      </c>
      <c r="K1320" s="13" t="s">
        <v>137</v>
      </c>
      <c r="L1320" s="13" t="s">
        <v>8066</v>
      </c>
      <c r="M1320" s="13" t="s">
        <v>8993</v>
      </c>
      <c r="N1320" s="13">
        <v>109.9</v>
      </c>
      <c r="O1320" s="13" t="s">
        <v>8994</v>
      </c>
      <c r="P1320" s="13" t="s">
        <v>8995</v>
      </c>
      <c r="Q1320" s="13" t="s">
        <v>190</v>
      </c>
      <c r="R1320" s="13" t="s">
        <v>8996</v>
      </c>
      <c r="S1320" s="13" t="s">
        <v>441</v>
      </c>
      <c r="T1320" s="13" t="s">
        <v>442</v>
      </c>
      <c r="U1320" s="13" t="s">
        <v>443</v>
      </c>
      <c r="V1320" s="47">
        <f>SUMIF(Data!$E:$E,$I1320,Data!$AI:$AI)</f>
        <v>0</v>
      </c>
    </row>
    <row r="1321" spans="1:22" x14ac:dyDescent="0.25">
      <c r="A1321" s="46" t="s">
        <v>8985</v>
      </c>
      <c r="B1321" s="46" t="s">
        <v>120</v>
      </c>
      <c r="C1321" s="46" t="s">
        <v>4798</v>
      </c>
      <c r="D1321" s="46">
        <v>15.082771184583001</v>
      </c>
      <c r="E1321" s="47">
        <f>SUMIF(Data!$E:$E,$C1321,Data!$AI:$AI)</f>
        <v>0</v>
      </c>
      <c r="I1321" s="13" t="s">
        <v>1074</v>
      </c>
      <c r="J1321" s="13" t="s">
        <v>8997</v>
      </c>
      <c r="K1321" s="13" t="s">
        <v>137</v>
      </c>
      <c r="L1321" s="13" t="s">
        <v>8066</v>
      </c>
      <c r="M1321" s="13" t="s">
        <v>8998</v>
      </c>
      <c r="N1321" s="13">
        <v>13.622999999999999</v>
      </c>
      <c r="O1321" s="13" t="s">
        <v>8999</v>
      </c>
      <c r="P1321" s="13" t="s">
        <v>9000</v>
      </c>
      <c r="Q1321" s="13" t="s">
        <v>416</v>
      </c>
      <c r="R1321" s="13" t="s">
        <v>9001</v>
      </c>
      <c r="S1321" s="13" t="s">
        <v>560</v>
      </c>
      <c r="T1321" s="13" t="s">
        <v>561</v>
      </c>
      <c r="U1321" s="13" t="s">
        <v>525</v>
      </c>
      <c r="V1321" s="47">
        <f>SUMIF(Data!$E:$E,$I1321,Data!$AI:$AI)</f>
        <v>0</v>
      </c>
    </row>
    <row r="1322" spans="1:22" x14ac:dyDescent="0.25">
      <c r="A1322" s="46" t="s">
        <v>8985</v>
      </c>
      <c r="B1322" s="46" t="s">
        <v>120</v>
      </c>
      <c r="C1322" s="46" t="s">
        <v>3142</v>
      </c>
      <c r="D1322" s="46">
        <v>5.2165467551273599</v>
      </c>
      <c r="E1322" s="47">
        <f>SUMIF(Data!$E:$E,$C1322,Data!$AI:$AI)</f>
        <v>0</v>
      </c>
      <c r="I1322" s="13" t="s">
        <v>9002</v>
      </c>
      <c r="J1322" s="13" t="s">
        <v>9003</v>
      </c>
      <c r="K1322" s="13" t="s">
        <v>137</v>
      </c>
      <c r="L1322" s="13" t="s">
        <v>8066</v>
      </c>
      <c r="M1322" s="13" t="s">
        <v>9004</v>
      </c>
      <c r="N1322" s="13">
        <v>40.676000000000002</v>
      </c>
      <c r="O1322" s="13" t="s">
        <v>9005</v>
      </c>
      <c r="P1322" s="13" t="s">
        <v>9006</v>
      </c>
      <c r="Q1322" s="13" t="s">
        <v>143</v>
      </c>
      <c r="R1322" s="13" t="s">
        <v>9007</v>
      </c>
      <c r="S1322" s="13" t="s">
        <v>192</v>
      </c>
      <c r="T1322" s="13" t="s">
        <v>146</v>
      </c>
      <c r="U1322" s="13" t="s">
        <v>110</v>
      </c>
      <c r="V1322" s="47">
        <f>SUMIF(Data!$E:$E,$I1322,Data!$AI:$AI)</f>
        <v>0</v>
      </c>
    </row>
    <row r="1323" spans="1:22" x14ac:dyDescent="0.25">
      <c r="A1323" s="46" t="s">
        <v>8985</v>
      </c>
      <c r="B1323" s="46" t="s">
        <v>120</v>
      </c>
      <c r="C1323" s="46" t="s">
        <v>4811</v>
      </c>
      <c r="D1323" s="46">
        <v>2.11778369673987</v>
      </c>
      <c r="E1323" s="47">
        <f>SUMIF(Data!$E:$E,$C1323,Data!$AI:$AI)</f>
        <v>0</v>
      </c>
      <c r="I1323" s="13">
        <v>1997</v>
      </c>
      <c r="J1323" s="13" t="s">
        <v>9008</v>
      </c>
      <c r="K1323" s="13" t="s">
        <v>137</v>
      </c>
      <c r="L1323" s="13" t="s">
        <v>8066</v>
      </c>
      <c r="M1323" s="13" t="s">
        <v>5705</v>
      </c>
      <c r="N1323" s="13">
        <v>441.59</v>
      </c>
      <c r="O1323" s="13" t="s">
        <v>9009</v>
      </c>
      <c r="P1323" s="13" t="s">
        <v>9010</v>
      </c>
      <c r="Q1323" s="13" t="s">
        <v>806</v>
      </c>
      <c r="R1323" s="13" t="s">
        <v>9011</v>
      </c>
      <c r="S1323" s="13" t="s">
        <v>549</v>
      </c>
      <c r="T1323" s="13" t="s">
        <v>550</v>
      </c>
      <c r="U1323" s="13" t="s">
        <v>551</v>
      </c>
      <c r="V1323" s="47">
        <f>SUMIF(Data!$E:$E,$I1323,Data!$AI:$AI)</f>
        <v>0</v>
      </c>
    </row>
    <row r="1324" spans="1:22" x14ac:dyDescent="0.25">
      <c r="A1324" s="46" t="s">
        <v>8985</v>
      </c>
      <c r="B1324" s="46" t="s">
        <v>120</v>
      </c>
      <c r="C1324" s="46" t="s">
        <v>4818</v>
      </c>
      <c r="D1324" s="46">
        <v>4.6188615418212899</v>
      </c>
      <c r="E1324" s="47">
        <f>SUMIF(Data!$E:$E,$C1324,Data!$AI:$AI)</f>
        <v>0</v>
      </c>
      <c r="I1324" s="13" t="s">
        <v>9012</v>
      </c>
      <c r="J1324" s="13" t="s">
        <v>9013</v>
      </c>
      <c r="K1324" s="13" t="s">
        <v>137</v>
      </c>
      <c r="L1324" s="13" t="s">
        <v>8066</v>
      </c>
      <c r="M1324" s="13" t="s">
        <v>9014</v>
      </c>
      <c r="N1324" s="13">
        <v>60.645000000000003</v>
      </c>
      <c r="O1324" s="13" t="s">
        <v>9015</v>
      </c>
      <c r="P1324" s="13" t="s">
        <v>9016</v>
      </c>
      <c r="Q1324" s="13" t="s">
        <v>190</v>
      </c>
      <c r="R1324" s="13" t="s">
        <v>9017</v>
      </c>
      <c r="S1324" s="13" t="s">
        <v>847</v>
      </c>
      <c r="T1324" s="13" t="s">
        <v>848</v>
      </c>
      <c r="U1324" s="13" t="s">
        <v>849</v>
      </c>
      <c r="V1324" s="47">
        <f>SUMIF(Data!$E:$E,$I1324,Data!$AI:$AI)</f>
        <v>0</v>
      </c>
    </row>
    <row r="1325" spans="1:22" x14ac:dyDescent="0.25">
      <c r="A1325" s="46" t="s">
        <v>8985</v>
      </c>
      <c r="B1325" s="46" t="s">
        <v>120</v>
      </c>
      <c r="C1325" s="46" t="s">
        <v>4845</v>
      </c>
      <c r="D1325" s="46">
        <v>6.7557106247049603</v>
      </c>
      <c r="E1325" s="47">
        <f>SUMIF(Data!$E:$E,$C1325,Data!$AI:$AI)</f>
        <v>0</v>
      </c>
      <c r="I1325" s="13">
        <v>3086</v>
      </c>
      <c r="J1325" s="13" t="s">
        <v>9018</v>
      </c>
      <c r="K1325" s="13" t="s">
        <v>137</v>
      </c>
      <c r="L1325" s="13" t="s">
        <v>8066</v>
      </c>
      <c r="M1325" s="13" t="s">
        <v>9019</v>
      </c>
      <c r="N1325" s="13">
        <v>185.6</v>
      </c>
      <c r="O1325" s="13" t="s">
        <v>9020</v>
      </c>
      <c r="P1325" s="13" t="s">
        <v>9021</v>
      </c>
      <c r="Q1325" s="13" t="s">
        <v>162</v>
      </c>
      <c r="R1325" s="13" t="s">
        <v>9022</v>
      </c>
      <c r="S1325" s="13" t="s">
        <v>441</v>
      </c>
      <c r="T1325" s="13" t="s">
        <v>442</v>
      </c>
      <c r="U1325" s="13" t="s">
        <v>443</v>
      </c>
      <c r="V1325" s="47">
        <f>SUMIF(Data!$E:$E,$I1325,Data!$AI:$AI)</f>
        <v>0</v>
      </c>
    </row>
    <row r="1326" spans="1:22" x14ac:dyDescent="0.25">
      <c r="A1326" s="46" t="s">
        <v>8985</v>
      </c>
      <c r="B1326" s="46" t="s">
        <v>120</v>
      </c>
      <c r="C1326" s="46" t="s">
        <v>6756</v>
      </c>
      <c r="D1326" s="46">
        <v>2.6875853461082801</v>
      </c>
      <c r="E1326" s="47">
        <f>SUMIF(Data!$E:$E,$C1326,Data!$AI:$AI)</f>
        <v>0</v>
      </c>
      <c r="I1326" s="13" t="s">
        <v>9023</v>
      </c>
      <c r="J1326" s="13" t="s">
        <v>9024</v>
      </c>
      <c r="K1326" s="13" t="s">
        <v>137</v>
      </c>
      <c r="L1326" s="13" t="s">
        <v>8066</v>
      </c>
      <c r="M1326" s="13" t="s">
        <v>9025</v>
      </c>
      <c r="N1326" s="13">
        <v>210.821</v>
      </c>
      <c r="O1326" s="13" t="s">
        <v>9026</v>
      </c>
      <c r="P1326" s="13" t="s">
        <v>9027</v>
      </c>
      <c r="Q1326" s="13" t="s">
        <v>190</v>
      </c>
      <c r="R1326" s="13" t="s">
        <v>9028</v>
      </c>
      <c r="S1326" s="13" t="s">
        <v>1127</v>
      </c>
      <c r="T1326" s="13" t="s">
        <v>1128</v>
      </c>
      <c r="U1326" s="13" t="s">
        <v>525</v>
      </c>
      <c r="V1326" s="47">
        <f>SUMIF(Data!$E:$E,$I1326,Data!$AI:$AI)</f>
        <v>0</v>
      </c>
    </row>
    <row r="1327" spans="1:22" x14ac:dyDescent="0.25">
      <c r="A1327" s="46" t="s">
        <v>8985</v>
      </c>
      <c r="B1327" s="46" t="s">
        <v>120</v>
      </c>
      <c r="C1327" s="46" t="s">
        <v>3157</v>
      </c>
      <c r="D1327" s="46">
        <v>3.92999976998634</v>
      </c>
      <c r="E1327" s="47">
        <f>SUMIF(Data!$E:$E,$C1327,Data!$AI:$AI)</f>
        <v>0</v>
      </c>
      <c r="I1327" s="13" t="s">
        <v>9029</v>
      </c>
      <c r="J1327" s="13" t="s">
        <v>9030</v>
      </c>
      <c r="K1327" s="13" t="s">
        <v>137</v>
      </c>
      <c r="L1327" s="13" t="s">
        <v>8066</v>
      </c>
      <c r="M1327" s="13" t="s">
        <v>9031</v>
      </c>
      <c r="N1327" s="13">
        <v>40.793999999999997</v>
      </c>
      <c r="O1327" s="13" t="s">
        <v>9032</v>
      </c>
      <c r="P1327" s="13" t="s">
        <v>9033</v>
      </c>
      <c r="Q1327" s="13" t="s">
        <v>734</v>
      </c>
      <c r="R1327" s="13" t="s">
        <v>9034</v>
      </c>
      <c r="S1327" s="13" t="s">
        <v>523</v>
      </c>
      <c r="T1327" s="13" t="s">
        <v>524</v>
      </c>
      <c r="U1327" s="13" t="s">
        <v>525</v>
      </c>
      <c r="V1327" s="47">
        <f>SUMIF(Data!$E:$E,$I1327,Data!$AI:$AI)</f>
        <v>0</v>
      </c>
    </row>
    <row r="1328" spans="1:22" x14ac:dyDescent="0.25">
      <c r="A1328" s="46" t="s">
        <v>8985</v>
      </c>
      <c r="B1328" s="46" t="s">
        <v>120</v>
      </c>
      <c r="C1328" s="46" t="s">
        <v>4877</v>
      </c>
      <c r="D1328" s="46">
        <v>3.5567253750455499</v>
      </c>
      <c r="E1328" s="47">
        <f>SUMIF(Data!$E:$E,$C1328,Data!$AI:$AI)</f>
        <v>0</v>
      </c>
      <c r="I1328" s="13" t="s">
        <v>9035</v>
      </c>
      <c r="J1328" s="13" t="s">
        <v>9036</v>
      </c>
      <c r="K1328" s="13" t="s">
        <v>137</v>
      </c>
      <c r="L1328" s="13" t="s">
        <v>8066</v>
      </c>
      <c r="M1328" s="13" t="s">
        <v>8295</v>
      </c>
      <c r="N1328" s="13">
        <v>207.48500000000001</v>
      </c>
      <c r="O1328" s="13" t="s">
        <v>9037</v>
      </c>
      <c r="P1328" s="13" t="s">
        <v>9038</v>
      </c>
      <c r="Q1328" s="13" t="s">
        <v>143</v>
      </c>
      <c r="R1328" s="13" t="s">
        <v>9039</v>
      </c>
      <c r="S1328" s="13" t="s">
        <v>145</v>
      </c>
      <c r="T1328" s="13" t="s">
        <v>146</v>
      </c>
      <c r="U1328" s="13" t="s">
        <v>110</v>
      </c>
      <c r="V1328" s="47">
        <f>SUMIF(Data!$E:$E,$I1328,Data!$AI:$AI)</f>
        <v>0</v>
      </c>
    </row>
    <row r="1329" spans="1:22" x14ac:dyDescent="0.25">
      <c r="A1329" s="46" t="s">
        <v>8985</v>
      </c>
      <c r="B1329" s="46" t="s">
        <v>120</v>
      </c>
      <c r="C1329" s="46" t="s">
        <v>4890</v>
      </c>
      <c r="D1329" s="46">
        <v>16.0111522475264</v>
      </c>
      <c r="E1329" s="47">
        <f>SUMIF(Data!$E:$E,$C1329,Data!$AI:$AI)</f>
        <v>0</v>
      </c>
      <c r="I1329" s="13" t="s">
        <v>9040</v>
      </c>
      <c r="J1329" s="13" t="s">
        <v>9041</v>
      </c>
      <c r="K1329" s="13" t="s">
        <v>137</v>
      </c>
      <c r="L1329" s="13" t="s">
        <v>8066</v>
      </c>
      <c r="M1329" s="13" t="s">
        <v>9042</v>
      </c>
      <c r="N1329" s="13">
        <v>15.409000000000001</v>
      </c>
      <c r="O1329" s="13" t="s">
        <v>9043</v>
      </c>
      <c r="P1329" s="13" t="s">
        <v>9044</v>
      </c>
      <c r="Q1329" s="13" t="s">
        <v>208</v>
      </c>
      <c r="R1329" s="13" t="s">
        <v>9045</v>
      </c>
      <c r="S1329" s="13" t="s">
        <v>560</v>
      </c>
      <c r="T1329" s="13" t="s">
        <v>561</v>
      </c>
      <c r="U1329" s="13" t="s">
        <v>525</v>
      </c>
      <c r="V1329" s="47">
        <f>SUMIF(Data!$E:$E,$I1329,Data!$AI:$AI)</f>
        <v>0</v>
      </c>
    </row>
    <row r="1330" spans="1:22" x14ac:dyDescent="0.25">
      <c r="A1330" s="46" t="s">
        <v>8985</v>
      </c>
      <c r="B1330" s="46" t="s">
        <v>120</v>
      </c>
      <c r="C1330" s="46" t="s">
        <v>4904</v>
      </c>
      <c r="D1330" s="46">
        <v>9.5195766214448305</v>
      </c>
      <c r="E1330" s="47">
        <f>SUMIF(Data!$E:$E,$C1330,Data!$AI:$AI)</f>
        <v>0</v>
      </c>
      <c r="I1330" s="13" t="s">
        <v>9046</v>
      </c>
      <c r="J1330" s="13" t="s">
        <v>9047</v>
      </c>
      <c r="K1330" s="13" t="s">
        <v>137</v>
      </c>
      <c r="L1330" s="13" t="s">
        <v>8066</v>
      </c>
      <c r="M1330" s="13" t="s">
        <v>9048</v>
      </c>
      <c r="N1330" s="13">
        <v>19.37</v>
      </c>
      <c r="O1330" s="13" t="s">
        <v>9049</v>
      </c>
      <c r="P1330" s="13" t="s">
        <v>9050</v>
      </c>
      <c r="Q1330" s="13" t="s">
        <v>143</v>
      </c>
      <c r="R1330" s="13" t="s">
        <v>9051</v>
      </c>
      <c r="S1330" s="13" t="s">
        <v>145</v>
      </c>
      <c r="T1330" s="13" t="s">
        <v>146</v>
      </c>
      <c r="U1330" s="13" t="s">
        <v>110</v>
      </c>
      <c r="V1330" s="47">
        <f>SUMIF(Data!$E:$E,$I1330,Data!$AI:$AI)</f>
        <v>0</v>
      </c>
    </row>
    <row r="1331" spans="1:22" x14ac:dyDescent="0.25">
      <c r="A1331" s="46" t="s">
        <v>8985</v>
      </c>
      <c r="B1331" s="46" t="s">
        <v>120</v>
      </c>
      <c r="C1331" s="46" t="s">
        <v>5002</v>
      </c>
      <c r="D1331" s="46">
        <v>3.3161987943606799</v>
      </c>
      <c r="E1331" s="47">
        <f>SUMIF(Data!$E:$E,$C1331,Data!$AI:$AI)</f>
        <v>0</v>
      </c>
      <c r="I1331" s="13" t="s">
        <v>9052</v>
      </c>
      <c r="J1331" s="13" t="s">
        <v>9053</v>
      </c>
      <c r="K1331" s="13" t="s">
        <v>137</v>
      </c>
      <c r="L1331" s="13" t="s">
        <v>8066</v>
      </c>
      <c r="M1331" s="13" t="s">
        <v>9054</v>
      </c>
      <c r="N1331" s="13">
        <v>159.958</v>
      </c>
      <c r="O1331" s="13" t="s">
        <v>9055</v>
      </c>
      <c r="P1331" s="13" t="s">
        <v>9056</v>
      </c>
      <c r="Q1331" s="13" t="s">
        <v>190</v>
      </c>
      <c r="R1331" s="13" t="s">
        <v>9057</v>
      </c>
      <c r="S1331" s="13" t="s">
        <v>145</v>
      </c>
      <c r="T1331" s="13" t="s">
        <v>146</v>
      </c>
      <c r="U1331" s="13" t="s">
        <v>110</v>
      </c>
      <c r="V1331" s="47">
        <f>SUMIF(Data!$E:$E,$I1331,Data!$AI:$AI)</f>
        <v>0</v>
      </c>
    </row>
    <row r="1332" spans="1:22" x14ac:dyDescent="0.25">
      <c r="A1332" s="46" t="s">
        <v>8985</v>
      </c>
      <c r="B1332" s="46" t="s">
        <v>120</v>
      </c>
      <c r="C1332" s="46" t="s">
        <v>5009</v>
      </c>
      <c r="D1332" s="46">
        <v>2.6710312570608998</v>
      </c>
      <c r="E1332" s="47">
        <f>SUMIF(Data!$E:$E,$C1332,Data!$AI:$AI)</f>
        <v>0</v>
      </c>
      <c r="I1332" s="13">
        <v>7276</v>
      </c>
      <c r="J1332" s="13" t="s">
        <v>9058</v>
      </c>
      <c r="K1332" s="13" t="s">
        <v>137</v>
      </c>
      <c r="L1332" s="13" t="s">
        <v>8066</v>
      </c>
      <c r="M1332" s="13" t="s">
        <v>9059</v>
      </c>
      <c r="N1332" s="13">
        <v>57.2</v>
      </c>
      <c r="O1332" s="13" t="s">
        <v>9060</v>
      </c>
      <c r="P1332" s="13" t="s">
        <v>9061</v>
      </c>
      <c r="Q1332" s="13" t="s">
        <v>162</v>
      </c>
      <c r="R1332" s="13" t="s">
        <v>9062</v>
      </c>
      <c r="S1332" s="13" t="s">
        <v>441</v>
      </c>
      <c r="T1332" s="13" t="s">
        <v>442</v>
      </c>
      <c r="U1332" s="13" t="s">
        <v>443</v>
      </c>
      <c r="V1332" s="47">
        <f>SUMIF(Data!$E:$E,$I1332,Data!$AI:$AI)</f>
        <v>0</v>
      </c>
    </row>
    <row r="1333" spans="1:22" x14ac:dyDescent="0.25">
      <c r="A1333" s="46" t="s">
        <v>8985</v>
      </c>
      <c r="B1333" s="46" t="s">
        <v>120</v>
      </c>
      <c r="C1333" s="46" t="s">
        <v>5016</v>
      </c>
      <c r="D1333" s="46">
        <v>8.4163961514459906</v>
      </c>
      <c r="E1333" s="47">
        <f>SUMIF(Data!$E:$E,$C1333,Data!$AI:$AI)</f>
        <v>0</v>
      </c>
      <c r="I1333" s="13">
        <v>880</v>
      </c>
      <c r="J1333" s="13" t="s">
        <v>9063</v>
      </c>
      <c r="K1333" s="13" t="s">
        <v>137</v>
      </c>
      <c r="L1333" s="13" t="s">
        <v>8066</v>
      </c>
      <c r="M1333" s="13" t="s">
        <v>9064</v>
      </c>
      <c r="N1333" s="13" t="s">
        <v>9065</v>
      </c>
      <c r="O1333" s="13" t="s">
        <v>9066</v>
      </c>
      <c r="P1333" s="13" t="s">
        <v>9067</v>
      </c>
      <c r="Q1333" s="13" t="s">
        <v>162</v>
      </c>
      <c r="R1333" s="13" t="s">
        <v>9068</v>
      </c>
      <c r="S1333" s="13" t="s">
        <v>549</v>
      </c>
      <c r="T1333" s="13" t="s">
        <v>550</v>
      </c>
      <c r="U1333" s="13" t="s">
        <v>551</v>
      </c>
      <c r="V1333" s="47">
        <f>SUMIF(Data!$E:$E,$I1333,Data!$AI:$AI)</f>
        <v>0</v>
      </c>
    </row>
    <row r="1334" spans="1:22" x14ac:dyDescent="0.25">
      <c r="A1334" s="46" t="s">
        <v>8985</v>
      </c>
      <c r="B1334" s="46" t="s">
        <v>120</v>
      </c>
      <c r="C1334" s="46" t="s">
        <v>5023</v>
      </c>
      <c r="D1334" s="46">
        <v>8.0436566549278208</v>
      </c>
      <c r="E1334" s="47">
        <f>SUMIF(Data!$E:$E,$C1334,Data!$AI:$AI)</f>
        <v>0</v>
      </c>
      <c r="I1334" s="13" t="s">
        <v>9069</v>
      </c>
      <c r="J1334" s="13" t="s">
        <v>9070</v>
      </c>
      <c r="K1334" s="13" t="s">
        <v>137</v>
      </c>
      <c r="L1334" s="13" t="s">
        <v>8066</v>
      </c>
      <c r="M1334" s="13" t="s">
        <v>9071</v>
      </c>
      <c r="N1334" s="13">
        <v>21.335000000000001</v>
      </c>
      <c r="O1334" s="13" t="s">
        <v>9072</v>
      </c>
      <c r="P1334" s="13" t="s">
        <v>9073</v>
      </c>
      <c r="Q1334" s="13" t="s">
        <v>416</v>
      </c>
      <c r="R1334" s="13" t="s">
        <v>9074</v>
      </c>
      <c r="S1334" s="13" t="s">
        <v>192</v>
      </c>
      <c r="T1334" s="13" t="s">
        <v>146</v>
      </c>
      <c r="U1334" s="13" t="s">
        <v>110</v>
      </c>
      <c r="V1334" s="47">
        <f>SUMIF(Data!$E:$E,$I1334,Data!$AI:$AI)</f>
        <v>0</v>
      </c>
    </row>
    <row r="1335" spans="1:22" x14ac:dyDescent="0.25">
      <c r="A1335" s="46" t="s">
        <v>9075</v>
      </c>
      <c r="B1335" s="46" t="s">
        <v>120</v>
      </c>
      <c r="C1335" s="46" t="s">
        <v>4765</v>
      </c>
      <c r="D1335" s="46">
        <v>1.5132219638237701</v>
      </c>
      <c r="E1335" s="47">
        <f>SUMIF(Data!$E:$E,$C1335,Data!$AI:$AI)</f>
        <v>0</v>
      </c>
      <c r="I1335" s="13" t="s">
        <v>9076</v>
      </c>
      <c r="J1335" s="13" t="s">
        <v>9077</v>
      </c>
      <c r="K1335" s="13" t="s">
        <v>137</v>
      </c>
      <c r="L1335" s="13" t="s">
        <v>8066</v>
      </c>
      <c r="M1335" s="13" t="s">
        <v>9078</v>
      </c>
      <c r="N1335" s="13">
        <v>2.0329999999999999</v>
      </c>
      <c r="O1335" s="13" t="s">
        <v>9079</v>
      </c>
      <c r="P1335" s="13" t="s">
        <v>9080</v>
      </c>
      <c r="Q1335" s="13" t="s">
        <v>416</v>
      </c>
      <c r="R1335" s="13" t="s">
        <v>9081</v>
      </c>
      <c r="S1335" s="13" t="s">
        <v>768</v>
      </c>
      <c r="T1335" s="13" t="s">
        <v>769</v>
      </c>
      <c r="U1335" s="13" t="s">
        <v>770</v>
      </c>
      <c r="V1335" s="47">
        <f>SUMIF(Data!$E:$E,$I1335,Data!$AI:$AI)</f>
        <v>0</v>
      </c>
    </row>
    <row r="1336" spans="1:22" x14ac:dyDescent="0.25">
      <c r="A1336" s="46" t="s">
        <v>9075</v>
      </c>
      <c r="B1336" s="46" t="s">
        <v>120</v>
      </c>
      <c r="C1336" s="46" t="s">
        <v>4779</v>
      </c>
      <c r="D1336" s="46">
        <v>1.5851943071283701</v>
      </c>
      <c r="E1336" s="47">
        <f>SUMIF(Data!$E:$E,$C1336,Data!$AI:$AI)</f>
        <v>0</v>
      </c>
      <c r="I1336" s="13">
        <v>2267</v>
      </c>
      <c r="J1336" s="13" t="s">
        <v>9082</v>
      </c>
      <c r="K1336" s="13" t="s">
        <v>137</v>
      </c>
      <c r="L1336" s="13" t="s">
        <v>8066</v>
      </c>
      <c r="M1336" s="13" t="s">
        <v>9083</v>
      </c>
      <c r="N1336" s="13">
        <v>46.9</v>
      </c>
      <c r="O1336" s="13" t="s">
        <v>9084</v>
      </c>
      <c r="P1336" s="13" t="s">
        <v>9085</v>
      </c>
      <c r="Q1336" s="13" t="s">
        <v>224</v>
      </c>
      <c r="R1336" s="13" t="s">
        <v>9086</v>
      </c>
      <c r="S1336" s="13" t="s">
        <v>441</v>
      </c>
      <c r="T1336" s="13" t="s">
        <v>442</v>
      </c>
      <c r="U1336" s="13" t="s">
        <v>443</v>
      </c>
      <c r="V1336" s="47">
        <f>SUMIF(Data!$E:$E,$I1336,Data!$AI:$AI)</f>
        <v>0</v>
      </c>
    </row>
    <row r="1337" spans="1:22" x14ac:dyDescent="0.25">
      <c r="A1337" s="46" t="s">
        <v>9075</v>
      </c>
      <c r="B1337" s="46" t="s">
        <v>120</v>
      </c>
      <c r="C1337" s="46" t="s">
        <v>4786</v>
      </c>
      <c r="D1337" s="46">
        <v>1.2948838362622701</v>
      </c>
      <c r="E1337" s="47">
        <f>SUMIF(Data!$E:$E,$C1337,Data!$AI:$AI)</f>
        <v>0</v>
      </c>
      <c r="I1337" s="13" t="s">
        <v>9087</v>
      </c>
      <c r="J1337" s="13" t="s">
        <v>9088</v>
      </c>
      <c r="K1337" s="13" t="s">
        <v>137</v>
      </c>
      <c r="L1337" s="13" t="s">
        <v>8066</v>
      </c>
      <c r="M1337" s="13" t="s">
        <v>9089</v>
      </c>
      <c r="N1337" s="13">
        <v>183.94300000000001</v>
      </c>
      <c r="O1337" s="13" t="s">
        <v>9090</v>
      </c>
      <c r="P1337" s="13" t="s">
        <v>9091</v>
      </c>
      <c r="Q1337" s="13" t="s">
        <v>143</v>
      </c>
      <c r="R1337" s="13" t="s">
        <v>9092</v>
      </c>
      <c r="S1337" s="13" t="s">
        <v>476</v>
      </c>
      <c r="T1337" s="13" t="s">
        <v>477</v>
      </c>
      <c r="U1337" s="13" t="s">
        <v>478</v>
      </c>
      <c r="V1337" s="47">
        <f>SUMIF(Data!$E:$E,$I1337,Data!$AI:$AI)</f>
        <v>0</v>
      </c>
    </row>
    <row r="1338" spans="1:22" x14ac:dyDescent="0.25">
      <c r="A1338" s="46" t="s">
        <v>9075</v>
      </c>
      <c r="B1338" s="46" t="s">
        <v>120</v>
      </c>
      <c r="C1338" s="46" t="s">
        <v>3202</v>
      </c>
      <c r="D1338" s="46">
        <v>1.3023911095024701</v>
      </c>
      <c r="E1338" s="47">
        <f>SUMIF(Data!$E:$E,$C1338,Data!$AI:$AI)</f>
        <v>0</v>
      </c>
      <c r="I1338" s="13" t="s">
        <v>9093</v>
      </c>
      <c r="J1338" s="13" t="s">
        <v>9094</v>
      </c>
      <c r="K1338" s="13" t="s">
        <v>137</v>
      </c>
      <c r="L1338" s="13" t="s">
        <v>8066</v>
      </c>
      <c r="M1338" s="13" t="s">
        <v>9095</v>
      </c>
      <c r="N1338" s="13">
        <v>60.231000000000002</v>
      </c>
      <c r="O1338" s="13" t="s">
        <v>9096</v>
      </c>
      <c r="P1338" s="13" t="s">
        <v>9097</v>
      </c>
      <c r="Q1338" s="13" t="s">
        <v>190</v>
      </c>
      <c r="R1338" s="13" t="s">
        <v>9098</v>
      </c>
      <c r="S1338" s="13" t="s">
        <v>476</v>
      </c>
      <c r="T1338" s="13" t="s">
        <v>477</v>
      </c>
      <c r="U1338" s="13" t="s">
        <v>478</v>
      </c>
      <c r="V1338" s="47">
        <f>SUMIF(Data!$E:$E,$I1338,Data!$AI:$AI)</f>
        <v>0</v>
      </c>
    </row>
    <row r="1339" spans="1:22" x14ac:dyDescent="0.25">
      <c r="A1339" s="46" t="s">
        <v>9075</v>
      </c>
      <c r="B1339" s="46" t="s">
        <v>120</v>
      </c>
      <c r="C1339" s="46" t="s">
        <v>4798</v>
      </c>
      <c r="D1339" s="46">
        <v>4.8627214946727699</v>
      </c>
      <c r="E1339" s="47">
        <f>SUMIF(Data!$E:$E,$C1339,Data!$AI:$AI)</f>
        <v>0</v>
      </c>
      <c r="I1339" s="13" t="s">
        <v>9099</v>
      </c>
      <c r="J1339" s="13" t="s">
        <v>9100</v>
      </c>
      <c r="K1339" s="13" t="s">
        <v>137</v>
      </c>
      <c r="L1339" s="13" t="s">
        <v>8066</v>
      </c>
      <c r="M1339" s="13" t="s">
        <v>9101</v>
      </c>
      <c r="N1339" s="13" t="s">
        <v>9102</v>
      </c>
      <c r="O1339" s="13" t="s">
        <v>9103</v>
      </c>
      <c r="P1339" s="13" t="s">
        <v>9104</v>
      </c>
      <c r="Q1339" s="13" t="s">
        <v>806</v>
      </c>
      <c r="R1339" s="13" t="s">
        <v>9105</v>
      </c>
      <c r="S1339" s="13" t="s">
        <v>2365</v>
      </c>
      <c r="T1339" s="13" t="s">
        <v>2366</v>
      </c>
      <c r="U1339" s="13" t="s">
        <v>2367</v>
      </c>
      <c r="V1339" s="47">
        <f>SUMIF(Data!$E:$E,$I1339,Data!$AI:$AI)</f>
        <v>0</v>
      </c>
    </row>
    <row r="1340" spans="1:22" x14ac:dyDescent="0.25">
      <c r="A1340" s="46" t="s">
        <v>9075</v>
      </c>
      <c r="B1340" s="46" t="s">
        <v>120</v>
      </c>
      <c r="C1340" s="46" t="s">
        <v>3142</v>
      </c>
      <c r="D1340" s="46">
        <v>1.6818271472587201</v>
      </c>
      <c r="E1340" s="47">
        <f>SUMIF(Data!$E:$E,$C1340,Data!$AI:$AI)</f>
        <v>0</v>
      </c>
      <c r="I1340" s="13">
        <v>23</v>
      </c>
      <c r="J1340" s="13" t="s">
        <v>9106</v>
      </c>
      <c r="K1340" s="13" t="s">
        <v>137</v>
      </c>
      <c r="L1340" s="13" t="s">
        <v>8066</v>
      </c>
      <c r="M1340" s="13" t="s">
        <v>6947</v>
      </c>
      <c r="N1340" s="13" t="s">
        <v>9107</v>
      </c>
      <c r="O1340" s="13" t="s">
        <v>9108</v>
      </c>
      <c r="P1340" s="13" t="s">
        <v>9109</v>
      </c>
      <c r="Q1340" s="13" t="s">
        <v>190</v>
      </c>
      <c r="R1340" s="13" t="s">
        <v>9110</v>
      </c>
      <c r="S1340" s="13" t="s">
        <v>549</v>
      </c>
      <c r="T1340" s="13" t="s">
        <v>550</v>
      </c>
      <c r="U1340" s="13" t="s">
        <v>551</v>
      </c>
      <c r="V1340" s="47">
        <f>SUMIF(Data!$E:$E,$I1340,Data!$AI:$AI)</f>
        <v>0</v>
      </c>
    </row>
    <row r="1341" spans="1:22" x14ac:dyDescent="0.25">
      <c r="A1341" s="46" t="s">
        <v>9075</v>
      </c>
      <c r="B1341" s="46" t="s">
        <v>120</v>
      </c>
      <c r="C1341" s="46" t="s">
        <v>4811</v>
      </c>
      <c r="D1341" s="46">
        <v>0.68277852771053804</v>
      </c>
      <c r="E1341" s="47">
        <f>SUMIF(Data!$E:$E,$C1341,Data!$AI:$AI)</f>
        <v>0</v>
      </c>
      <c r="I1341" s="13" t="s">
        <v>9111</v>
      </c>
      <c r="J1341" s="13" t="s">
        <v>9112</v>
      </c>
      <c r="K1341" s="13" t="s">
        <v>137</v>
      </c>
      <c r="L1341" s="13" t="s">
        <v>8066</v>
      </c>
      <c r="M1341" s="13" t="s">
        <v>9113</v>
      </c>
      <c r="N1341" s="13">
        <v>124.36499999999999</v>
      </c>
      <c r="O1341" s="13" t="s">
        <v>9114</v>
      </c>
      <c r="P1341" s="13" t="s">
        <v>9115</v>
      </c>
      <c r="Q1341" s="13" t="s">
        <v>172</v>
      </c>
      <c r="R1341" s="13" t="s">
        <v>9116</v>
      </c>
      <c r="S1341" s="13" t="s">
        <v>145</v>
      </c>
      <c r="T1341" s="13" t="s">
        <v>146</v>
      </c>
      <c r="U1341" s="13" t="s">
        <v>110</v>
      </c>
      <c r="V1341" s="47">
        <f>SUMIF(Data!$E:$E,$I1341,Data!$AI:$AI)</f>
        <v>0</v>
      </c>
    </row>
    <row r="1342" spans="1:22" x14ac:dyDescent="0.25">
      <c r="A1342" s="46" t="s">
        <v>9075</v>
      </c>
      <c r="B1342" s="46" t="s">
        <v>120</v>
      </c>
      <c r="C1342" s="46" t="s">
        <v>4818</v>
      </c>
      <c r="D1342" s="46">
        <v>1.4891320053499</v>
      </c>
      <c r="E1342" s="47">
        <f>SUMIF(Data!$E:$E,$C1342,Data!$AI:$AI)</f>
        <v>0</v>
      </c>
      <c r="I1342" s="13">
        <v>83</v>
      </c>
      <c r="J1342" s="13" t="s">
        <v>9117</v>
      </c>
      <c r="K1342" s="13" t="s">
        <v>137</v>
      </c>
      <c r="L1342" s="13" t="s">
        <v>8066</v>
      </c>
      <c r="M1342" s="13" t="s">
        <v>9118</v>
      </c>
      <c r="N1342" s="13" t="s">
        <v>9119</v>
      </c>
      <c r="O1342" s="13" t="s">
        <v>9120</v>
      </c>
      <c r="P1342" s="13" t="s">
        <v>9121</v>
      </c>
      <c r="Q1342" s="13" t="s">
        <v>806</v>
      </c>
      <c r="R1342" s="13" t="s">
        <v>9122</v>
      </c>
      <c r="S1342" s="13" t="s">
        <v>549</v>
      </c>
      <c r="T1342" s="13" t="s">
        <v>550</v>
      </c>
      <c r="U1342" s="13" t="s">
        <v>551</v>
      </c>
      <c r="V1342" s="47">
        <f>SUMIF(Data!$E:$E,$I1342,Data!$AI:$AI)</f>
        <v>0</v>
      </c>
    </row>
    <row r="1343" spans="1:22" x14ac:dyDescent="0.25">
      <c r="A1343" s="46" t="s">
        <v>9075</v>
      </c>
      <c r="B1343" s="46" t="s">
        <v>120</v>
      </c>
      <c r="C1343" s="46" t="s">
        <v>4838</v>
      </c>
      <c r="D1343" s="46">
        <v>3.7687719225610699</v>
      </c>
      <c r="E1343" s="47">
        <f>SUMIF(Data!$E:$E,$C1343,Data!$AI:$AI)</f>
        <v>0</v>
      </c>
      <c r="I1343" s="13" t="s">
        <v>9123</v>
      </c>
      <c r="J1343" s="13" t="s">
        <v>9124</v>
      </c>
      <c r="K1343" s="13" t="s">
        <v>137</v>
      </c>
      <c r="L1343" s="13" t="s">
        <v>8066</v>
      </c>
      <c r="M1343" s="13" t="s">
        <v>9125</v>
      </c>
      <c r="N1343" s="13">
        <v>150.559</v>
      </c>
      <c r="O1343" s="13" t="s">
        <v>9126</v>
      </c>
      <c r="P1343" s="13" t="s">
        <v>9127</v>
      </c>
      <c r="Q1343" s="13" t="s">
        <v>416</v>
      </c>
      <c r="R1343" s="13" t="s">
        <v>9128</v>
      </c>
      <c r="S1343" s="13" t="s">
        <v>2928</v>
      </c>
      <c r="T1343" s="13" t="s">
        <v>2929</v>
      </c>
      <c r="U1343" s="13" t="s">
        <v>2930</v>
      </c>
      <c r="V1343" s="47">
        <f>SUMIF(Data!$E:$E,$I1343,Data!$AI:$AI)</f>
        <v>0</v>
      </c>
    </row>
    <row r="1344" spans="1:22" x14ac:dyDescent="0.25">
      <c r="A1344" s="46" t="s">
        <v>9075</v>
      </c>
      <c r="B1344" s="46" t="s">
        <v>120</v>
      </c>
      <c r="C1344" s="46" t="s">
        <v>4845</v>
      </c>
      <c r="D1344" s="46">
        <v>2.1780572591408802</v>
      </c>
      <c r="E1344" s="47">
        <f>SUMIF(Data!$E:$E,$C1344,Data!$AI:$AI)</f>
        <v>0</v>
      </c>
      <c r="I1344" s="13">
        <v>7731</v>
      </c>
      <c r="J1344" s="13" t="s">
        <v>9129</v>
      </c>
      <c r="K1344" s="13" t="s">
        <v>137</v>
      </c>
      <c r="L1344" s="13" t="s">
        <v>8066</v>
      </c>
      <c r="M1344" s="13" t="s">
        <v>9130</v>
      </c>
      <c r="N1344" s="13">
        <v>203.11099999999999</v>
      </c>
      <c r="O1344" s="13" t="s">
        <v>9131</v>
      </c>
      <c r="P1344" s="13" t="s">
        <v>9132</v>
      </c>
      <c r="Q1344" s="13" t="s">
        <v>162</v>
      </c>
      <c r="R1344" s="13" t="s">
        <v>9133</v>
      </c>
      <c r="S1344" s="13" t="s">
        <v>441</v>
      </c>
      <c r="T1344" s="13" t="s">
        <v>442</v>
      </c>
      <c r="U1344" s="13" t="s">
        <v>443</v>
      </c>
      <c r="V1344" s="47">
        <f>SUMIF(Data!$E:$E,$I1344,Data!$AI:$AI)</f>
        <v>0</v>
      </c>
    </row>
    <row r="1345" spans="1:22" x14ac:dyDescent="0.25">
      <c r="A1345" s="46" t="s">
        <v>9075</v>
      </c>
      <c r="B1345" s="46" t="s">
        <v>120</v>
      </c>
      <c r="C1345" s="46" t="s">
        <v>4852</v>
      </c>
      <c r="D1345" s="46">
        <v>29.4770902116245</v>
      </c>
      <c r="E1345" s="47">
        <f>SUMIF(Data!$E:$E,$C1345,Data!$AI:$AI)</f>
        <v>0</v>
      </c>
      <c r="I1345" s="13" t="s">
        <v>5669</v>
      </c>
      <c r="J1345" s="13" t="s">
        <v>9134</v>
      </c>
      <c r="K1345" s="13" t="s">
        <v>137</v>
      </c>
      <c r="L1345" s="13" t="s">
        <v>8066</v>
      </c>
      <c r="M1345" s="13" t="s">
        <v>9135</v>
      </c>
      <c r="N1345" s="13">
        <v>45.298000000000002</v>
      </c>
      <c r="O1345" s="13" t="s">
        <v>9136</v>
      </c>
      <c r="P1345" s="13" t="s">
        <v>9137</v>
      </c>
      <c r="Q1345" s="13" t="s">
        <v>190</v>
      </c>
      <c r="R1345" s="13" t="s">
        <v>9138</v>
      </c>
      <c r="S1345" s="13" t="s">
        <v>725</v>
      </c>
      <c r="T1345" s="13" t="s">
        <v>726</v>
      </c>
      <c r="U1345" s="13" t="s">
        <v>727</v>
      </c>
      <c r="V1345" s="47">
        <f>SUMIF(Data!$E:$E,$I1345,Data!$AI:$AI)</f>
        <v>0</v>
      </c>
    </row>
    <row r="1346" spans="1:22" x14ac:dyDescent="0.25">
      <c r="A1346" s="46" t="s">
        <v>9075</v>
      </c>
      <c r="B1346" s="46" t="s">
        <v>120</v>
      </c>
      <c r="C1346" s="46" t="s">
        <v>4859</v>
      </c>
      <c r="D1346" s="46">
        <v>0.881539310087053</v>
      </c>
      <c r="E1346" s="47">
        <f>SUMIF(Data!$E:$E,$C1346,Data!$AI:$AI)</f>
        <v>0</v>
      </c>
      <c r="I1346" s="13" t="s">
        <v>9139</v>
      </c>
      <c r="J1346" s="13" t="s">
        <v>9140</v>
      </c>
      <c r="K1346" s="13" t="s">
        <v>137</v>
      </c>
      <c r="L1346" s="13" t="s">
        <v>8066</v>
      </c>
      <c r="M1346" s="13" t="s">
        <v>9141</v>
      </c>
      <c r="N1346" s="13">
        <v>27.51</v>
      </c>
      <c r="O1346" s="13" t="s">
        <v>9142</v>
      </c>
      <c r="P1346" s="13" t="s">
        <v>9143</v>
      </c>
      <c r="Q1346" s="13" t="s">
        <v>162</v>
      </c>
      <c r="R1346" s="13" t="s">
        <v>9144</v>
      </c>
      <c r="S1346" s="13" t="s">
        <v>192</v>
      </c>
      <c r="T1346" s="13" t="s">
        <v>146</v>
      </c>
      <c r="U1346" s="13" t="s">
        <v>110</v>
      </c>
      <c r="V1346" s="47">
        <f>SUMIF(Data!$E:$E,$I1346,Data!$AI:$AI)</f>
        <v>0</v>
      </c>
    </row>
    <row r="1347" spans="1:22" x14ac:dyDescent="0.25">
      <c r="A1347" s="46" t="s">
        <v>9075</v>
      </c>
      <c r="B1347" s="46" t="s">
        <v>120</v>
      </c>
      <c r="C1347" s="46" t="s">
        <v>3157</v>
      </c>
      <c r="D1347" s="46">
        <v>1.2670413229569899</v>
      </c>
      <c r="E1347" s="47">
        <f>SUMIF(Data!$E:$E,$C1347,Data!$AI:$AI)</f>
        <v>0</v>
      </c>
      <c r="I1347" s="13" t="s">
        <v>9145</v>
      </c>
      <c r="J1347" s="13" t="s">
        <v>9146</v>
      </c>
      <c r="K1347" s="13" t="s">
        <v>137</v>
      </c>
      <c r="L1347" s="13" t="s">
        <v>8066</v>
      </c>
      <c r="M1347" s="13" t="s">
        <v>9147</v>
      </c>
      <c r="N1347" s="13">
        <v>59.509</v>
      </c>
      <c r="O1347" s="13" t="s">
        <v>9148</v>
      </c>
      <c r="P1347" s="13" t="s">
        <v>9149</v>
      </c>
      <c r="Q1347" s="13" t="s">
        <v>416</v>
      </c>
      <c r="R1347" s="13" t="s">
        <v>9150</v>
      </c>
      <c r="S1347" s="13" t="s">
        <v>5888</v>
      </c>
      <c r="T1347" s="13" t="s">
        <v>5889</v>
      </c>
      <c r="U1347" s="13" t="s">
        <v>525</v>
      </c>
      <c r="V1347" s="47">
        <f>SUMIF(Data!$E:$E,$I1347,Data!$AI:$AI)</f>
        <v>0</v>
      </c>
    </row>
    <row r="1348" spans="1:22" x14ac:dyDescent="0.25">
      <c r="A1348" s="46" t="s">
        <v>9075</v>
      </c>
      <c r="B1348" s="46" t="s">
        <v>120</v>
      </c>
      <c r="C1348" s="46" t="s">
        <v>4870</v>
      </c>
      <c r="D1348" s="46">
        <v>2.4324692042401401</v>
      </c>
      <c r="E1348" s="47">
        <f>SUMIF(Data!$E:$E,$C1348,Data!$AI:$AI)</f>
        <v>0</v>
      </c>
      <c r="I1348" s="13">
        <v>1812</v>
      </c>
      <c r="J1348" s="13" t="s">
        <v>9151</v>
      </c>
      <c r="K1348" s="13" t="s">
        <v>137</v>
      </c>
      <c r="L1348" s="13" t="s">
        <v>8066</v>
      </c>
      <c r="M1348" s="13" t="s">
        <v>9152</v>
      </c>
      <c r="N1348" s="13">
        <v>193.267</v>
      </c>
      <c r="O1348" s="13" t="s">
        <v>9153</v>
      </c>
      <c r="P1348" s="13" t="s">
        <v>9154</v>
      </c>
      <c r="Q1348" s="13" t="s">
        <v>416</v>
      </c>
      <c r="R1348" s="13" t="s">
        <v>9155</v>
      </c>
      <c r="S1348" s="13" t="s">
        <v>441</v>
      </c>
      <c r="T1348" s="13" t="s">
        <v>442</v>
      </c>
      <c r="U1348" s="13" t="s">
        <v>443</v>
      </c>
      <c r="V1348" s="47">
        <f>SUMIF(Data!$E:$E,$I1348,Data!$AI:$AI)</f>
        <v>0</v>
      </c>
    </row>
    <row r="1349" spans="1:22" x14ac:dyDescent="0.25">
      <c r="A1349" s="46" t="s">
        <v>9075</v>
      </c>
      <c r="B1349" s="46" t="s">
        <v>120</v>
      </c>
      <c r="C1349" s="46" t="s">
        <v>4877</v>
      </c>
      <c r="D1349" s="46">
        <v>1.14669676548303</v>
      </c>
      <c r="E1349" s="47">
        <f>SUMIF(Data!$E:$E,$C1349,Data!$AI:$AI)</f>
        <v>0</v>
      </c>
      <c r="I1349" s="13">
        <v>3003</v>
      </c>
      <c r="J1349" s="13" t="s">
        <v>9156</v>
      </c>
      <c r="K1349" s="13" t="s">
        <v>137</v>
      </c>
      <c r="L1349" s="13" t="s">
        <v>8066</v>
      </c>
      <c r="M1349" s="13" t="s">
        <v>9157</v>
      </c>
      <c r="N1349" s="13">
        <v>206.334</v>
      </c>
      <c r="O1349" s="13" t="s">
        <v>9158</v>
      </c>
      <c r="P1349" s="13" t="s">
        <v>9159</v>
      </c>
      <c r="Q1349" s="13" t="s">
        <v>806</v>
      </c>
      <c r="R1349" s="13" t="s">
        <v>9160</v>
      </c>
      <c r="S1349" s="13" t="s">
        <v>441</v>
      </c>
      <c r="T1349" s="13" t="s">
        <v>442</v>
      </c>
      <c r="U1349" s="13" t="s">
        <v>443</v>
      </c>
      <c r="V1349" s="47">
        <f>SUMIF(Data!$E:$E,$I1349,Data!$AI:$AI)</f>
        <v>0</v>
      </c>
    </row>
    <row r="1350" spans="1:22" x14ac:dyDescent="0.25">
      <c r="A1350" s="46" t="s">
        <v>9075</v>
      </c>
      <c r="B1350" s="46" t="s">
        <v>120</v>
      </c>
      <c r="C1350" s="46" t="s">
        <v>4890</v>
      </c>
      <c r="D1350" s="46">
        <v>5.1620337692391596</v>
      </c>
      <c r="E1350" s="47">
        <f>SUMIF(Data!$E:$E,$C1350,Data!$AI:$AI)</f>
        <v>0</v>
      </c>
      <c r="I1350" s="13" t="s">
        <v>9161</v>
      </c>
      <c r="J1350" s="13" t="s">
        <v>9162</v>
      </c>
      <c r="K1350" s="13" t="s">
        <v>137</v>
      </c>
      <c r="L1350" s="13" t="s">
        <v>8066</v>
      </c>
      <c r="M1350" s="13" t="s">
        <v>9163</v>
      </c>
      <c r="N1350" s="13">
        <v>19.02</v>
      </c>
      <c r="O1350" s="13" t="s">
        <v>9164</v>
      </c>
      <c r="P1350" s="13" t="s">
        <v>9165</v>
      </c>
      <c r="Q1350" s="13" t="s">
        <v>190</v>
      </c>
      <c r="R1350" s="13" t="s">
        <v>9166</v>
      </c>
      <c r="S1350" s="13" t="s">
        <v>560</v>
      </c>
      <c r="T1350" s="13" t="s">
        <v>561</v>
      </c>
      <c r="U1350" s="13" t="s">
        <v>525</v>
      </c>
      <c r="V1350" s="47">
        <f>SUMIF(Data!$E:$E,$I1350,Data!$AI:$AI)</f>
        <v>0</v>
      </c>
    </row>
    <row r="1351" spans="1:22" x14ac:dyDescent="0.25">
      <c r="A1351" s="46" t="s">
        <v>9075</v>
      </c>
      <c r="B1351" s="46" t="s">
        <v>120</v>
      </c>
      <c r="C1351" s="46" t="s">
        <v>4897</v>
      </c>
      <c r="D1351" s="46">
        <v>2.0765124891211801</v>
      </c>
      <c r="E1351" s="47">
        <f>SUMIF(Data!$E:$E,$C1351,Data!$AI:$AI)</f>
        <v>0</v>
      </c>
      <c r="I1351" s="13">
        <v>4217</v>
      </c>
      <c r="J1351" s="13" t="s">
        <v>9167</v>
      </c>
      <c r="K1351" s="13" t="s">
        <v>137</v>
      </c>
      <c r="L1351" s="13" t="s">
        <v>8066</v>
      </c>
      <c r="M1351" s="13" t="s">
        <v>9168</v>
      </c>
      <c r="N1351" s="13">
        <v>59.7</v>
      </c>
      <c r="O1351" s="13" t="s">
        <v>9169</v>
      </c>
      <c r="P1351" s="13" t="s">
        <v>9170</v>
      </c>
      <c r="Q1351" s="13" t="s">
        <v>734</v>
      </c>
      <c r="R1351" s="13" t="s">
        <v>9171</v>
      </c>
      <c r="S1351" s="13" t="s">
        <v>441</v>
      </c>
      <c r="T1351" s="13" t="s">
        <v>442</v>
      </c>
      <c r="U1351" s="13" t="s">
        <v>443</v>
      </c>
      <c r="V1351" s="47">
        <f>SUMIF(Data!$E:$E,$I1351,Data!$AI:$AI)</f>
        <v>0</v>
      </c>
    </row>
    <row r="1352" spans="1:22" x14ac:dyDescent="0.25">
      <c r="A1352" s="46" t="s">
        <v>9075</v>
      </c>
      <c r="B1352" s="46" t="s">
        <v>120</v>
      </c>
      <c r="C1352" s="46" t="s">
        <v>4904</v>
      </c>
      <c r="D1352" s="46">
        <v>3.0691342652337599</v>
      </c>
      <c r="E1352" s="47">
        <f>SUMIF(Data!$E:$E,$C1352,Data!$AI:$AI)</f>
        <v>0</v>
      </c>
      <c r="I1352" s="13">
        <v>8028</v>
      </c>
      <c r="J1352" s="13" t="s">
        <v>9172</v>
      </c>
      <c r="K1352" s="13" t="s">
        <v>137</v>
      </c>
      <c r="L1352" s="13" t="s">
        <v>8066</v>
      </c>
      <c r="M1352" s="13" t="s">
        <v>9173</v>
      </c>
      <c r="N1352" s="13">
        <v>104</v>
      </c>
      <c r="O1352" s="13" t="s">
        <v>9174</v>
      </c>
      <c r="P1352" s="13" t="s">
        <v>9175</v>
      </c>
      <c r="Q1352" s="13" t="s">
        <v>224</v>
      </c>
      <c r="R1352" s="13" t="s">
        <v>9176</v>
      </c>
      <c r="S1352" s="13" t="s">
        <v>441</v>
      </c>
      <c r="T1352" s="13" t="s">
        <v>442</v>
      </c>
      <c r="U1352" s="13" t="s">
        <v>443</v>
      </c>
      <c r="V1352" s="47">
        <f>SUMIF(Data!$E:$E,$I1352,Data!$AI:$AI)</f>
        <v>0</v>
      </c>
    </row>
    <row r="1353" spans="1:22" x14ac:dyDescent="0.25">
      <c r="A1353" s="46" t="s">
        <v>9075</v>
      </c>
      <c r="B1353" s="46" t="s">
        <v>120</v>
      </c>
      <c r="C1353" s="46" t="s">
        <v>4916</v>
      </c>
      <c r="D1353" s="46">
        <v>0.82249383334614701</v>
      </c>
      <c r="E1353" s="47">
        <f>SUMIF(Data!$E:$E,$C1353,Data!$AI:$AI)</f>
        <v>0</v>
      </c>
      <c r="I1353" s="13" t="s">
        <v>9177</v>
      </c>
      <c r="J1353" s="13" t="s">
        <v>9178</v>
      </c>
      <c r="K1353" s="13" t="s">
        <v>137</v>
      </c>
      <c r="L1353" s="13" t="s">
        <v>8066</v>
      </c>
      <c r="M1353" s="13" t="s">
        <v>9179</v>
      </c>
      <c r="N1353" s="13">
        <v>36.533999999999999</v>
      </c>
      <c r="O1353" s="13" t="s">
        <v>9180</v>
      </c>
      <c r="P1353" s="13" t="s">
        <v>9181</v>
      </c>
      <c r="Q1353" s="13" t="s">
        <v>416</v>
      </c>
      <c r="R1353" s="13" t="s">
        <v>9182</v>
      </c>
      <c r="S1353" s="13" t="s">
        <v>523</v>
      </c>
      <c r="T1353" s="13" t="s">
        <v>524</v>
      </c>
      <c r="U1353" s="13" t="s">
        <v>525</v>
      </c>
      <c r="V1353" s="47">
        <f>SUMIF(Data!$E:$E,$I1353,Data!$AI:$AI)</f>
        <v>0</v>
      </c>
    </row>
    <row r="1354" spans="1:22" x14ac:dyDescent="0.25">
      <c r="A1354" s="46" t="s">
        <v>9075</v>
      </c>
      <c r="B1354" s="46" t="s">
        <v>120</v>
      </c>
      <c r="C1354" s="46" t="s">
        <v>4923</v>
      </c>
      <c r="D1354" s="46">
        <v>1.02144368466433</v>
      </c>
      <c r="E1354" s="47">
        <f>SUMIF(Data!$E:$E,$C1354,Data!$AI:$AI)</f>
        <v>0</v>
      </c>
      <c r="I1354" s="13" t="s">
        <v>9183</v>
      </c>
      <c r="J1354" s="13" t="s">
        <v>9184</v>
      </c>
      <c r="K1354" s="13" t="s">
        <v>137</v>
      </c>
      <c r="L1354" s="13" t="s">
        <v>8066</v>
      </c>
      <c r="M1354" s="13" t="s">
        <v>9185</v>
      </c>
      <c r="N1354" s="13">
        <v>77.509</v>
      </c>
      <c r="O1354" s="13" t="s">
        <v>9186</v>
      </c>
      <c r="P1354" s="13" t="s">
        <v>9187</v>
      </c>
      <c r="Q1354" s="13" t="s">
        <v>172</v>
      </c>
      <c r="R1354" s="13" t="s">
        <v>9188</v>
      </c>
      <c r="S1354" s="13" t="s">
        <v>145</v>
      </c>
      <c r="T1354" s="13" t="s">
        <v>146</v>
      </c>
      <c r="U1354" s="13" t="s">
        <v>110</v>
      </c>
      <c r="V1354" s="47">
        <f>SUMIF(Data!$E:$E,$I1354,Data!$AI:$AI)</f>
        <v>0</v>
      </c>
    </row>
    <row r="1355" spans="1:22" x14ac:dyDescent="0.25">
      <c r="A1355" s="46" t="s">
        <v>9075</v>
      </c>
      <c r="B1355" s="46" t="s">
        <v>120</v>
      </c>
      <c r="C1355" s="46" t="s">
        <v>4935</v>
      </c>
      <c r="D1355" s="46">
        <v>1.1643255643866901</v>
      </c>
      <c r="E1355" s="47">
        <f>SUMIF(Data!$E:$E,$C1355,Data!$AI:$AI)</f>
        <v>0</v>
      </c>
      <c r="I1355" s="13">
        <v>8252</v>
      </c>
      <c r="J1355" s="13" t="s">
        <v>9189</v>
      </c>
      <c r="K1355" s="13" t="s">
        <v>137</v>
      </c>
      <c r="L1355" s="13" t="s">
        <v>8066</v>
      </c>
      <c r="M1355" s="13" t="s">
        <v>9190</v>
      </c>
      <c r="N1355" s="13">
        <v>97.4</v>
      </c>
      <c r="O1355" s="13" t="s">
        <v>9191</v>
      </c>
      <c r="P1355" s="13" t="s">
        <v>9192</v>
      </c>
      <c r="Q1355" s="13" t="s">
        <v>162</v>
      </c>
      <c r="R1355" s="13" t="s">
        <v>9193</v>
      </c>
      <c r="S1355" s="13" t="s">
        <v>441</v>
      </c>
      <c r="T1355" s="13" t="s">
        <v>442</v>
      </c>
      <c r="U1355" s="13" t="s">
        <v>443</v>
      </c>
      <c r="V1355" s="47">
        <f>SUMIF(Data!$E:$E,$I1355,Data!$AI:$AI)</f>
        <v>0</v>
      </c>
    </row>
    <row r="1356" spans="1:22" x14ac:dyDescent="0.25">
      <c r="A1356" s="46" t="s">
        <v>9075</v>
      </c>
      <c r="B1356" s="46" t="s">
        <v>120</v>
      </c>
      <c r="C1356" s="46" t="s">
        <v>1939</v>
      </c>
      <c r="D1356" s="46">
        <v>13.3591098423103</v>
      </c>
      <c r="E1356" s="47">
        <f>SUMIF(Data!$E:$E,$C1356,Data!$AI:$AI)</f>
        <v>0</v>
      </c>
      <c r="I1356" s="13" t="s">
        <v>9194</v>
      </c>
      <c r="J1356" s="13" t="s">
        <v>9195</v>
      </c>
      <c r="K1356" s="13" t="s">
        <v>137</v>
      </c>
      <c r="L1356" s="13" t="s">
        <v>8066</v>
      </c>
      <c r="M1356" s="13" t="s">
        <v>9196</v>
      </c>
      <c r="N1356" s="13">
        <v>52.591999999999999</v>
      </c>
      <c r="O1356" s="13" t="s">
        <v>9197</v>
      </c>
      <c r="P1356" s="13" t="s">
        <v>9198</v>
      </c>
      <c r="Q1356" s="13" t="s">
        <v>172</v>
      </c>
      <c r="R1356" s="13" t="s">
        <v>9199</v>
      </c>
      <c r="S1356" s="13" t="s">
        <v>2928</v>
      </c>
      <c r="T1356" s="13" t="s">
        <v>2929</v>
      </c>
      <c r="U1356" s="13" t="s">
        <v>2930</v>
      </c>
      <c r="V1356" s="47">
        <f>SUMIF(Data!$E:$E,$I1356,Data!$AI:$AI)</f>
        <v>0</v>
      </c>
    </row>
    <row r="1357" spans="1:22" x14ac:dyDescent="0.25">
      <c r="A1357" s="46" t="s">
        <v>9075</v>
      </c>
      <c r="B1357" s="46" t="s">
        <v>120</v>
      </c>
      <c r="C1357" s="46" t="s">
        <v>4948</v>
      </c>
      <c r="D1357" s="46">
        <v>3.9782516037388098</v>
      </c>
      <c r="E1357" s="47">
        <f>SUMIF(Data!$E:$E,$C1357,Data!$AI:$AI)</f>
        <v>0</v>
      </c>
      <c r="I1357" s="13" t="s">
        <v>9200</v>
      </c>
      <c r="J1357" s="13" t="s">
        <v>9201</v>
      </c>
      <c r="K1357" s="13" t="s">
        <v>137</v>
      </c>
      <c r="L1357" s="13" t="s">
        <v>8066</v>
      </c>
      <c r="M1357" s="13" t="s">
        <v>9202</v>
      </c>
      <c r="N1357" s="13">
        <v>178.023</v>
      </c>
      <c r="O1357" s="13" t="s">
        <v>9203</v>
      </c>
      <c r="P1357" s="13" t="s">
        <v>9204</v>
      </c>
      <c r="Q1357" s="13" t="s">
        <v>162</v>
      </c>
      <c r="R1357" s="13" t="s">
        <v>9205</v>
      </c>
      <c r="S1357" s="13" t="s">
        <v>192</v>
      </c>
      <c r="T1357" s="13" t="s">
        <v>146</v>
      </c>
      <c r="U1357" s="13" t="s">
        <v>110</v>
      </c>
      <c r="V1357" s="47">
        <f>SUMIF(Data!$E:$E,$I1357,Data!$AI:$AI)</f>
        <v>0</v>
      </c>
    </row>
    <row r="1358" spans="1:22" x14ac:dyDescent="0.25">
      <c r="A1358" s="46" t="s">
        <v>9075</v>
      </c>
      <c r="B1358" s="46" t="s">
        <v>120</v>
      </c>
      <c r="C1358" s="46" t="s">
        <v>1466</v>
      </c>
      <c r="D1358" s="46">
        <v>1.78309965502589</v>
      </c>
      <c r="E1358" s="47">
        <f>SUMIF(Data!$E:$E,$C1358,Data!$AI:$AI)</f>
        <v>0</v>
      </c>
      <c r="I1358" s="13" t="s">
        <v>9206</v>
      </c>
      <c r="J1358" s="13" t="s">
        <v>9207</v>
      </c>
      <c r="K1358" s="13" t="s">
        <v>137</v>
      </c>
      <c r="L1358" s="13" t="s">
        <v>8066</v>
      </c>
      <c r="M1358" s="13" t="s">
        <v>9208</v>
      </c>
      <c r="N1358" s="13">
        <v>118.289</v>
      </c>
      <c r="O1358" s="13" t="s">
        <v>9209</v>
      </c>
      <c r="P1358" s="13" t="s">
        <v>9210</v>
      </c>
      <c r="Q1358" s="13" t="s">
        <v>190</v>
      </c>
      <c r="R1358" s="13" t="s">
        <v>9211</v>
      </c>
      <c r="S1358" s="13" t="s">
        <v>3711</v>
      </c>
      <c r="T1358" s="13" t="s">
        <v>3712</v>
      </c>
      <c r="U1358" s="13" t="s">
        <v>3713</v>
      </c>
      <c r="V1358" s="47">
        <f>SUMIF(Data!$E:$E,$I1358,Data!$AI:$AI)</f>
        <v>0</v>
      </c>
    </row>
    <row r="1359" spans="1:22" x14ac:dyDescent="0.25">
      <c r="A1359" s="46" t="s">
        <v>9075</v>
      </c>
      <c r="B1359" s="46" t="s">
        <v>120</v>
      </c>
      <c r="C1359" s="46" t="s">
        <v>4961</v>
      </c>
      <c r="D1359" s="46">
        <v>0.965692105051977</v>
      </c>
      <c r="E1359" s="47">
        <f>SUMIF(Data!$E:$E,$C1359,Data!$AI:$AI)</f>
        <v>0</v>
      </c>
      <c r="I1359" s="13" t="s">
        <v>9212</v>
      </c>
      <c r="J1359" s="13" t="s">
        <v>9213</v>
      </c>
      <c r="K1359" s="13" t="s">
        <v>137</v>
      </c>
      <c r="L1359" s="13" t="s">
        <v>8066</v>
      </c>
      <c r="M1359" s="13" t="s">
        <v>9214</v>
      </c>
      <c r="N1359" s="13">
        <v>94.786000000000001</v>
      </c>
      <c r="O1359" s="13" t="s">
        <v>9215</v>
      </c>
      <c r="P1359" s="13" t="s">
        <v>9216</v>
      </c>
      <c r="Q1359" s="13" t="s">
        <v>162</v>
      </c>
      <c r="R1359" s="13" t="s">
        <v>9217</v>
      </c>
      <c r="S1359" s="13" t="s">
        <v>725</v>
      </c>
      <c r="T1359" s="13" t="s">
        <v>726</v>
      </c>
      <c r="U1359" s="13" t="s">
        <v>727</v>
      </c>
      <c r="V1359" s="47">
        <f>SUMIF(Data!$E:$E,$I1359,Data!$AI:$AI)</f>
        <v>0</v>
      </c>
    </row>
    <row r="1360" spans="1:22" x14ac:dyDescent="0.25">
      <c r="A1360" s="46" t="s">
        <v>9075</v>
      </c>
      <c r="B1360" s="46" t="s">
        <v>120</v>
      </c>
      <c r="C1360" s="46" t="s">
        <v>4975</v>
      </c>
      <c r="D1360" s="46">
        <v>0.95832676054323995</v>
      </c>
      <c r="E1360" s="47">
        <f>SUMIF(Data!$E:$E,$C1360,Data!$AI:$AI)</f>
        <v>0</v>
      </c>
      <c r="I1360" s="13" t="s">
        <v>9218</v>
      </c>
      <c r="J1360" s="13" t="s">
        <v>9219</v>
      </c>
      <c r="K1360" s="13" t="s">
        <v>137</v>
      </c>
      <c r="L1360" s="13" t="s">
        <v>8066</v>
      </c>
      <c r="M1360" s="13" t="s">
        <v>9220</v>
      </c>
      <c r="N1360" s="13">
        <v>137.74100000000001</v>
      </c>
      <c r="O1360" s="13" t="s">
        <v>9221</v>
      </c>
      <c r="P1360" s="13" t="s">
        <v>9222</v>
      </c>
      <c r="Q1360" s="13" t="s">
        <v>162</v>
      </c>
      <c r="R1360" s="13" t="s">
        <v>9223</v>
      </c>
      <c r="S1360" s="13" t="s">
        <v>192</v>
      </c>
      <c r="T1360" s="13" t="s">
        <v>146</v>
      </c>
      <c r="U1360" s="13" t="s">
        <v>110</v>
      </c>
      <c r="V1360" s="47">
        <f>SUMIF(Data!$E:$E,$I1360,Data!$AI:$AI)</f>
        <v>0</v>
      </c>
    </row>
    <row r="1361" spans="1:22" x14ac:dyDescent="0.25">
      <c r="A1361" s="46" t="s">
        <v>9075</v>
      </c>
      <c r="B1361" s="46" t="s">
        <v>120</v>
      </c>
      <c r="C1361" s="46" t="s">
        <v>4981</v>
      </c>
      <c r="D1361" s="46">
        <v>1.4387742548451801</v>
      </c>
      <c r="E1361" s="47">
        <f>SUMIF(Data!$E:$E,$C1361,Data!$AI:$AI)</f>
        <v>0</v>
      </c>
      <c r="I1361" s="13" t="s">
        <v>9224</v>
      </c>
      <c r="J1361" s="13" t="s">
        <v>9225</v>
      </c>
      <c r="K1361" s="13" t="s">
        <v>137</v>
      </c>
      <c r="L1361" s="13" t="s">
        <v>8066</v>
      </c>
      <c r="M1361" s="13" t="s">
        <v>9226</v>
      </c>
      <c r="N1361" s="13">
        <v>852.96199999999999</v>
      </c>
      <c r="O1361" s="13" t="s">
        <v>9227</v>
      </c>
      <c r="P1361" s="13" t="s">
        <v>9228</v>
      </c>
      <c r="Q1361" s="13" t="s">
        <v>224</v>
      </c>
      <c r="R1361" s="13" t="s">
        <v>9229</v>
      </c>
      <c r="S1361" s="13" t="s">
        <v>476</v>
      </c>
      <c r="T1361" s="13" t="s">
        <v>477</v>
      </c>
      <c r="U1361" s="13" t="s">
        <v>478</v>
      </c>
      <c r="V1361" s="47">
        <f>SUMIF(Data!$E:$E,$I1361,Data!$AI:$AI)</f>
        <v>0</v>
      </c>
    </row>
    <row r="1362" spans="1:22" x14ac:dyDescent="0.25">
      <c r="A1362" s="46" t="s">
        <v>9075</v>
      </c>
      <c r="B1362" s="46" t="s">
        <v>120</v>
      </c>
      <c r="C1362" s="46" t="s">
        <v>4995</v>
      </c>
      <c r="D1362" s="46">
        <v>2.2610749811611699</v>
      </c>
      <c r="E1362" s="47">
        <f>SUMIF(Data!$E:$E,$C1362,Data!$AI:$AI)</f>
        <v>0</v>
      </c>
      <c r="I1362" s="13" t="s">
        <v>9230</v>
      </c>
      <c r="J1362" s="13" t="s">
        <v>9231</v>
      </c>
      <c r="K1362" s="13" t="s">
        <v>137</v>
      </c>
      <c r="L1362" s="13" t="s">
        <v>8066</v>
      </c>
      <c r="M1362" s="13" t="s">
        <v>9232</v>
      </c>
      <c r="N1362" s="13">
        <v>31.248999999999999</v>
      </c>
      <c r="O1362" s="13" t="s">
        <v>9233</v>
      </c>
      <c r="P1362" s="13" t="s">
        <v>9234</v>
      </c>
      <c r="Q1362" s="13" t="s">
        <v>190</v>
      </c>
      <c r="R1362" s="13" t="s">
        <v>9235</v>
      </c>
      <c r="S1362" s="13" t="s">
        <v>560</v>
      </c>
      <c r="T1362" s="13" t="s">
        <v>561</v>
      </c>
      <c r="U1362" s="13" t="s">
        <v>525</v>
      </c>
      <c r="V1362" s="47">
        <f>SUMIF(Data!$E:$E,$I1362,Data!$AI:$AI)</f>
        <v>0</v>
      </c>
    </row>
    <row r="1363" spans="1:22" x14ac:dyDescent="0.25">
      <c r="A1363" s="46" t="s">
        <v>9075</v>
      </c>
      <c r="B1363" s="46" t="s">
        <v>120</v>
      </c>
      <c r="C1363" s="46" t="s">
        <v>5002</v>
      </c>
      <c r="D1363" s="46">
        <v>1.0691504207415601</v>
      </c>
      <c r="E1363" s="47">
        <f>SUMIF(Data!$E:$E,$C1363,Data!$AI:$AI)</f>
        <v>0</v>
      </c>
      <c r="I1363" s="13" t="s">
        <v>9236</v>
      </c>
      <c r="J1363" s="13" t="s">
        <v>9237</v>
      </c>
      <c r="K1363" s="13" t="s">
        <v>137</v>
      </c>
      <c r="L1363" s="13" t="s">
        <v>8066</v>
      </c>
      <c r="M1363" s="13" t="s">
        <v>9238</v>
      </c>
      <c r="N1363" s="13">
        <v>10.054</v>
      </c>
      <c r="O1363" s="13" t="s">
        <v>9239</v>
      </c>
      <c r="P1363" s="13" t="s">
        <v>9240</v>
      </c>
      <c r="Q1363" s="13" t="s">
        <v>416</v>
      </c>
      <c r="R1363" s="13" t="s">
        <v>9241</v>
      </c>
      <c r="S1363" s="13" t="s">
        <v>6414</v>
      </c>
      <c r="T1363" s="13" t="s">
        <v>227</v>
      </c>
      <c r="U1363" s="13" t="s">
        <v>228</v>
      </c>
      <c r="V1363" s="47">
        <f>SUMIF(Data!$E:$E,$I1363,Data!$AI:$AI)</f>
        <v>0</v>
      </c>
    </row>
    <row r="1364" spans="1:22" x14ac:dyDescent="0.25">
      <c r="A1364" s="46" t="s">
        <v>9075</v>
      </c>
      <c r="B1364" s="46" t="s">
        <v>120</v>
      </c>
      <c r="C1364" s="46" t="s">
        <v>5016</v>
      </c>
      <c r="D1364" s="46">
        <v>2.7134662438657799</v>
      </c>
      <c r="E1364" s="47">
        <f>SUMIF(Data!$E:$E,$C1364,Data!$AI:$AI)</f>
        <v>0</v>
      </c>
      <c r="I1364" s="13" t="s">
        <v>9242</v>
      </c>
      <c r="J1364" s="13" t="s">
        <v>9243</v>
      </c>
      <c r="K1364" s="13" t="s">
        <v>137</v>
      </c>
      <c r="L1364" s="13" t="s">
        <v>8066</v>
      </c>
      <c r="M1364" s="13" t="s">
        <v>9244</v>
      </c>
      <c r="N1364" s="13">
        <v>46.186</v>
      </c>
      <c r="O1364" s="13" t="s">
        <v>9245</v>
      </c>
      <c r="P1364" s="13" t="s">
        <v>9246</v>
      </c>
      <c r="Q1364" s="13" t="s">
        <v>162</v>
      </c>
      <c r="R1364" s="13" t="s">
        <v>9247</v>
      </c>
      <c r="S1364" s="13" t="s">
        <v>192</v>
      </c>
      <c r="T1364" s="13" t="s">
        <v>146</v>
      </c>
      <c r="U1364" s="13" t="s">
        <v>110</v>
      </c>
      <c r="V1364" s="47">
        <f>SUMIF(Data!$E:$E,$I1364,Data!$AI:$AI)</f>
        <v>0</v>
      </c>
    </row>
    <row r="1365" spans="1:22" x14ac:dyDescent="0.25">
      <c r="A1365" s="46" t="s">
        <v>9075</v>
      </c>
      <c r="B1365" s="46" t="s">
        <v>120</v>
      </c>
      <c r="C1365" s="46" t="s">
        <v>5023</v>
      </c>
      <c r="D1365" s="46">
        <v>2.5932941389222899</v>
      </c>
      <c r="E1365" s="47">
        <f>SUMIF(Data!$E:$E,$C1365,Data!$AI:$AI)</f>
        <v>0</v>
      </c>
      <c r="I1365" s="13" t="s">
        <v>9248</v>
      </c>
      <c r="J1365" s="13" t="s">
        <v>9249</v>
      </c>
      <c r="K1365" s="13" t="s">
        <v>137</v>
      </c>
      <c r="L1365" s="13" t="s">
        <v>8066</v>
      </c>
      <c r="M1365" s="13" t="s">
        <v>9250</v>
      </c>
      <c r="N1365" s="13">
        <v>27.5</v>
      </c>
      <c r="O1365" s="13" t="s">
        <v>9251</v>
      </c>
      <c r="P1365" s="13" t="s">
        <v>9252</v>
      </c>
      <c r="Q1365" s="13" t="s">
        <v>172</v>
      </c>
      <c r="R1365" s="13" t="s">
        <v>9253</v>
      </c>
      <c r="S1365" s="13" t="s">
        <v>145</v>
      </c>
      <c r="T1365" s="13" t="s">
        <v>146</v>
      </c>
      <c r="U1365" s="13" t="s">
        <v>110</v>
      </c>
      <c r="V1365" s="47">
        <f>SUMIF(Data!$E:$E,$I1365,Data!$AI:$AI)</f>
        <v>0</v>
      </c>
    </row>
    <row r="1366" spans="1:22" x14ac:dyDescent="0.25">
      <c r="A1366" s="46" t="s">
        <v>9254</v>
      </c>
      <c r="B1366" s="46" t="s">
        <v>120</v>
      </c>
      <c r="C1366" s="46" t="s">
        <v>9255</v>
      </c>
      <c r="D1366" s="46">
        <v>100</v>
      </c>
      <c r="E1366" s="47">
        <f>SUMIF(Data!$E:$E,$C1366,Data!$AI:$AI)</f>
        <v>0</v>
      </c>
      <c r="I1366" s="13" t="s">
        <v>9256</v>
      </c>
      <c r="J1366" s="13" t="s">
        <v>9257</v>
      </c>
      <c r="K1366" s="13" t="s">
        <v>137</v>
      </c>
      <c r="L1366" s="13" t="s">
        <v>8066</v>
      </c>
      <c r="M1366" s="13" t="s">
        <v>9258</v>
      </c>
      <c r="N1366" s="13">
        <v>51.573</v>
      </c>
      <c r="O1366" s="13" t="s">
        <v>9259</v>
      </c>
      <c r="P1366" s="13" t="s">
        <v>9260</v>
      </c>
      <c r="Q1366" s="13" t="s">
        <v>208</v>
      </c>
      <c r="R1366" s="13" t="s">
        <v>9261</v>
      </c>
      <c r="S1366" s="13" t="s">
        <v>3139</v>
      </c>
      <c r="T1366" s="13" t="s">
        <v>3140</v>
      </c>
      <c r="U1366" s="13" t="s">
        <v>525</v>
      </c>
      <c r="V1366" s="47">
        <f>SUMIF(Data!$E:$E,$I1366,Data!$AI:$AI)</f>
        <v>0</v>
      </c>
    </row>
    <row r="1367" spans="1:22" x14ac:dyDescent="0.25">
      <c r="A1367" s="46" t="s">
        <v>9262</v>
      </c>
      <c r="B1367" s="46" t="s">
        <v>120</v>
      </c>
      <c r="C1367" s="46" t="s">
        <v>9263</v>
      </c>
      <c r="D1367" s="46">
        <v>100</v>
      </c>
      <c r="E1367" s="47">
        <f>SUMIF(Data!$E:$E,$C1367,Data!$AI:$AI)</f>
        <v>0</v>
      </c>
      <c r="I1367" s="13" t="s">
        <v>9264</v>
      </c>
      <c r="J1367" s="13" t="s">
        <v>9265</v>
      </c>
      <c r="K1367" s="13" t="s">
        <v>137</v>
      </c>
      <c r="L1367" s="13" t="s">
        <v>8066</v>
      </c>
      <c r="M1367" s="13" t="s">
        <v>9266</v>
      </c>
      <c r="N1367" s="13">
        <v>707.827</v>
      </c>
      <c r="O1367" s="13" t="s">
        <v>9267</v>
      </c>
      <c r="P1367" s="13" t="s">
        <v>9268</v>
      </c>
      <c r="Q1367" s="13" t="s">
        <v>734</v>
      </c>
      <c r="R1367" s="13" t="s">
        <v>9269</v>
      </c>
      <c r="S1367" s="13" t="s">
        <v>7564</v>
      </c>
      <c r="T1367" s="13" t="s">
        <v>7565</v>
      </c>
      <c r="U1367" s="13" t="s">
        <v>7566</v>
      </c>
      <c r="V1367" s="47">
        <f>SUMIF(Data!$E:$E,$I1367,Data!$AI:$AI)</f>
        <v>0</v>
      </c>
    </row>
    <row r="1368" spans="1:22" x14ac:dyDescent="0.25">
      <c r="A1368" s="46" t="s">
        <v>9270</v>
      </c>
      <c r="B1368" s="46" t="s">
        <v>120</v>
      </c>
      <c r="C1368" s="46" t="s">
        <v>9271</v>
      </c>
      <c r="D1368" s="46">
        <v>1.2648801336414199</v>
      </c>
      <c r="E1368" s="47">
        <f>SUMIF(Data!$E:$E,$C1368,Data!$AI:$AI)</f>
        <v>0</v>
      </c>
      <c r="I1368" s="13" t="s">
        <v>9272</v>
      </c>
      <c r="J1368" s="13" t="s">
        <v>9273</v>
      </c>
      <c r="K1368" s="13" t="s">
        <v>137</v>
      </c>
      <c r="L1368" s="13" t="s">
        <v>8066</v>
      </c>
      <c r="M1368" s="13" t="s">
        <v>9274</v>
      </c>
      <c r="N1368" s="13">
        <v>48.414999999999999</v>
      </c>
      <c r="O1368" s="13" t="s">
        <v>9275</v>
      </c>
      <c r="P1368" s="13" t="s">
        <v>9276</v>
      </c>
      <c r="Q1368" s="13" t="s">
        <v>162</v>
      </c>
      <c r="R1368" s="13" t="s">
        <v>9277</v>
      </c>
      <c r="S1368" s="13" t="s">
        <v>192</v>
      </c>
      <c r="T1368" s="13" t="s">
        <v>146</v>
      </c>
      <c r="U1368" s="13" t="s">
        <v>110</v>
      </c>
      <c r="V1368" s="47">
        <f>SUMIF(Data!$E:$E,$I1368,Data!$AI:$AI)</f>
        <v>0</v>
      </c>
    </row>
    <row r="1369" spans="1:22" x14ac:dyDescent="0.25">
      <c r="A1369" s="46" t="s">
        <v>9270</v>
      </c>
      <c r="B1369" s="46" t="s">
        <v>120</v>
      </c>
      <c r="C1369" s="46" t="s">
        <v>9278</v>
      </c>
      <c r="D1369" s="46">
        <v>2.4920431710220599</v>
      </c>
      <c r="E1369" s="47">
        <f>SUMIF(Data!$E:$E,$C1369,Data!$AI:$AI)</f>
        <v>0</v>
      </c>
      <c r="I1369" s="13">
        <v>9048</v>
      </c>
      <c r="J1369" s="13" t="s">
        <v>9279</v>
      </c>
      <c r="K1369" s="13" t="s">
        <v>137</v>
      </c>
      <c r="L1369" s="13" t="s">
        <v>8066</v>
      </c>
      <c r="M1369" s="13" t="s">
        <v>9280</v>
      </c>
      <c r="N1369" s="13">
        <v>77.406000000000006</v>
      </c>
      <c r="O1369" s="13" t="s">
        <v>9281</v>
      </c>
      <c r="P1369" s="13" t="s">
        <v>9282</v>
      </c>
      <c r="Q1369" s="13" t="s">
        <v>416</v>
      </c>
      <c r="R1369" s="13" t="s">
        <v>9283</v>
      </c>
      <c r="S1369" s="13" t="s">
        <v>441</v>
      </c>
      <c r="T1369" s="13" t="s">
        <v>442</v>
      </c>
      <c r="U1369" s="13" t="s">
        <v>443</v>
      </c>
      <c r="V1369" s="47">
        <f>SUMIF(Data!$E:$E,$I1369,Data!$AI:$AI)</f>
        <v>0</v>
      </c>
    </row>
    <row r="1370" spans="1:22" x14ac:dyDescent="0.25">
      <c r="A1370" s="46" t="s">
        <v>9270</v>
      </c>
      <c r="B1370" s="46" t="s">
        <v>120</v>
      </c>
      <c r="C1370" s="46" t="s">
        <v>9284</v>
      </c>
      <c r="D1370" s="46">
        <v>1.31408966729801</v>
      </c>
      <c r="E1370" s="47">
        <f>SUMIF(Data!$E:$E,$C1370,Data!$AI:$AI)</f>
        <v>0</v>
      </c>
      <c r="I1370" s="13" t="s">
        <v>9285</v>
      </c>
      <c r="J1370" s="13" t="s">
        <v>9286</v>
      </c>
      <c r="K1370" s="13" t="s">
        <v>137</v>
      </c>
      <c r="L1370" s="13" t="s">
        <v>8066</v>
      </c>
      <c r="M1370" s="13" t="s">
        <v>9287</v>
      </c>
      <c r="N1370" s="13">
        <v>78.501000000000005</v>
      </c>
      <c r="O1370" s="13" t="s">
        <v>9288</v>
      </c>
      <c r="P1370" s="13" t="s">
        <v>9289</v>
      </c>
      <c r="Q1370" s="13" t="s">
        <v>694</v>
      </c>
      <c r="R1370" s="13" t="s">
        <v>9290</v>
      </c>
      <c r="S1370" s="13" t="s">
        <v>725</v>
      </c>
      <c r="T1370" s="13" t="s">
        <v>726</v>
      </c>
      <c r="U1370" s="13" t="s">
        <v>727</v>
      </c>
      <c r="V1370" s="47">
        <f>SUMIF(Data!$E:$E,$I1370,Data!$AI:$AI)</f>
        <v>0</v>
      </c>
    </row>
    <row r="1371" spans="1:22" x14ac:dyDescent="0.25">
      <c r="A1371" s="46" t="s">
        <v>9270</v>
      </c>
      <c r="B1371" s="46" t="s">
        <v>120</v>
      </c>
      <c r="C1371" s="46" t="s">
        <v>9291</v>
      </c>
      <c r="D1371" s="46">
        <v>12.143517363253901</v>
      </c>
      <c r="E1371" s="47">
        <f>SUMIF(Data!$E:$E,$C1371,Data!$AI:$AI)</f>
        <v>0</v>
      </c>
      <c r="I1371" s="13">
        <v>4021</v>
      </c>
      <c r="J1371" s="13" t="s">
        <v>9292</v>
      </c>
      <c r="K1371" s="13" t="s">
        <v>137</v>
      </c>
      <c r="L1371" s="13" t="s">
        <v>8066</v>
      </c>
      <c r="M1371" s="13" t="s">
        <v>9293</v>
      </c>
      <c r="N1371" s="13">
        <v>55.7</v>
      </c>
      <c r="O1371" s="13" t="s">
        <v>9294</v>
      </c>
      <c r="P1371" s="13" t="s">
        <v>9295</v>
      </c>
      <c r="Q1371" s="13" t="s">
        <v>734</v>
      </c>
      <c r="R1371" s="13" t="s">
        <v>9296</v>
      </c>
      <c r="S1371" s="13" t="s">
        <v>441</v>
      </c>
      <c r="T1371" s="13" t="s">
        <v>442</v>
      </c>
      <c r="U1371" s="13" t="s">
        <v>443</v>
      </c>
      <c r="V1371" s="47">
        <f>SUMIF(Data!$E:$E,$I1371,Data!$AI:$AI)</f>
        <v>0</v>
      </c>
    </row>
    <row r="1372" spans="1:22" x14ac:dyDescent="0.25">
      <c r="A1372" s="46" t="s">
        <v>9270</v>
      </c>
      <c r="B1372" s="46" t="s">
        <v>120</v>
      </c>
      <c r="C1372" s="46" t="s">
        <v>9297</v>
      </c>
      <c r="D1372" s="46">
        <v>24.1573902862037</v>
      </c>
      <c r="E1372" s="47">
        <f>SUMIF(Data!$E:$E,$C1372,Data!$AI:$AI)</f>
        <v>0</v>
      </c>
      <c r="I1372" s="13">
        <v>3289</v>
      </c>
      <c r="J1372" s="13" t="s">
        <v>9298</v>
      </c>
      <c r="K1372" s="13" t="s">
        <v>137</v>
      </c>
      <c r="L1372" s="13" t="s">
        <v>8066</v>
      </c>
      <c r="M1372" s="13" t="s">
        <v>9299</v>
      </c>
      <c r="N1372" s="13">
        <v>353.94400000000002</v>
      </c>
      <c r="O1372" s="13" t="s">
        <v>9300</v>
      </c>
      <c r="P1372" s="13" t="s">
        <v>9301</v>
      </c>
      <c r="Q1372" s="13" t="s">
        <v>806</v>
      </c>
      <c r="R1372" s="13" t="s">
        <v>9302</v>
      </c>
      <c r="S1372" s="13" t="s">
        <v>441</v>
      </c>
      <c r="T1372" s="13" t="s">
        <v>442</v>
      </c>
      <c r="U1372" s="13" t="s">
        <v>443</v>
      </c>
      <c r="V1372" s="47">
        <f>SUMIF(Data!$E:$E,$I1372,Data!$AI:$AI)</f>
        <v>0</v>
      </c>
    </row>
    <row r="1373" spans="1:22" x14ac:dyDescent="0.25">
      <c r="A1373" s="46" t="s">
        <v>9270</v>
      </c>
      <c r="B1373" s="46" t="s">
        <v>120</v>
      </c>
      <c r="C1373" s="46" t="s">
        <v>9303</v>
      </c>
      <c r="D1373" s="46">
        <v>5.2247890746902401</v>
      </c>
      <c r="E1373" s="47">
        <f>SUMIF(Data!$E:$E,$C1373,Data!$AI:$AI)</f>
        <v>0</v>
      </c>
      <c r="I1373" s="13">
        <v>3405</v>
      </c>
      <c r="J1373" s="13" t="s">
        <v>9304</v>
      </c>
      <c r="K1373" s="13" t="s">
        <v>137</v>
      </c>
      <c r="L1373" s="13" t="s">
        <v>8066</v>
      </c>
      <c r="M1373" s="13" t="s">
        <v>9305</v>
      </c>
      <c r="N1373" s="13">
        <v>201</v>
      </c>
      <c r="O1373" s="13" t="s">
        <v>9306</v>
      </c>
      <c r="P1373" s="13" t="s">
        <v>9307</v>
      </c>
      <c r="Q1373" s="13" t="s">
        <v>734</v>
      </c>
      <c r="R1373" s="13" t="s">
        <v>9308</v>
      </c>
      <c r="S1373" s="13" t="s">
        <v>441</v>
      </c>
      <c r="T1373" s="13" t="s">
        <v>442</v>
      </c>
      <c r="U1373" s="13" t="s">
        <v>443</v>
      </c>
      <c r="V1373" s="47">
        <f>SUMIF(Data!$E:$E,$I1373,Data!$AI:$AI)</f>
        <v>0</v>
      </c>
    </row>
    <row r="1374" spans="1:22" x14ac:dyDescent="0.25">
      <c r="A1374" s="46" t="s">
        <v>9270</v>
      </c>
      <c r="B1374" s="46" t="s">
        <v>120</v>
      </c>
      <c r="C1374" s="46" t="s">
        <v>9309</v>
      </c>
      <c r="D1374" s="46">
        <v>1.97459900044753</v>
      </c>
      <c r="E1374" s="47">
        <f>SUMIF(Data!$E:$E,$C1374,Data!$AI:$AI)</f>
        <v>0</v>
      </c>
      <c r="I1374" s="13">
        <v>4183</v>
      </c>
      <c r="J1374" s="13" t="s">
        <v>9310</v>
      </c>
      <c r="K1374" s="13" t="s">
        <v>137</v>
      </c>
      <c r="L1374" s="13" t="s">
        <v>8066</v>
      </c>
      <c r="M1374" s="13" t="s">
        <v>9311</v>
      </c>
      <c r="N1374" s="13">
        <v>100.1</v>
      </c>
      <c r="O1374" s="13" t="s">
        <v>9312</v>
      </c>
      <c r="P1374" s="13" t="s">
        <v>9313</v>
      </c>
      <c r="Q1374" s="13" t="s">
        <v>734</v>
      </c>
      <c r="R1374" s="13" t="s">
        <v>9314</v>
      </c>
      <c r="S1374" s="13" t="s">
        <v>441</v>
      </c>
      <c r="T1374" s="13" t="s">
        <v>442</v>
      </c>
      <c r="U1374" s="13" t="s">
        <v>443</v>
      </c>
      <c r="V1374" s="47">
        <f>SUMIF(Data!$E:$E,$I1374,Data!$AI:$AI)</f>
        <v>0</v>
      </c>
    </row>
    <row r="1375" spans="1:22" x14ac:dyDescent="0.25">
      <c r="A1375" s="46" t="s">
        <v>9270</v>
      </c>
      <c r="B1375" s="46" t="s">
        <v>120</v>
      </c>
      <c r="C1375" s="46" t="s">
        <v>9315</v>
      </c>
      <c r="D1375" s="46">
        <v>1.6862213473811001</v>
      </c>
      <c r="E1375" s="47">
        <f>SUMIF(Data!$E:$E,$C1375,Data!$AI:$AI)</f>
        <v>0</v>
      </c>
      <c r="I1375" s="13" t="s">
        <v>9316</v>
      </c>
      <c r="J1375" s="13" t="s">
        <v>9317</v>
      </c>
      <c r="K1375" s="13" t="s">
        <v>137</v>
      </c>
      <c r="L1375" s="13" t="s">
        <v>8066</v>
      </c>
      <c r="M1375" s="13" t="s">
        <v>5340</v>
      </c>
      <c r="N1375" s="13">
        <v>536.30200000000002</v>
      </c>
      <c r="O1375" s="13" t="s">
        <v>9318</v>
      </c>
      <c r="P1375" s="13" t="s">
        <v>9319</v>
      </c>
      <c r="Q1375" s="13" t="s">
        <v>190</v>
      </c>
      <c r="R1375" s="13" t="s">
        <v>9320</v>
      </c>
      <c r="S1375" s="13" t="s">
        <v>560</v>
      </c>
      <c r="T1375" s="13" t="s">
        <v>561</v>
      </c>
      <c r="U1375" s="13" t="s">
        <v>525</v>
      </c>
      <c r="V1375" s="47">
        <f>SUMIF(Data!$E:$E,$I1375,Data!$AI:$AI)</f>
        <v>0</v>
      </c>
    </row>
    <row r="1376" spans="1:22" x14ac:dyDescent="0.25">
      <c r="A1376" s="46" t="s">
        <v>9270</v>
      </c>
      <c r="B1376" s="46" t="s">
        <v>120</v>
      </c>
      <c r="C1376" s="46" t="s">
        <v>9321</v>
      </c>
      <c r="D1376" s="46">
        <v>0.36004950698302501</v>
      </c>
      <c r="E1376" s="47">
        <f>SUMIF(Data!$E:$E,$C1376,Data!$AI:$AI)</f>
        <v>0</v>
      </c>
      <c r="I1376" s="13" t="s">
        <v>2551</v>
      </c>
      <c r="J1376" s="13" t="s">
        <v>9322</v>
      </c>
      <c r="K1376" s="13" t="s">
        <v>137</v>
      </c>
      <c r="L1376" s="13" t="s">
        <v>8066</v>
      </c>
      <c r="M1376" s="13" t="s">
        <v>6576</v>
      </c>
      <c r="N1376" s="13">
        <v>86.096000000000004</v>
      </c>
      <c r="O1376" s="13" t="s">
        <v>9323</v>
      </c>
      <c r="P1376" s="13" t="s">
        <v>9324</v>
      </c>
      <c r="Q1376" s="13" t="s">
        <v>416</v>
      </c>
      <c r="R1376" s="13" t="s">
        <v>9325</v>
      </c>
      <c r="S1376" s="13" t="s">
        <v>145</v>
      </c>
      <c r="T1376" s="13" t="s">
        <v>146</v>
      </c>
      <c r="U1376" s="13" t="s">
        <v>110</v>
      </c>
      <c r="V1376" s="47">
        <f>SUMIF(Data!$E:$E,$I1376,Data!$AI:$AI)</f>
        <v>0</v>
      </c>
    </row>
    <row r="1377" spans="1:22" x14ac:dyDescent="0.25">
      <c r="A1377" s="46" t="s">
        <v>9270</v>
      </c>
      <c r="B1377" s="46" t="s">
        <v>120</v>
      </c>
      <c r="C1377" s="46" t="s">
        <v>9326</v>
      </c>
      <c r="D1377" s="46">
        <v>1.41118307372972</v>
      </c>
      <c r="E1377" s="47">
        <f>SUMIF(Data!$E:$E,$C1377,Data!$AI:$AI)</f>
        <v>0</v>
      </c>
      <c r="I1377" s="13">
        <v>6770</v>
      </c>
      <c r="J1377" s="13" t="s">
        <v>9327</v>
      </c>
      <c r="K1377" s="13" t="s">
        <v>137</v>
      </c>
      <c r="L1377" s="13" t="s">
        <v>8066</v>
      </c>
      <c r="M1377" s="13" t="s">
        <v>1666</v>
      </c>
      <c r="N1377" s="13">
        <v>100.877</v>
      </c>
      <c r="O1377" s="13" t="s">
        <v>9328</v>
      </c>
      <c r="P1377" s="13" t="s">
        <v>9329</v>
      </c>
      <c r="Q1377" s="13" t="s">
        <v>143</v>
      </c>
      <c r="R1377" s="13" t="s">
        <v>9330</v>
      </c>
      <c r="S1377" s="13" t="s">
        <v>441</v>
      </c>
      <c r="T1377" s="13" t="s">
        <v>442</v>
      </c>
      <c r="U1377" s="13" t="s">
        <v>443</v>
      </c>
      <c r="V1377" s="47">
        <f>SUMIF(Data!$E:$E,$I1377,Data!$AI:$AI)</f>
        <v>0</v>
      </c>
    </row>
    <row r="1378" spans="1:22" x14ac:dyDescent="0.25">
      <c r="A1378" s="46" t="s">
        <v>9270</v>
      </c>
      <c r="B1378" s="46" t="s">
        <v>120</v>
      </c>
      <c r="C1378" s="46" t="s">
        <v>9331</v>
      </c>
      <c r="D1378" s="46">
        <v>2.1686168185117198</v>
      </c>
      <c r="E1378" s="47">
        <f>SUMIF(Data!$E:$E,$C1378,Data!$AI:$AI)</f>
        <v>0</v>
      </c>
      <c r="I1378" s="13">
        <v>6113</v>
      </c>
      <c r="J1378" s="13" t="s">
        <v>9332</v>
      </c>
      <c r="K1378" s="13" t="s">
        <v>137</v>
      </c>
      <c r="L1378" s="13" t="s">
        <v>8066</v>
      </c>
      <c r="M1378" s="13" t="s">
        <v>9333</v>
      </c>
      <c r="N1378" s="13">
        <v>202.8</v>
      </c>
      <c r="O1378" s="13" t="s">
        <v>9334</v>
      </c>
      <c r="P1378" s="13" t="s">
        <v>9335</v>
      </c>
      <c r="Q1378" s="13" t="s">
        <v>416</v>
      </c>
      <c r="R1378" s="13" t="s">
        <v>9336</v>
      </c>
      <c r="S1378" s="13" t="s">
        <v>441</v>
      </c>
      <c r="T1378" s="13" t="s">
        <v>442</v>
      </c>
      <c r="U1378" s="13" t="s">
        <v>443</v>
      </c>
      <c r="V1378" s="47">
        <f>SUMIF(Data!$E:$E,$I1378,Data!$AI:$AI)</f>
        <v>0</v>
      </c>
    </row>
    <row r="1379" spans="1:22" x14ac:dyDescent="0.25">
      <c r="A1379" s="46" t="s">
        <v>9270</v>
      </c>
      <c r="B1379" s="46" t="s">
        <v>120</v>
      </c>
      <c r="C1379" s="46" t="s">
        <v>9337</v>
      </c>
      <c r="D1379" s="46">
        <v>0.43634073215466201</v>
      </c>
      <c r="E1379" s="47">
        <f>SUMIF(Data!$E:$E,$C1379,Data!$AI:$AI)</f>
        <v>0</v>
      </c>
      <c r="I1379" s="13" t="s">
        <v>9338</v>
      </c>
      <c r="J1379" s="13" t="s">
        <v>9339</v>
      </c>
      <c r="K1379" s="13" t="s">
        <v>137</v>
      </c>
      <c r="L1379" s="13" t="s">
        <v>8066</v>
      </c>
      <c r="M1379" s="13" t="s">
        <v>9340</v>
      </c>
      <c r="N1379" s="13">
        <v>189.887</v>
      </c>
      <c r="O1379" s="13" t="s">
        <v>9341</v>
      </c>
      <c r="P1379" s="13" t="s">
        <v>9342</v>
      </c>
      <c r="Q1379" s="13" t="s">
        <v>734</v>
      </c>
      <c r="R1379" s="13" t="s">
        <v>9343</v>
      </c>
      <c r="S1379" s="13" t="s">
        <v>476</v>
      </c>
      <c r="T1379" s="13" t="s">
        <v>477</v>
      </c>
      <c r="U1379" s="13" t="s">
        <v>478</v>
      </c>
      <c r="V1379" s="47">
        <f>SUMIF(Data!$E:$E,$I1379,Data!$AI:$AI)</f>
        <v>0</v>
      </c>
    </row>
    <row r="1380" spans="1:22" x14ac:dyDescent="0.25">
      <c r="A1380" s="46" t="s">
        <v>9270</v>
      </c>
      <c r="B1380" s="46" t="s">
        <v>120</v>
      </c>
      <c r="C1380" s="46" t="s">
        <v>9344</v>
      </c>
      <c r="D1380" s="46">
        <v>7.0030275596750999E-2</v>
      </c>
      <c r="E1380" s="47">
        <f>SUMIF(Data!$E:$E,$C1380,Data!$AI:$AI)</f>
        <v>0</v>
      </c>
      <c r="I1380" s="13" t="s">
        <v>9345</v>
      </c>
      <c r="J1380" s="13" t="s">
        <v>9346</v>
      </c>
      <c r="K1380" s="13" t="s">
        <v>137</v>
      </c>
      <c r="L1380" s="13" t="s">
        <v>8066</v>
      </c>
      <c r="M1380" s="13" t="s">
        <v>9347</v>
      </c>
      <c r="N1380" s="13">
        <v>54.253999999999998</v>
      </c>
      <c r="O1380" s="13" t="s">
        <v>9348</v>
      </c>
      <c r="P1380" s="13" t="s">
        <v>9349</v>
      </c>
      <c r="Q1380" s="13" t="s">
        <v>208</v>
      </c>
      <c r="R1380" s="13" t="s">
        <v>9350</v>
      </c>
      <c r="S1380" s="13" t="s">
        <v>1127</v>
      </c>
      <c r="T1380" s="13" t="s">
        <v>1128</v>
      </c>
      <c r="U1380" s="13" t="s">
        <v>525</v>
      </c>
      <c r="V1380" s="47">
        <f>SUMIF(Data!$E:$E,$I1380,Data!$AI:$AI)</f>
        <v>0</v>
      </c>
    </row>
    <row r="1381" spans="1:22" x14ac:dyDescent="0.25">
      <c r="A1381" s="46" t="s">
        <v>9270</v>
      </c>
      <c r="B1381" s="46" t="s">
        <v>120</v>
      </c>
      <c r="C1381" s="46" t="s">
        <v>2334</v>
      </c>
      <c r="D1381" s="46">
        <v>0.62690987167225498</v>
      </c>
      <c r="E1381" s="47">
        <f>SUMIF(Data!$E:$E,$C1381,Data!$AI:$AI)</f>
        <v>0</v>
      </c>
      <c r="I1381" s="13">
        <v>5110</v>
      </c>
      <c r="J1381" s="13" t="s">
        <v>9351</v>
      </c>
      <c r="K1381" s="13" t="s">
        <v>137</v>
      </c>
      <c r="L1381" s="13" t="s">
        <v>8066</v>
      </c>
      <c r="M1381" s="13" t="s">
        <v>9352</v>
      </c>
      <c r="N1381" s="13">
        <v>198.7</v>
      </c>
      <c r="O1381" s="13" t="s">
        <v>9353</v>
      </c>
      <c r="P1381" s="13" t="s">
        <v>9354</v>
      </c>
      <c r="Q1381" s="13" t="s">
        <v>162</v>
      </c>
      <c r="R1381" s="13" t="s">
        <v>9355</v>
      </c>
      <c r="S1381" s="13" t="s">
        <v>441</v>
      </c>
      <c r="T1381" s="13" t="s">
        <v>442</v>
      </c>
      <c r="U1381" s="13" t="s">
        <v>443</v>
      </c>
      <c r="V1381" s="47">
        <f>SUMIF(Data!$E:$E,$I1381,Data!$AI:$AI)</f>
        <v>0</v>
      </c>
    </row>
    <row r="1382" spans="1:22" x14ac:dyDescent="0.25">
      <c r="A1382" s="46" t="s">
        <v>9270</v>
      </c>
      <c r="B1382" s="46" t="s">
        <v>120</v>
      </c>
      <c r="C1382" s="46" t="s">
        <v>9356</v>
      </c>
      <c r="D1382" s="46">
        <v>7.0466277934135998E-2</v>
      </c>
      <c r="E1382" s="47">
        <f>SUMIF(Data!$E:$E,$C1382,Data!$AI:$AI)</f>
        <v>0</v>
      </c>
      <c r="I1382" s="13">
        <v>8955</v>
      </c>
      <c r="J1382" s="13" t="s">
        <v>9357</v>
      </c>
      <c r="K1382" s="13" t="s">
        <v>137</v>
      </c>
      <c r="L1382" s="13" t="s">
        <v>8066</v>
      </c>
      <c r="M1382" s="13" t="s">
        <v>9358</v>
      </c>
      <c r="N1382" s="13">
        <v>539</v>
      </c>
      <c r="O1382" s="13" t="s">
        <v>9359</v>
      </c>
      <c r="P1382" s="13" t="s">
        <v>9360</v>
      </c>
      <c r="Q1382" s="13" t="s">
        <v>806</v>
      </c>
      <c r="R1382" s="13" t="s">
        <v>9361</v>
      </c>
      <c r="S1382" s="13" t="s">
        <v>441</v>
      </c>
      <c r="T1382" s="13" t="s">
        <v>442</v>
      </c>
      <c r="U1382" s="13" t="s">
        <v>443</v>
      </c>
      <c r="V1382" s="47">
        <f>SUMIF(Data!$E:$E,$I1382,Data!$AI:$AI)</f>
        <v>0</v>
      </c>
    </row>
    <row r="1383" spans="1:22" x14ac:dyDescent="0.25">
      <c r="A1383" s="46" t="s">
        <v>9270</v>
      </c>
      <c r="B1383" s="46" t="s">
        <v>120</v>
      </c>
      <c r="C1383" s="46" t="s">
        <v>9362</v>
      </c>
      <c r="D1383" s="46">
        <v>0.32007011078109998</v>
      </c>
      <c r="E1383" s="47">
        <f>SUMIF(Data!$E:$E,$C1383,Data!$AI:$AI)</f>
        <v>0</v>
      </c>
      <c r="I1383" s="13" t="s">
        <v>2972</v>
      </c>
      <c r="J1383" s="13" t="s">
        <v>9363</v>
      </c>
      <c r="K1383" s="13" t="s">
        <v>137</v>
      </c>
      <c r="L1383" s="13" t="s">
        <v>8066</v>
      </c>
      <c r="M1383" s="13" t="s">
        <v>9364</v>
      </c>
      <c r="N1383" s="13" t="s">
        <v>9365</v>
      </c>
      <c r="O1383" s="13" t="s">
        <v>9366</v>
      </c>
      <c r="P1383" s="13" t="s">
        <v>9367</v>
      </c>
      <c r="Q1383" s="13" t="s">
        <v>190</v>
      </c>
      <c r="R1383" s="13" t="s">
        <v>9368</v>
      </c>
      <c r="S1383" s="13" t="s">
        <v>847</v>
      </c>
      <c r="T1383" s="13" t="s">
        <v>848</v>
      </c>
      <c r="U1383" s="13" t="s">
        <v>849</v>
      </c>
      <c r="V1383" s="47">
        <f>SUMIF(Data!$E:$E,$I1383,Data!$AI:$AI)</f>
        <v>0</v>
      </c>
    </row>
    <row r="1384" spans="1:22" x14ac:dyDescent="0.25">
      <c r="A1384" s="46" t="s">
        <v>9270</v>
      </c>
      <c r="B1384" s="46" t="s">
        <v>120</v>
      </c>
      <c r="C1384" s="46" t="s">
        <v>9369</v>
      </c>
      <c r="D1384" s="46">
        <v>6.9816847069617993E-2</v>
      </c>
      <c r="E1384" s="47">
        <f>SUMIF(Data!$E:$E,$C1384,Data!$AI:$AI)</f>
        <v>0</v>
      </c>
      <c r="I1384" s="13">
        <v>9602</v>
      </c>
      <c r="J1384" s="13" t="s">
        <v>9370</v>
      </c>
      <c r="K1384" s="13" t="s">
        <v>137</v>
      </c>
      <c r="L1384" s="13" t="s">
        <v>8066</v>
      </c>
      <c r="M1384" s="13" t="s">
        <v>9371</v>
      </c>
      <c r="N1384" s="13">
        <v>56.9</v>
      </c>
      <c r="O1384" s="13" t="s">
        <v>9372</v>
      </c>
      <c r="P1384" s="13" t="s">
        <v>9373</v>
      </c>
      <c r="Q1384" s="13" t="s">
        <v>172</v>
      </c>
      <c r="R1384" s="13" t="s">
        <v>9374</v>
      </c>
      <c r="S1384" s="13" t="s">
        <v>441</v>
      </c>
      <c r="T1384" s="13" t="s">
        <v>442</v>
      </c>
      <c r="U1384" s="13" t="s">
        <v>443</v>
      </c>
      <c r="V1384" s="47">
        <f>SUMIF(Data!$E:$E,$I1384,Data!$AI:$AI)</f>
        <v>0</v>
      </c>
    </row>
    <row r="1385" spans="1:22" x14ac:dyDescent="0.25">
      <c r="A1385" s="46" t="s">
        <v>9270</v>
      </c>
      <c r="B1385" s="46" t="s">
        <v>120</v>
      </c>
      <c r="C1385" s="46" t="s">
        <v>9375</v>
      </c>
      <c r="D1385" s="46">
        <v>1.0476558509615099</v>
      </c>
      <c r="E1385" s="47">
        <f>SUMIF(Data!$E:$E,$C1385,Data!$AI:$AI)</f>
        <v>0</v>
      </c>
      <c r="I1385" s="13" t="s">
        <v>9376</v>
      </c>
      <c r="J1385" s="13" t="s">
        <v>9377</v>
      </c>
      <c r="K1385" s="13" t="s">
        <v>137</v>
      </c>
      <c r="L1385" s="13" t="s">
        <v>8066</v>
      </c>
      <c r="M1385" s="13" t="s">
        <v>7194</v>
      </c>
      <c r="N1385" s="13" t="s">
        <v>9378</v>
      </c>
      <c r="O1385" s="13" t="s">
        <v>9379</v>
      </c>
      <c r="P1385" s="13" t="s">
        <v>9380</v>
      </c>
      <c r="Q1385" s="13" t="s">
        <v>806</v>
      </c>
      <c r="R1385" s="13" t="s">
        <v>9381</v>
      </c>
      <c r="S1385" s="13" t="s">
        <v>2365</v>
      </c>
      <c r="T1385" s="13" t="s">
        <v>2366</v>
      </c>
      <c r="U1385" s="13" t="s">
        <v>2367</v>
      </c>
      <c r="V1385" s="47">
        <f>SUMIF(Data!$E:$E,$I1385,Data!$AI:$AI)</f>
        <v>0</v>
      </c>
    </row>
    <row r="1386" spans="1:22" x14ac:dyDescent="0.25">
      <c r="A1386" s="46" t="s">
        <v>9270</v>
      </c>
      <c r="B1386" s="46" t="s">
        <v>120</v>
      </c>
      <c r="C1386" s="46" t="s">
        <v>9382</v>
      </c>
      <c r="D1386" s="46">
        <v>6.8946957193333898</v>
      </c>
      <c r="E1386" s="47">
        <f>SUMIF(Data!$E:$E,$C1386,Data!$AI:$AI)</f>
        <v>0</v>
      </c>
      <c r="I1386" s="13">
        <v>4516</v>
      </c>
      <c r="J1386" s="13" t="s">
        <v>9383</v>
      </c>
      <c r="K1386" s="13" t="s">
        <v>137</v>
      </c>
      <c r="L1386" s="13" t="s">
        <v>8066</v>
      </c>
      <c r="M1386" s="13" t="s">
        <v>9384</v>
      </c>
      <c r="N1386" s="13">
        <v>25.7</v>
      </c>
      <c r="O1386" s="13" t="s">
        <v>9385</v>
      </c>
      <c r="P1386" s="13" t="s">
        <v>9386</v>
      </c>
      <c r="Q1386" s="13" t="s">
        <v>208</v>
      </c>
      <c r="R1386" s="13" t="s">
        <v>9387</v>
      </c>
      <c r="S1386" s="13" t="s">
        <v>441</v>
      </c>
      <c r="T1386" s="13" t="s">
        <v>442</v>
      </c>
      <c r="U1386" s="13" t="s">
        <v>443</v>
      </c>
      <c r="V1386" s="47">
        <f>SUMIF(Data!$E:$E,$I1386,Data!$AI:$AI)</f>
        <v>0</v>
      </c>
    </row>
    <row r="1387" spans="1:22" x14ac:dyDescent="0.25">
      <c r="A1387" s="46" t="s">
        <v>9270</v>
      </c>
      <c r="B1387" s="46" t="s">
        <v>120</v>
      </c>
      <c r="C1387" s="46" t="s">
        <v>9388</v>
      </c>
      <c r="D1387" s="46">
        <v>0.180339310713725</v>
      </c>
      <c r="E1387" s="47">
        <f>SUMIF(Data!$E:$E,$C1387,Data!$AI:$AI)</f>
        <v>0</v>
      </c>
      <c r="I1387" s="13" t="s">
        <v>7011</v>
      </c>
      <c r="J1387" s="13" t="s">
        <v>9389</v>
      </c>
      <c r="K1387" s="13" t="s">
        <v>137</v>
      </c>
      <c r="L1387" s="13" t="s">
        <v>8066</v>
      </c>
      <c r="M1387" s="13" t="s">
        <v>9390</v>
      </c>
      <c r="N1387" s="13">
        <v>47.112000000000002</v>
      </c>
      <c r="O1387" s="13" t="s">
        <v>9391</v>
      </c>
      <c r="P1387" s="13" t="s">
        <v>9392</v>
      </c>
      <c r="Q1387" s="13" t="s">
        <v>694</v>
      </c>
      <c r="R1387" s="13" t="s">
        <v>9393</v>
      </c>
      <c r="S1387" s="13" t="s">
        <v>5888</v>
      </c>
      <c r="T1387" s="13" t="s">
        <v>5889</v>
      </c>
      <c r="U1387" s="13" t="s">
        <v>525</v>
      </c>
      <c r="V1387" s="47">
        <f>SUMIF(Data!$E:$E,$I1387,Data!$AI:$AI)</f>
        <v>0</v>
      </c>
    </row>
    <row r="1388" spans="1:22" x14ac:dyDescent="0.25">
      <c r="A1388" s="46" t="s">
        <v>9270</v>
      </c>
      <c r="B1388" s="46" t="s">
        <v>120</v>
      </c>
      <c r="C1388" s="46" t="s">
        <v>9394</v>
      </c>
      <c r="D1388" s="46">
        <v>0.235433872645014</v>
      </c>
      <c r="E1388" s="47">
        <f>SUMIF(Data!$E:$E,$C1388,Data!$AI:$AI)</f>
        <v>0</v>
      </c>
      <c r="I1388" s="13" t="s">
        <v>9395</v>
      </c>
      <c r="J1388" s="13" t="s">
        <v>9396</v>
      </c>
      <c r="K1388" s="13" t="s">
        <v>137</v>
      </c>
      <c r="L1388" s="13" t="s">
        <v>8066</v>
      </c>
      <c r="M1388" s="13" t="s">
        <v>9397</v>
      </c>
      <c r="N1388" s="13">
        <v>153.59399999999999</v>
      </c>
      <c r="O1388" s="13" t="s">
        <v>9398</v>
      </c>
      <c r="P1388" s="13" t="s">
        <v>9399</v>
      </c>
      <c r="Q1388" s="13" t="s">
        <v>694</v>
      </c>
      <c r="R1388" s="13" t="s">
        <v>9400</v>
      </c>
      <c r="S1388" s="13" t="s">
        <v>725</v>
      </c>
      <c r="T1388" s="13" t="s">
        <v>726</v>
      </c>
      <c r="U1388" s="13" t="s">
        <v>727</v>
      </c>
      <c r="V1388" s="47">
        <f>SUMIF(Data!$E:$E,$I1388,Data!$AI:$AI)</f>
        <v>0</v>
      </c>
    </row>
    <row r="1389" spans="1:22" x14ac:dyDescent="0.25">
      <c r="A1389" s="46" t="s">
        <v>9270</v>
      </c>
      <c r="B1389" s="46" t="s">
        <v>120</v>
      </c>
      <c r="C1389" s="46" t="s">
        <v>9401</v>
      </c>
      <c r="D1389" s="46">
        <v>1.53797816023312</v>
      </c>
      <c r="E1389" s="47">
        <f>SUMIF(Data!$E:$E,$C1389,Data!$AI:$AI)</f>
        <v>0</v>
      </c>
      <c r="I1389" s="13">
        <v>6473</v>
      </c>
      <c r="J1389" s="13" t="s">
        <v>9402</v>
      </c>
      <c r="K1389" s="13" t="s">
        <v>137</v>
      </c>
      <c r="L1389" s="13" t="s">
        <v>8066</v>
      </c>
      <c r="M1389" s="13" t="s">
        <v>9352</v>
      </c>
      <c r="N1389" s="13">
        <v>194.6</v>
      </c>
      <c r="O1389" s="13" t="s">
        <v>9403</v>
      </c>
      <c r="P1389" s="13" t="s">
        <v>9404</v>
      </c>
      <c r="Q1389" s="13" t="s">
        <v>416</v>
      </c>
      <c r="R1389" s="13" t="s">
        <v>9405</v>
      </c>
      <c r="S1389" s="13" t="s">
        <v>441</v>
      </c>
      <c r="T1389" s="13" t="s">
        <v>442</v>
      </c>
      <c r="U1389" s="13" t="s">
        <v>443</v>
      </c>
      <c r="V1389" s="47">
        <f>SUMIF(Data!$E:$E,$I1389,Data!$AI:$AI)</f>
        <v>0</v>
      </c>
    </row>
    <row r="1390" spans="1:22" x14ac:dyDescent="0.25">
      <c r="A1390" s="46" t="s">
        <v>9270</v>
      </c>
      <c r="B1390" s="46" t="s">
        <v>120</v>
      </c>
      <c r="C1390" s="46" t="s">
        <v>9406</v>
      </c>
      <c r="D1390" s="46">
        <v>18.652749065342999</v>
      </c>
      <c r="E1390" s="47">
        <f>SUMIF(Data!$E:$E,$C1390,Data!$AI:$AI)</f>
        <v>0</v>
      </c>
      <c r="I1390" s="13" t="s">
        <v>9407</v>
      </c>
      <c r="J1390" s="13" t="s">
        <v>9408</v>
      </c>
      <c r="K1390" s="13" t="s">
        <v>137</v>
      </c>
      <c r="L1390" s="13" t="s">
        <v>8066</v>
      </c>
      <c r="M1390" s="13" t="s">
        <v>9409</v>
      </c>
      <c r="N1390" s="13">
        <v>20.986000000000001</v>
      </c>
      <c r="O1390" s="13" t="s">
        <v>9410</v>
      </c>
      <c r="P1390" s="13" t="s">
        <v>9411</v>
      </c>
      <c r="Q1390" s="13" t="s">
        <v>806</v>
      </c>
      <c r="R1390" s="13" t="s">
        <v>9412</v>
      </c>
      <c r="S1390" s="13" t="s">
        <v>560</v>
      </c>
      <c r="T1390" s="13" t="s">
        <v>561</v>
      </c>
      <c r="U1390" s="13" t="s">
        <v>525</v>
      </c>
      <c r="V1390" s="47">
        <f>SUMIF(Data!$E:$E,$I1390,Data!$AI:$AI)</f>
        <v>0</v>
      </c>
    </row>
    <row r="1391" spans="1:22" x14ac:dyDescent="0.25">
      <c r="A1391" s="46" t="s">
        <v>9270</v>
      </c>
      <c r="B1391" s="46" t="s">
        <v>120</v>
      </c>
      <c r="C1391" s="46" t="s">
        <v>9413</v>
      </c>
      <c r="D1391" s="46">
        <v>0.53326118854865801</v>
      </c>
      <c r="E1391" s="47">
        <f>SUMIF(Data!$E:$E,$C1391,Data!$AI:$AI)</f>
        <v>0</v>
      </c>
      <c r="I1391" s="13" t="s">
        <v>9414</v>
      </c>
      <c r="J1391" s="13" t="s">
        <v>9415</v>
      </c>
      <c r="K1391" s="13" t="s">
        <v>137</v>
      </c>
      <c r="L1391" s="13" t="s">
        <v>8066</v>
      </c>
      <c r="M1391" s="13" t="s">
        <v>9416</v>
      </c>
      <c r="N1391" s="13">
        <v>189.762</v>
      </c>
      <c r="O1391" s="13" t="s">
        <v>9417</v>
      </c>
      <c r="P1391" s="13" t="s">
        <v>9418</v>
      </c>
      <c r="Q1391" s="13" t="s">
        <v>416</v>
      </c>
      <c r="R1391" s="13" t="s">
        <v>9419</v>
      </c>
      <c r="S1391" s="13" t="s">
        <v>2928</v>
      </c>
      <c r="T1391" s="13" t="s">
        <v>2929</v>
      </c>
      <c r="U1391" s="13" t="s">
        <v>2930</v>
      </c>
      <c r="V1391" s="47">
        <f>SUMIF(Data!$E:$E,$I1391,Data!$AI:$AI)</f>
        <v>0</v>
      </c>
    </row>
    <row r="1392" spans="1:22" x14ac:dyDescent="0.25">
      <c r="A1392" s="46" t="s">
        <v>9270</v>
      </c>
      <c r="B1392" s="46" t="s">
        <v>120</v>
      </c>
      <c r="C1392" s="46" t="s">
        <v>9420</v>
      </c>
      <c r="D1392" s="46">
        <v>11.2678041218276</v>
      </c>
      <c r="E1392" s="47">
        <f>SUMIF(Data!$E:$E,$C1392,Data!$AI:$AI)</f>
        <v>0</v>
      </c>
      <c r="I1392" s="13" t="s">
        <v>9421</v>
      </c>
      <c r="J1392" s="13" t="s">
        <v>9422</v>
      </c>
      <c r="K1392" s="13" t="s">
        <v>137</v>
      </c>
      <c r="L1392" s="13" t="s">
        <v>8066</v>
      </c>
      <c r="M1392" s="13" t="s">
        <v>9423</v>
      </c>
      <c r="N1392" s="13">
        <v>853.04300000000001</v>
      </c>
      <c r="O1392" s="13" t="s">
        <v>9424</v>
      </c>
      <c r="P1392" s="13" t="s">
        <v>9425</v>
      </c>
      <c r="Q1392" s="13" t="s">
        <v>416</v>
      </c>
      <c r="R1392" s="13" t="s">
        <v>9426</v>
      </c>
      <c r="S1392" s="13" t="s">
        <v>476</v>
      </c>
      <c r="T1392" s="13" t="s">
        <v>477</v>
      </c>
      <c r="U1392" s="13" t="s">
        <v>478</v>
      </c>
      <c r="V1392" s="47">
        <f>SUMIF(Data!$E:$E,$I1392,Data!$AI:$AI)</f>
        <v>0</v>
      </c>
    </row>
    <row r="1393" spans="1:22" x14ac:dyDescent="0.25">
      <c r="A1393" s="46" t="s">
        <v>9270</v>
      </c>
      <c r="B1393" s="46" t="s">
        <v>120</v>
      </c>
      <c r="C1393" s="46" t="s">
        <v>9427</v>
      </c>
      <c r="D1393" s="46">
        <v>4.1387885565311998E-2</v>
      </c>
      <c r="E1393" s="47">
        <f>SUMIF(Data!$E:$E,$C1393,Data!$AI:$AI)</f>
        <v>0</v>
      </c>
      <c r="I1393" s="13" t="s">
        <v>5281</v>
      </c>
      <c r="J1393" s="13" t="s">
        <v>9428</v>
      </c>
      <c r="K1393" s="13" t="s">
        <v>137</v>
      </c>
      <c r="L1393" s="13" t="s">
        <v>8066</v>
      </c>
      <c r="M1393" s="13" t="s">
        <v>9429</v>
      </c>
      <c r="N1393" s="13">
        <v>252.001</v>
      </c>
      <c r="O1393" s="13" t="s">
        <v>9430</v>
      </c>
      <c r="P1393" s="13" t="s">
        <v>9431</v>
      </c>
      <c r="Q1393" s="13" t="s">
        <v>260</v>
      </c>
      <c r="R1393" s="13" t="s">
        <v>9432</v>
      </c>
      <c r="S1393" s="13" t="s">
        <v>725</v>
      </c>
      <c r="T1393" s="13" t="s">
        <v>726</v>
      </c>
      <c r="U1393" s="13" t="s">
        <v>727</v>
      </c>
      <c r="V1393" s="47">
        <f>SUMIF(Data!$E:$E,$I1393,Data!$AI:$AI)</f>
        <v>0</v>
      </c>
    </row>
    <row r="1394" spans="1:22" x14ac:dyDescent="0.25">
      <c r="A1394" s="46" t="s">
        <v>9270</v>
      </c>
      <c r="B1394" s="46" t="s">
        <v>120</v>
      </c>
      <c r="C1394" s="46" t="s">
        <v>9433</v>
      </c>
      <c r="D1394" s="46">
        <v>2.0367938907344798</v>
      </c>
      <c r="E1394" s="47">
        <f>SUMIF(Data!$E:$E,$C1394,Data!$AI:$AI)</f>
        <v>0</v>
      </c>
      <c r="I1394" s="13" t="s">
        <v>9434</v>
      </c>
      <c r="J1394" s="13" t="s">
        <v>9435</v>
      </c>
      <c r="K1394" s="13" t="s">
        <v>137</v>
      </c>
      <c r="L1394" s="13" t="s">
        <v>8066</v>
      </c>
      <c r="M1394" s="13" t="s">
        <v>231</v>
      </c>
      <c r="N1394" s="13" t="s">
        <v>9436</v>
      </c>
      <c r="O1394" s="13" t="s">
        <v>9437</v>
      </c>
      <c r="P1394" s="13" t="s">
        <v>9438</v>
      </c>
      <c r="Q1394" s="13" t="s">
        <v>162</v>
      </c>
      <c r="R1394" s="13" t="s">
        <v>9439</v>
      </c>
      <c r="S1394" s="13" t="s">
        <v>2365</v>
      </c>
      <c r="T1394" s="13" t="s">
        <v>2366</v>
      </c>
      <c r="U1394" s="13" t="s">
        <v>2367</v>
      </c>
      <c r="V1394" s="47">
        <f>SUMIF(Data!$E:$E,$I1394,Data!$AI:$AI)</f>
        <v>0</v>
      </c>
    </row>
    <row r="1395" spans="1:22" x14ac:dyDescent="0.25">
      <c r="A1395" s="46" t="s">
        <v>9270</v>
      </c>
      <c r="B1395" s="46" t="s">
        <v>120</v>
      </c>
      <c r="C1395" s="46" t="s">
        <v>9440</v>
      </c>
      <c r="D1395" s="46">
        <v>6.7122635086485E-2</v>
      </c>
      <c r="E1395" s="47">
        <f>SUMIF(Data!$E:$E,$C1395,Data!$AI:$AI)</f>
        <v>0</v>
      </c>
      <c r="I1395" s="13" t="s">
        <v>3548</v>
      </c>
      <c r="J1395" s="13" t="s">
        <v>9441</v>
      </c>
      <c r="K1395" s="13" t="s">
        <v>137</v>
      </c>
      <c r="L1395" s="13" t="s">
        <v>8066</v>
      </c>
      <c r="M1395" s="13" t="s">
        <v>9442</v>
      </c>
      <c r="N1395" s="13">
        <v>84.626000000000005</v>
      </c>
      <c r="O1395" s="13" t="s">
        <v>9443</v>
      </c>
      <c r="P1395" s="13" t="s">
        <v>9444</v>
      </c>
      <c r="Q1395" s="13" t="s">
        <v>260</v>
      </c>
      <c r="R1395" s="13" t="s">
        <v>9445</v>
      </c>
      <c r="S1395" s="13" t="s">
        <v>725</v>
      </c>
      <c r="T1395" s="13" t="s">
        <v>726</v>
      </c>
      <c r="U1395" s="13" t="s">
        <v>727</v>
      </c>
      <c r="V1395" s="47">
        <f>SUMIF(Data!$E:$E,$I1395,Data!$AI:$AI)</f>
        <v>0</v>
      </c>
    </row>
    <row r="1396" spans="1:22" x14ac:dyDescent="0.25">
      <c r="A1396" s="46" t="s">
        <v>9270</v>
      </c>
      <c r="B1396" s="46" t="s">
        <v>120</v>
      </c>
      <c r="C1396" s="46" t="s">
        <v>9446</v>
      </c>
      <c r="D1396" s="46">
        <v>1.71376474063672</v>
      </c>
      <c r="E1396" s="47">
        <f>SUMIF(Data!$E:$E,$C1396,Data!$AI:$AI)</f>
        <v>0</v>
      </c>
      <c r="I1396" s="13">
        <v>9435</v>
      </c>
      <c r="J1396" s="13" t="s">
        <v>9447</v>
      </c>
      <c r="K1396" s="13" t="s">
        <v>137</v>
      </c>
      <c r="L1396" s="13" t="s">
        <v>8066</v>
      </c>
      <c r="M1396" s="13" t="s">
        <v>9448</v>
      </c>
      <c r="N1396" s="13">
        <v>8.9</v>
      </c>
      <c r="O1396" s="13" t="s">
        <v>9449</v>
      </c>
      <c r="P1396" s="13" t="s">
        <v>9450</v>
      </c>
      <c r="Q1396" s="13" t="s">
        <v>162</v>
      </c>
      <c r="R1396" s="13" t="s">
        <v>9451</v>
      </c>
      <c r="S1396" s="13" t="s">
        <v>441</v>
      </c>
      <c r="T1396" s="13" t="s">
        <v>442</v>
      </c>
      <c r="U1396" s="13" t="s">
        <v>443</v>
      </c>
      <c r="V1396" s="47">
        <f>SUMIF(Data!$E:$E,$I1396,Data!$AI:$AI)</f>
        <v>0</v>
      </c>
    </row>
    <row r="1397" spans="1:22" x14ac:dyDescent="0.25">
      <c r="A1397" s="46" t="s">
        <v>9452</v>
      </c>
      <c r="B1397" s="46" t="s">
        <v>120</v>
      </c>
      <c r="C1397" s="46" t="s">
        <v>9271</v>
      </c>
      <c r="D1397" s="46">
        <v>4.1530496618181001</v>
      </c>
      <c r="E1397" s="47">
        <f>SUMIF(Data!$E:$E,$C1397,Data!$AI:$AI)</f>
        <v>0</v>
      </c>
      <c r="I1397" s="13" t="s">
        <v>7532</v>
      </c>
      <c r="J1397" s="13" t="s">
        <v>9453</v>
      </c>
      <c r="K1397" s="13" t="s">
        <v>137</v>
      </c>
      <c r="L1397" s="13" t="s">
        <v>8066</v>
      </c>
      <c r="M1397" s="13" t="s">
        <v>9454</v>
      </c>
      <c r="N1397" s="13">
        <v>57.015000000000001</v>
      </c>
      <c r="O1397" s="13" t="s">
        <v>9455</v>
      </c>
      <c r="P1397" s="13" t="s">
        <v>9456</v>
      </c>
      <c r="Q1397" s="13" t="s">
        <v>416</v>
      </c>
      <c r="R1397" s="13" t="s">
        <v>9457</v>
      </c>
      <c r="S1397" s="13" t="s">
        <v>725</v>
      </c>
      <c r="T1397" s="13" t="s">
        <v>726</v>
      </c>
      <c r="U1397" s="13" t="s">
        <v>727</v>
      </c>
      <c r="V1397" s="47">
        <f>SUMIF(Data!$E:$E,$I1397,Data!$AI:$AI)</f>
        <v>0</v>
      </c>
    </row>
    <row r="1398" spans="1:22" x14ac:dyDescent="0.25">
      <c r="A1398" s="46" t="s">
        <v>9452</v>
      </c>
      <c r="B1398" s="46" t="s">
        <v>120</v>
      </c>
      <c r="C1398" s="46" t="s">
        <v>9278</v>
      </c>
      <c r="D1398" s="46">
        <v>8.1822607323701408</v>
      </c>
      <c r="E1398" s="47">
        <f>SUMIF(Data!$E:$E,$C1398,Data!$AI:$AI)</f>
        <v>0</v>
      </c>
      <c r="I1398" s="13">
        <v>6965</v>
      </c>
      <c r="J1398" s="13" t="s">
        <v>9458</v>
      </c>
      <c r="K1398" s="13" t="s">
        <v>137</v>
      </c>
      <c r="L1398" s="13" t="s">
        <v>8066</v>
      </c>
      <c r="M1398" s="13" t="s">
        <v>9459</v>
      </c>
      <c r="N1398" s="13">
        <v>53.7</v>
      </c>
      <c r="O1398" s="13" t="s">
        <v>9460</v>
      </c>
      <c r="P1398" s="13" t="s">
        <v>9461</v>
      </c>
      <c r="Q1398" s="13" t="s">
        <v>143</v>
      </c>
      <c r="R1398" s="13" t="s">
        <v>9462</v>
      </c>
      <c r="S1398" s="13" t="s">
        <v>441</v>
      </c>
      <c r="T1398" s="13" t="s">
        <v>442</v>
      </c>
      <c r="U1398" s="13" t="s">
        <v>443</v>
      </c>
      <c r="V1398" s="47">
        <f>SUMIF(Data!$E:$E,$I1398,Data!$AI:$AI)</f>
        <v>0</v>
      </c>
    </row>
    <row r="1399" spans="1:22" x14ac:dyDescent="0.25">
      <c r="A1399" s="46" t="s">
        <v>9452</v>
      </c>
      <c r="B1399" s="46" t="s">
        <v>120</v>
      </c>
      <c r="C1399" s="46" t="s">
        <v>9284</v>
      </c>
      <c r="D1399" s="46">
        <v>4.31462199715265</v>
      </c>
      <c r="E1399" s="47">
        <f>SUMIF(Data!$E:$E,$C1399,Data!$AI:$AI)</f>
        <v>0</v>
      </c>
      <c r="I1399" s="13">
        <v>9009</v>
      </c>
      <c r="J1399" s="13" t="s">
        <v>9463</v>
      </c>
      <c r="K1399" s="13" t="s">
        <v>137</v>
      </c>
      <c r="L1399" s="13" t="s">
        <v>8066</v>
      </c>
      <c r="M1399" s="13" t="s">
        <v>9464</v>
      </c>
      <c r="N1399" s="13">
        <v>56.01</v>
      </c>
      <c r="O1399" s="13" t="s">
        <v>9465</v>
      </c>
      <c r="P1399" s="13" t="s">
        <v>9466</v>
      </c>
      <c r="Q1399" s="13" t="s">
        <v>416</v>
      </c>
      <c r="R1399" s="13" t="s">
        <v>9467</v>
      </c>
      <c r="S1399" s="13" t="s">
        <v>441</v>
      </c>
      <c r="T1399" s="13" t="s">
        <v>442</v>
      </c>
      <c r="U1399" s="13" t="s">
        <v>443</v>
      </c>
      <c r="V1399" s="47">
        <f>SUMIF(Data!$E:$E,$I1399,Data!$AI:$AI)</f>
        <v>0</v>
      </c>
    </row>
    <row r="1400" spans="1:22" x14ac:dyDescent="0.25">
      <c r="A1400" s="46" t="s">
        <v>9452</v>
      </c>
      <c r="B1400" s="46" t="s">
        <v>120</v>
      </c>
      <c r="C1400" s="46" t="s">
        <v>9291</v>
      </c>
      <c r="D1400" s="46">
        <v>39.871470297786402</v>
      </c>
      <c r="E1400" s="47">
        <f>SUMIF(Data!$E:$E,$C1400,Data!$AI:$AI)</f>
        <v>0</v>
      </c>
      <c r="I1400" s="13">
        <v>9766</v>
      </c>
      <c r="J1400" s="13" t="s">
        <v>9468</v>
      </c>
      <c r="K1400" s="13" t="s">
        <v>137</v>
      </c>
      <c r="L1400" s="13" t="s">
        <v>8066</v>
      </c>
      <c r="M1400" s="13" t="s">
        <v>9469</v>
      </c>
      <c r="N1400" s="13">
        <v>53.773000000000003</v>
      </c>
      <c r="O1400" s="13" t="s">
        <v>9470</v>
      </c>
      <c r="P1400" s="13" t="s">
        <v>9471</v>
      </c>
      <c r="Q1400" s="13" t="s">
        <v>172</v>
      </c>
      <c r="R1400" s="13" t="s">
        <v>9472</v>
      </c>
      <c r="S1400" s="13" t="s">
        <v>441</v>
      </c>
      <c r="T1400" s="13" t="s">
        <v>442</v>
      </c>
      <c r="U1400" s="13" t="s">
        <v>443</v>
      </c>
      <c r="V1400" s="47">
        <f>SUMIF(Data!$E:$E,$I1400,Data!$AI:$AI)</f>
        <v>0</v>
      </c>
    </row>
    <row r="1401" spans="1:22" x14ac:dyDescent="0.25">
      <c r="A1401" s="46" t="s">
        <v>9452</v>
      </c>
      <c r="B1401" s="46" t="s">
        <v>120</v>
      </c>
      <c r="C1401" s="46" t="s">
        <v>9303</v>
      </c>
      <c r="D1401" s="46">
        <v>17.1548338238543</v>
      </c>
      <c r="E1401" s="47">
        <f>SUMIF(Data!$E:$E,$C1401,Data!$AI:$AI)</f>
        <v>0</v>
      </c>
      <c r="I1401" s="13">
        <v>9045</v>
      </c>
      <c r="J1401" s="13" t="s">
        <v>9473</v>
      </c>
      <c r="K1401" s="13" t="s">
        <v>137</v>
      </c>
      <c r="L1401" s="13" t="s">
        <v>8066</v>
      </c>
      <c r="M1401" s="13" t="s">
        <v>9474</v>
      </c>
      <c r="N1401" s="13">
        <v>44.988999999999997</v>
      </c>
      <c r="O1401" s="13" t="s">
        <v>9475</v>
      </c>
      <c r="P1401" s="13" t="s">
        <v>9476</v>
      </c>
      <c r="Q1401" s="13" t="s">
        <v>416</v>
      </c>
      <c r="R1401" s="13" t="s">
        <v>9477</v>
      </c>
      <c r="S1401" s="13" t="s">
        <v>441</v>
      </c>
      <c r="T1401" s="13" t="s">
        <v>442</v>
      </c>
      <c r="U1401" s="13" t="s">
        <v>443</v>
      </c>
      <c r="V1401" s="47">
        <f>SUMIF(Data!$E:$E,$I1401,Data!$AI:$AI)</f>
        <v>0</v>
      </c>
    </row>
    <row r="1402" spans="1:22" x14ac:dyDescent="0.25">
      <c r="A1402" s="46" t="s">
        <v>9452</v>
      </c>
      <c r="B1402" s="46" t="s">
        <v>120</v>
      </c>
      <c r="C1402" s="46" t="s">
        <v>9309</v>
      </c>
      <c r="D1402" s="46">
        <v>6.4833081751600599</v>
      </c>
      <c r="E1402" s="47">
        <f>SUMIF(Data!$E:$E,$C1402,Data!$AI:$AI)</f>
        <v>0</v>
      </c>
      <c r="I1402" s="13">
        <v>8954</v>
      </c>
      <c r="J1402" s="13" t="s">
        <v>9478</v>
      </c>
      <c r="K1402" s="13" t="s">
        <v>137</v>
      </c>
      <c r="L1402" s="13" t="s">
        <v>8066</v>
      </c>
      <c r="M1402" s="13" t="s">
        <v>9479</v>
      </c>
      <c r="N1402" s="13">
        <v>1.0089999999999999</v>
      </c>
      <c r="O1402" s="13" t="s">
        <v>9480</v>
      </c>
      <c r="P1402" s="13" t="s">
        <v>9481</v>
      </c>
      <c r="Q1402" s="13" t="s">
        <v>806</v>
      </c>
      <c r="R1402" s="13" t="s">
        <v>9482</v>
      </c>
      <c r="S1402" s="13" t="s">
        <v>441</v>
      </c>
      <c r="T1402" s="13" t="s">
        <v>442</v>
      </c>
      <c r="U1402" s="13" t="s">
        <v>443</v>
      </c>
      <c r="V1402" s="47">
        <f>SUMIF(Data!$E:$E,$I1402,Data!$AI:$AI)</f>
        <v>0</v>
      </c>
    </row>
    <row r="1403" spans="1:22" x14ac:dyDescent="0.25">
      <c r="A1403" s="46" t="s">
        <v>9452</v>
      </c>
      <c r="B1403" s="46" t="s">
        <v>120</v>
      </c>
      <c r="C1403" s="46" t="s">
        <v>9315</v>
      </c>
      <c r="D1403" s="46">
        <v>5.5364621597233397</v>
      </c>
      <c r="E1403" s="47">
        <f>SUMIF(Data!$E:$E,$C1403,Data!$AI:$AI)</f>
        <v>0</v>
      </c>
      <c r="I1403" s="13">
        <v>7186</v>
      </c>
      <c r="J1403" s="13" t="s">
        <v>9483</v>
      </c>
      <c r="K1403" s="13" t="s">
        <v>137</v>
      </c>
      <c r="L1403" s="13" t="s">
        <v>8066</v>
      </c>
      <c r="M1403" s="13" t="s">
        <v>8307</v>
      </c>
      <c r="N1403" s="13">
        <v>541.29999999999995</v>
      </c>
      <c r="O1403" s="13" t="s">
        <v>9484</v>
      </c>
      <c r="P1403" s="13" t="s">
        <v>9485</v>
      </c>
      <c r="Q1403" s="13" t="s">
        <v>190</v>
      </c>
      <c r="R1403" s="13" t="s">
        <v>9486</v>
      </c>
      <c r="S1403" s="13" t="s">
        <v>441</v>
      </c>
      <c r="T1403" s="13" t="s">
        <v>442</v>
      </c>
      <c r="U1403" s="13" t="s">
        <v>443</v>
      </c>
      <c r="V1403" s="47">
        <f>SUMIF(Data!$E:$E,$I1403,Data!$AI:$AI)</f>
        <v>0</v>
      </c>
    </row>
    <row r="1404" spans="1:22" x14ac:dyDescent="0.25">
      <c r="A1404" s="46" t="s">
        <v>9452</v>
      </c>
      <c r="B1404" s="46" t="s">
        <v>120</v>
      </c>
      <c r="C1404" s="46" t="s">
        <v>9321</v>
      </c>
      <c r="D1404" s="46">
        <v>1.1821701072249799</v>
      </c>
      <c r="E1404" s="47">
        <f>SUMIF(Data!$E:$E,$C1404,Data!$AI:$AI)</f>
        <v>0</v>
      </c>
      <c r="I1404" s="13">
        <v>6383</v>
      </c>
      <c r="J1404" s="13" t="s">
        <v>9487</v>
      </c>
      <c r="K1404" s="13" t="s">
        <v>137</v>
      </c>
      <c r="L1404" s="13" t="s">
        <v>8066</v>
      </c>
      <c r="M1404" s="13" t="s">
        <v>9488</v>
      </c>
      <c r="N1404" s="13">
        <v>32.799999999999997</v>
      </c>
      <c r="O1404" s="13" t="s">
        <v>9489</v>
      </c>
      <c r="P1404" s="13" t="s">
        <v>9490</v>
      </c>
      <c r="Q1404" s="13" t="s">
        <v>416</v>
      </c>
      <c r="R1404" s="13" t="s">
        <v>9491</v>
      </c>
      <c r="S1404" s="13" t="s">
        <v>441</v>
      </c>
      <c r="T1404" s="13" t="s">
        <v>442</v>
      </c>
      <c r="U1404" s="13" t="s">
        <v>443</v>
      </c>
      <c r="V1404" s="47">
        <f>SUMIF(Data!$E:$E,$I1404,Data!$AI:$AI)</f>
        <v>0</v>
      </c>
    </row>
    <row r="1405" spans="1:22" x14ac:dyDescent="0.25">
      <c r="A1405" s="46" t="s">
        <v>9452</v>
      </c>
      <c r="B1405" s="46" t="s">
        <v>120</v>
      </c>
      <c r="C1405" s="46" t="s">
        <v>9326</v>
      </c>
      <c r="D1405" s="46">
        <v>4.6334140534284796</v>
      </c>
      <c r="E1405" s="47">
        <f>SUMIF(Data!$E:$E,$C1405,Data!$AI:$AI)</f>
        <v>0</v>
      </c>
      <c r="I1405" s="13">
        <v>4587</v>
      </c>
      <c r="J1405" s="13" t="s">
        <v>9492</v>
      </c>
      <c r="K1405" s="13" t="s">
        <v>137</v>
      </c>
      <c r="L1405" s="13" t="s">
        <v>8066</v>
      </c>
      <c r="M1405" s="13" t="s">
        <v>1762</v>
      </c>
      <c r="N1405" s="13">
        <v>41.5</v>
      </c>
      <c r="O1405" s="13" t="s">
        <v>9493</v>
      </c>
      <c r="P1405" s="13" t="s">
        <v>9494</v>
      </c>
      <c r="Q1405" s="13" t="s">
        <v>208</v>
      </c>
      <c r="R1405" s="13" t="s">
        <v>9495</v>
      </c>
      <c r="S1405" s="13" t="s">
        <v>441</v>
      </c>
      <c r="T1405" s="13" t="s">
        <v>442</v>
      </c>
      <c r="U1405" s="13" t="s">
        <v>443</v>
      </c>
      <c r="V1405" s="47">
        <f>SUMIF(Data!$E:$E,$I1405,Data!$AI:$AI)</f>
        <v>0</v>
      </c>
    </row>
    <row r="1406" spans="1:22" x14ac:dyDescent="0.25">
      <c r="A1406" s="46" t="s">
        <v>9452</v>
      </c>
      <c r="B1406" s="46" t="s">
        <v>120</v>
      </c>
      <c r="C1406" s="46" t="s">
        <v>9331</v>
      </c>
      <c r="D1406" s="46">
        <v>7.1203374179061401</v>
      </c>
      <c r="E1406" s="47">
        <f>SUMIF(Data!$E:$E,$C1406,Data!$AI:$AI)</f>
        <v>0</v>
      </c>
      <c r="I1406" s="13">
        <v>1128</v>
      </c>
      <c r="J1406" s="13" t="s">
        <v>9496</v>
      </c>
      <c r="K1406" s="13" t="s">
        <v>137</v>
      </c>
      <c r="L1406" s="13" t="s">
        <v>8066</v>
      </c>
      <c r="M1406" s="13" t="s">
        <v>7742</v>
      </c>
      <c r="N1406" s="13">
        <v>835.2</v>
      </c>
      <c r="O1406" s="13" t="s">
        <v>9497</v>
      </c>
      <c r="P1406" s="13" t="s">
        <v>9498</v>
      </c>
      <c r="Q1406" s="13" t="s">
        <v>162</v>
      </c>
      <c r="R1406" s="13" t="s">
        <v>9499</v>
      </c>
      <c r="S1406" s="13" t="s">
        <v>549</v>
      </c>
      <c r="T1406" s="13" t="s">
        <v>550</v>
      </c>
      <c r="U1406" s="13" t="s">
        <v>551</v>
      </c>
      <c r="V1406" s="47">
        <f>SUMIF(Data!$E:$E,$I1406,Data!$AI:$AI)</f>
        <v>0</v>
      </c>
    </row>
    <row r="1407" spans="1:22" x14ac:dyDescent="0.25">
      <c r="A1407" s="46" t="s">
        <v>9452</v>
      </c>
      <c r="B1407" s="46" t="s">
        <v>120</v>
      </c>
      <c r="C1407" s="46" t="s">
        <v>9344</v>
      </c>
      <c r="D1407" s="46">
        <v>0.22993420850624799</v>
      </c>
      <c r="E1407" s="47">
        <f>SUMIF(Data!$E:$E,$C1407,Data!$AI:$AI)</f>
        <v>0</v>
      </c>
      <c r="I1407" s="13" t="s">
        <v>9500</v>
      </c>
      <c r="J1407" s="13" t="s">
        <v>9501</v>
      </c>
      <c r="K1407" s="13" t="s">
        <v>137</v>
      </c>
      <c r="L1407" s="13" t="s">
        <v>8066</v>
      </c>
      <c r="M1407" s="13" t="s">
        <v>9502</v>
      </c>
      <c r="N1407" s="13">
        <v>325.25200000000001</v>
      </c>
      <c r="O1407" s="13" t="s">
        <v>9503</v>
      </c>
      <c r="P1407" s="13" t="s">
        <v>9504</v>
      </c>
      <c r="Q1407" s="13" t="s">
        <v>172</v>
      </c>
      <c r="R1407" s="13" t="s">
        <v>9505</v>
      </c>
      <c r="S1407" s="13" t="s">
        <v>642</v>
      </c>
      <c r="T1407" s="13" t="s">
        <v>643</v>
      </c>
      <c r="U1407" s="13" t="s">
        <v>525</v>
      </c>
      <c r="V1407" s="47">
        <f>SUMIF(Data!$E:$E,$I1407,Data!$AI:$AI)</f>
        <v>0</v>
      </c>
    </row>
    <row r="1408" spans="1:22" x14ac:dyDescent="0.25">
      <c r="A1408" s="46" t="s">
        <v>9452</v>
      </c>
      <c r="B1408" s="46" t="s">
        <v>120</v>
      </c>
      <c r="C1408" s="46" t="s">
        <v>9369</v>
      </c>
      <c r="D1408" s="46">
        <v>0.229233447027861</v>
      </c>
      <c r="E1408" s="47">
        <f>SUMIF(Data!$E:$E,$C1408,Data!$AI:$AI)</f>
        <v>0</v>
      </c>
      <c r="I1408" s="13">
        <v>9506</v>
      </c>
      <c r="J1408" s="13" t="s">
        <v>9506</v>
      </c>
      <c r="K1408" s="13" t="s">
        <v>137</v>
      </c>
      <c r="L1408" s="13" t="s">
        <v>8066</v>
      </c>
      <c r="M1408" s="13" t="s">
        <v>9507</v>
      </c>
      <c r="N1408" s="13">
        <v>225.767</v>
      </c>
      <c r="O1408" s="13" t="s">
        <v>9508</v>
      </c>
      <c r="P1408" s="13" t="s">
        <v>9509</v>
      </c>
      <c r="Q1408" s="13" t="s">
        <v>694</v>
      </c>
      <c r="R1408" s="13" t="s">
        <v>9510</v>
      </c>
      <c r="S1408" s="13" t="s">
        <v>441</v>
      </c>
      <c r="T1408" s="13" t="s">
        <v>442</v>
      </c>
      <c r="U1408" s="13" t="s">
        <v>443</v>
      </c>
      <c r="V1408" s="47">
        <f>SUMIF(Data!$E:$E,$I1408,Data!$AI:$AI)</f>
        <v>0</v>
      </c>
    </row>
    <row r="1409" spans="1:22" x14ac:dyDescent="0.25">
      <c r="A1409" s="46" t="s">
        <v>9452</v>
      </c>
      <c r="B1409" s="46" t="s">
        <v>120</v>
      </c>
      <c r="C1409" s="46" t="s">
        <v>9394</v>
      </c>
      <c r="D1409" s="46">
        <v>0.77301282482320099</v>
      </c>
      <c r="E1409" s="47">
        <f>SUMIF(Data!$E:$E,$C1409,Data!$AI:$AI)</f>
        <v>0</v>
      </c>
      <c r="I1409" s="13" t="s">
        <v>4058</v>
      </c>
      <c r="J1409" s="13" t="s">
        <v>9511</v>
      </c>
      <c r="K1409" s="13" t="s">
        <v>137</v>
      </c>
      <c r="L1409" s="13" t="s">
        <v>8066</v>
      </c>
      <c r="M1409" s="13" t="s">
        <v>9512</v>
      </c>
      <c r="N1409" s="13">
        <v>265.233</v>
      </c>
      <c r="O1409" s="13" t="s">
        <v>9513</v>
      </c>
      <c r="P1409" s="13" t="s">
        <v>9514</v>
      </c>
      <c r="Q1409" s="13" t="s">
        <v>224</v>
      </c>
      <c r="R1409" s="13" t="s">
        <v>9515</v>
      </c>
      <c r="S1409" s="13" t="s">
        <v>847</v>
      </c>
      <c r="T1409" s="13" t="s">
        <v>848</v>
      </c>
      <c r="U1409" s="13" t="s">
        <v>849</v>
      </c>
      <c r="V1409" s="47">
        <f>SUMIF(Data!$E:$E,$I1409,Data!$AI:$AI)</f>
        <v>0</v>
      </c>
    </row>
    <row r="1410" spans="1:22" x14ac:dyDescent="0.25">
      <c r="A1410" s="46" t="s">
        <v>9452</v>
      </c>
      <c r="B1410" s="46" t="s">
        <v>120</v>
      </c>
      <c r="C1410" s="46" t="s">
        <v>9427</v>
      </c>
      <c r="D1410" s="46">
        <v>0.135891093218098</v>
      </c>
      <c r="E1410" s="47">
        <f>SUMIF(Data!$E:$E,$C1410,Data!$AI:$AI)</f>
        <v>0</v>
      </c>
      <c r="I1410" s="13" t="s">
        <v>9516</v>
      </c>
      <c r="J1410" s="13" t="s">
        <v>9517</v>
      </c>
      <c r="K1410" s="13" t="s">
        <v>137</v>
      </c>
      <c r="L1410" s="13" t="s">
        <v>8066</v>
      </c>
      <c r="M1410" s="13" t="s">
        <v>9518</v>
      </c>
      <c r="N1410" s="13">
        <v>76.015000000000001</v>
      </c>
      <c r="O1410" s="13" t="s">
        <v>9519</v>
      </c>
      <c r="P1410" s="13" t="s">
        <v>9520</v>
      </c>
      <c r="Q1410" s="13" t="s">
        <v>172</v>
      </c>
      <c r="R1410" s="13" t="s">
        <v>9521</v>
      </c>
      <c r="S1410" s="13" t="s">
        <v>192</v>
      </c>
      <c r="T1410" s="13" t="s">
        <v>146</v>
      </c>
      <c r="U1410" s="13" t="s">
        <v>110</v>
      </c>
      <c r="V1410" s="47">
        <f>SUMIF(Data!$E:$E,$I1410,Data!$AI:$AI)</f>
        <v>0</v>
      </c>
    </row>
    <row r="1411" spans="1:22" x14ac:dyDescent="0.25">
      <c r="A1411" s="46" t="s">
        <v>9522</v>
      </c>
      <c r="B1411" s="46" t="s">
        <v>120</v>
      </c>
      <c r="C1411" s="46" t="s">
        <v>5428</v>
      </c>
      <c r="D1411" s="46">
        <v>10.0111671642748</v>
      </c>
      <c r="E1411" s="47">
        <f>SUMIF(Data!$E:$E,$C1411,Data!$AI:$AI)</f>
        <v>0</v>
      </c>
      <c r="I1411" s="13">
        <v>9008</v>
      </c>
      <c r="J1411" s="13" t="s">
        <v>9523</v>
      </c>
      <c r="K1411" s="13" t="s">
        <v>137</v>
      </c>
      <c r="L1411" s="13" t="s">
        <v>8066</v>
      </c>
      <c r="M1411" s="13" t="s">
        <v>3772</v>
      </c>
      <c r="N1411" s="13">
        <v>35.387</v>
      </c>
      <c r="O1411" s="13" t="s">
        <v>9524</v>
      </c>
      <c r="P1411" s="13" t="s">
        <v>9525</v>
      </c>
      <c r="Q1411" s="13" t="s">
        <v>416</v>
      </c>
      <c r="R1411" s="13" t="s">
        <v>9526</v>
      </c>
      <c r="S1411" s="13" t="s">
        <v>441</v>
      </c>
      <c r="T1411" s="13" t="s">
        <v>442</v>
      </c>
      <c r="U1411" s="13" t="s">
        <v>443</v>
      </c>
      <c r="V1411" s="47">
        <f>SUMIF(Data!$E:$E,$I1411,Data!$AI:$AI)</f>
        <v>0</v>
      </c>
    </row>
    <row r="1412" spans="1:22" x14ac:dyDescent="0.25">
      <c r="A1412" s="46" t="s">
        <v>9522</v>
      </c>
      <c r="B1412" s="46" t="s">
        <v>120</v>
      </c>
      <c r="C1412" s="46" t="s">
        <v>5560</v>
      </c>
      <c r="D1412" s="46">
        <v>40.098043088554803</v>
      </c>
      <c r="E1412" s="47">
        <f>SUMIF(Data!$E:$E,$C1412,Data!$AI:$AI)</f>
        <v>0</v>
      </c>
      <c r="I1412" s="13" t="s">
        <v>9527</v>
      </c>
      <c r="J1412" s="13" t="s">
        <v>9528</v>
      </c>
      <c r="K1412" s="13" t="s">
        <v>137</v>
      </c>
      <c r="L1412" s="13" t="s">
        <v>8066</v>
      </c>
      <c r="M1412" s="13" t="s">
        <v>9529</v>
      </c>
      <c r="N1412" s="13">
        <v>120.053</v>
      </c>
      <c r="O1412" s="13" t="s">
        <v>9530</v>
      </c>
      <c r="P1412" s="13" t="s">
        <v>9531</v>
      </c>
      <c r="Q1412" s="13" t="s">
        <v>190</v>
      </c>
      <c r="R1412" s="13" t="s">
        <v>9532</v>
      </c>
      <c r="S1412" s="13" t="s">
        <v>725</v>
      </c>
      <c r="T1412" s="13" t="s">
        <v>726</v>
      </c>
      <c r="U1412" s="13" t="s">
        <v>727</v>
      </c>
      <c r="V1412" s="47">
        <f>SUMIF(Data!$E:$E,$I1412,Data!$AI:$AI)</f>
        <v>0</v>
      </c>
    </row>
    <row r="1413" spans="1:22" x14ac:dyDescent="0.25">
      <c r="A1413" s="46" t="s">
        <v>9522</v>
      </c>
      <c r="B1413" s="46" t="s">
        <v>120</v>
      </c>
      <c r="C1413" s="46" t="s">
        <v>5567</v>
      </c>
      <c r="D1413" s="46">
        <v>13.657097431267401</v>
      </c>
      <c r="E1413" s="47">
        <f>SUMIF(Data!$E:$E,$C1413,Data!$AI:$AI)</f>
        <v>0</v>
      </c>
      <c r="I1413" s="13">
        <v>2784</v>
      </c>
      <c r="J1413" s="13" t="s">
        <v>9533</v>
      </c>
      <c r="K1413" s="13" t="s">
        <v>137</v>
      </c>
      <c r="L1413" s="13" t="s">
        <v>8066</v>
      </c>
      <c r="M1413" s="13" t="s">
        <v>9534</v>
      </c>
      <c r="N1413" s="13">
        <v>105.095</v>
      </c>
      <c r="O1413" s="13" t="s">
        <v>9535</v>
      </c>
      <c r="P1413" s="13" t="s">
        <v>9536</v>
      </c>
      <c r="Q1413" s="13" t="s">
        <v>208</v>
      </c>
      <c r="R1413" s="13" t="s">
        <v>9537</v>
      </c>
      <c r="S1413" s="13" t="s">
        <v>441</v>
      </c>
      <c r="T1413" s="13" t="s">
        <v>442</v>
      </c>
      <c r="U1413" s="13" t="s">
        <v>443</v>
      </c>
      <c r="V1413" s="47">
        <f>SUMIF(Data!$E:$E,$I1413,Data!$AI:$AI)</f>
        <v>0</v>
      </c>
    </row>
    <row r="1414" spans="1:22" x14ac:dyDescent="0.25">
      <c r="A1414" s="46" t="s">
        <v>9522</v>
      </c>
      <c r="B1414" s="46" t="s">
        <v>120</v>
      </c>
      <c r="C1414" s="46" t="s">
        <v>5602</v>
      </c>
      <c r="D1414" s="46">
        <v>36.2336923159029</v>
      </c>
      <c r="E1414" s="47">
        <f>SUMIF(Data!$E:$E,$C1414,Data!$AI:$AI)</f>
        <v>0</v>
      </c>
      <c r="I1414" s="13">
        <v>6146</v>
      </c>
      <c r="J1414" s="13" t="s">
        <v>9538</v>
      </c>
      <c r="K1414" s="13" t="s">
        <v>137</v>
      </c>
      <c r="L1414" s="13" t="s">
        <v>8066</v>
      </c>
      <c r="M1414" s="13" t="s">
        <v>9539</v>
      </c>
      <c r="N1414" s="13">
        <v>8.6</v>
      </c>
      <c r="O1414" s="13" t="s">
        <v>9540</v>
      </c>
      <c r="P1414" s="13" t="s">
        <v>9541</v>
      </c>
      <c r="Q1414" s="13" t="s">
        <v>143</v>
      </c>
      <c r="R1414" s="13" t="s">
        <v>9542</v>
      </c>
      <c r="S1414" s="13" t="s">
        <v>441</v>
      </c>
      <c r="T1414" s="13" t="s">
        <v>442</v>
      </c>
      <c r="U1414" s="13" t="s">
        <v>443</v>
      </c>
      <c r="V1414" s="47">
        <f>SUMIF(Data!$E:$E,$I1414,Data!$AI:$AI)</f>
        <v>0</v>
      </c>
    </row>
    <row r="1415" spans="1:22" x14ac:dyDescent="0.25">
      <c r="A1415" s="46" t="s">
        <v>9543</v>
      </c>
      <c r="B1415" s="46" t="s">
        <v>120</v>
      </c>
      <c r="C1415" s="46" t="s">
        <v>5414</v>
      </c>
      <c r="D1415" s="46">
        <v>2.2184611815327999E-2</v>
      </c>
      <c r="E1415" s="47">
        <f>SUMIF(Data!$E:$E,$C1415,Data!$AI:$AI)</f>
        <v>0</v>
      </c>
      <c r="I1415" s="13" t="s">
        <v>2930</v>
      </c>
      <c r="J1415" s="13" t="s">
        <v>9544</v>
      </c>
      <c r="K1415" s="13" t="s">
        <v>755</v>
      </c>
      <c r="L1415" s="13" t="s">
        <v>8066</v>
      </c>
      <c r="M1415" s="13" t="s">
        <v>9545</v>
      </c>
      <c r="N1415" s="13" t="s">
        <v>9546</v>
      </c>
      <c r="O1415" s="13" t="s">
        <v>9547</v>
      </c>
      <c r="P1415" s="13" t="s">
        <v>9548</v>
      </c>
      <c r="Q1415" s="13" t="s">
        <v>759</v>
      </c>
      <c r="R1415" s="13" t="s">
        <v>760</v>
      </c>
      <c r="S1415" s="13" t="s">
        <v>760</v>
      </c>
      <c r="T1415" s="13" t="s">
        <v>2929</v>
      </c>
      <c r="U1415" s="13" t="s">
        <v>2930</v>
      </c>
      <c r="V1415" s="47">
        <f>SUMIF(Data!$E:$E,$I1415,Data!$AI:$AI)</f>
        <v>0</v>
      </c>
    </row>
    <row r="1416" spans="1:22" x14ac:dyDescent="0.25">
      <c r="A1416" s="46" t="s">
        <v>9543</v>
      </c>
      <c r="B1416" s="46" t="s">
        <v>120</v>
      </c>
      <c r="C1416" s="46" t="s">
        <v>5421</v>
      </c>
      <c r="D1416" s="46">
        <v>0.152386143963404</v>
      </c>
      <c r="E1416" s="47">
        <f>SUMIF(Data!$E:$E,$C1416,Data!$AI:$AI)</f>
        <v>0</v>
      </c>
      <c r="I1416" s="13" t="s">
        <v>9549</v>
      </c>
      <c r="J1416" s="13" t="s">
        <v>9550</v>
      </c>
      <c r="K1416" s="13" t="s">
        <v>137</v>
      </c>
      <c r="L1416" s="13" t="s">
        <v>8066</v>
      </c>
      <c r="M1416" s="13" t="s">
        <v>9551</v>
      </c>
      <c r="N1416" s="13">
        <v>124.654</v>
      </c>
      <c r="O1416" s="13" t="s">
        <v>9552</v>
      </c>
      <c r="P1416" s="13" t="s">
        <v>9553</v>
      </c>
      <c r="Q1416" s="13" t="s">
        <v>416</v>
      </c>
      <c r="R1416" s="13" t="s">
        <v>9554</v>
      </c>
      <c r="S1416" s="13" t="s">
        <v>1164</v>
      </c>
      <c r="T1416" s="13" t="s">
        <v>1165</v>
      </c>
      <c r="U1416" s="13" t="s">
        <v>525</v>
      </c>
      <c r="V1416" s="47">
        <f>SUMIF(Data!$E:$E,$I1416,Data!$AI:$AI)</f>
        <v>0</v>
      </c>
    </row>
    <row r="1417" spans="1:22" x14ac:dyDescent="0.25">
      <c r="A1417" s="46" t="s">
        <v>9543</v>
      </c>
      <c r="B1417" s="46" t="s">
        <v>120</v>
      </c>
      <c r="C1417" s="46" t="s">
        <v>5428</v>
      </c>
      <c r="D1417" s="46">
        <v>4.2375635709966997E-2</v>
      </c>
      <c r="E1417" s="47">
        <f>SUMIF(Data!$E:$E,$C1417,Data!$AI:$AI)</f>
        <v>0</v>
      </c>
      <c r="I1417" s="13" t="s">
        <v>9555</v>
      </c>
      <c r="J1417" s="13" t="s">
        <v>9556</v>
      </c>
      <c r="K1417" s="13" t="s">
        <v>137</v>
      </c>
      <c r="L1417" s="13" t="s">
        <v>8066</v>
      </c>
      <c r="M1417" s="13" t="s">
        <v>9557</v>
      </c>
      <c r="N1417" s="13">
        <v>39.353000000000002</v>
      </c>
      <c r="O1417" s="13" t="s">
        <v>9558</v>
      </c>
      <c r="P1417" s="13" t="s">
        <v>9559</v>
      </c>
      <c r="Q1417" s="13" t="s">
        <v>162</v>
      </c>
      <c r="R1417" s="13" t="s">
        <v>9560</v>
      </c>
      <c r="S1417" s="13" t="s">
        <v>560</v>
      </c>
      <c r="T1417" s="13" t="s">
        <v>561</v>
      </c>
      <c r="U1417" s="13" t="s">
        <v>525</v>
      </c>
      <c r="V1417" s="47">
        <f>SUMIF(Data!$E:$E,$I1417,Data!$AI:$AI)</f>
        <v>0</v>
      </c>
    </row>
    <row r="1418" spans="1:22" x14ac:dyDescent="0.25">
      <c r="A1418" s="46" t="s">
        <v>9543</v>
      </c>
      <c r="B1418" s="46" t="s">
        <v>120</v>
      </c>
      <c r="C1418" s="46" t="s">
        <v>4765</v>
      </c>
      <c r="D1418" s="46">
        <v>1.2170761386051101</v>
      </c>
      <c r="E1418" s="47">
        <f>SUMIF(Data!$E:$E,$C1418,Data!$AI:$AI)</f>
        <v>0</v>
      </c>
      <c r="I1418" s="13">
        <v>3401</v>
      </c>
      <c r="J1418" s="13" t="s">
        <v>9561</v>
      </c>
      <c r="K1418" s="13" t="s">
        <v>137</v>
      </c>
      <c r="L1418" s="13" t="s">
        <v>8066</v>
      </c>
      <c r="M1418" s="13" t="s">
        <v>9562</v>
      </c>
      <c r="N1418" s="13">
        <v>114</v>
      </c>
      <c r="O1418" s="13" t="s">
        <v>9563</v>
      </c>
      <c r="P1418" s="13" t="s">
        <v>9564</v>
      </c>
      <c r="Q1418" s="13" t="s">
        <v>734</v>
      </c>
      <c r="R1418" s="13" t="s">
        <v>9565</v>
      </c>
      <c r="S1418" s="13" t="s">
        <v>441</v>
      </c>
      <c r="T1418" s="13" t="s">
        <v>442</v>
      </c>
      <c r="U1418" s="13" t="s">
        <v>443</v>
      </c>
      <c r="V1418" s="47">
        <f>SUMIF(Data!$E:$E,$I1418,Data!$AI:$AI)</f>
        <v>0</v>
      </c>
    </row>
    <row r="1419" spans="1:22" x14ac:dyDescent="0.25">
      <c r="A1419" s="46" t="s">
        <v>9543</v>
      </c>
      <c r="B1419" s="46" t="s">
        <v>120</v>
      </c>
      <c r="C1419" s="46" t="s">
        <v>5441</v>
      </c>
      <c r="D1419" s="46">
        <v>0.17062944023216201</v>
      </c>
      <c r="E1419" s="47">
        <f>SUMIF(Data!$E:$E,$C1419,Data!$AI:$AI)</f>
        <v>0</v>
      </c>
      <c r="I1419" s="13" t="s">
        <v>9566</v>
      </c>
      <c r="J1419" s="13" t="s">
        <v>9567</v>
      </c>
      <c r="K1419" s="13" t="s">
        <v>137</v>
      </c>
      <c r="L1419" s="13" t="s">
        <v>8066</v>
      </c>
      <c r="M1419" s="13" t="s">
        <v>9568</v>
      </c>
      <c r="N1419" s="13">
        <v>10.183</v>
      </c>
      <c r="O1419" s="13" t="s">
        <v>9569</v>
      </c>
      <c r="P1419" s="13" t="s">
        <v>9570</v>
      </c>
      <c r="Q1419" s="13" t="s">
        <v>162</v>
      </c>
      <c r="R1419" s="13" t="s">
        <v>9571</v>
      </c>
      <c r="S1419" s="13" t="s">
        <v>523</v>
      </c>
      <c r="T1419" s="13" t="s">
        <v>524</v>
      </c>
      <c r="U1419" s="13" t="s">
        <v>525</v>
      </c>
      <c r="V1419" s="47">
        <f>SUMIF(Data!$E:$E,$I1419,Data!$AI:$AI)</f>
        <v>0</v>
      </c>
    </row>
    <row r="1420" spans="1:22" x14ac:dyDescent="0.25">
      <c r="A1420" s="46" t="s">
        <v>9543</v>
      </c>
      <c r="B1420" s="46" t="s">
        <v>120</v>
      </c>
      <c r="C1420" s="46" t="s">
        <v>5048</v>
      </c>
      <c r="D1420" s="46">
        <v>0.652216211506217</v>
      </c>
      <c r="E1420" s="47">
        <f>SUMIF(Data!$E:$E,$C1420,Data!$AI:$AI)</f>
        <v>0</v>
      </c>
      <c r="I1420" s="13">
        <v>1876</v>
      </c>
      <c r="J1420" s="13" t="s">
        <v>9572</v>
      </c>
      <c r="K1420" s="13" t="s">
        <v>137</v>
      </c>
      <c r="L1420" s="13" t="s">
        <v>8066</v>
      </c>
      <c r="M1420" s="13" t="s">
        <v>9573</v>
      </c>
      <c r="N1420" s="13">
        <v>629.6</v>
      </c>
      <c r="O1420" s="13" t="s">
        <v>9574</v>
      </c>
      <c r="P1420" s="13" t="s">
        <v>9575</v>
      </c>
      <c r="Q1420" s="13" t="s">
        <v>224</v>
      </c>
      <c r="R1420" s="13" t="s">
        <v>9576</v>
      </c>
      <c r="S1420" s="13" t="s">
        <v>549</v>
      </c>
      <c r="T1420" s="13" t="s">
        <v>550</v>
      </c>
      <c r="U1420" s="13" t="s">
        <v>551</v>
      </c>
      <c r="V1420" s="47">
        <f>SUMIF(Data!$E:$E,$I1420,Data!$AI:$AI)</f>
        <v>0</v>
      </c>
    </row>
    <row r="1421" spans="1:22" x14ac:dyDescent="0.25">
      <c r="A1421" s="46" t="s">
        <v>9543</v>
      </c>
      <c r="B1421" s="46" t="s">
        <v>120</v>
      </c>
      <c r="C1421" s="46" t="s">
        <v>5055</v>
      </c>
      <c r="D1421" s="46">
        <v>0.235323038556284</v>
      </c>
      <c r="E1421" s="47">
        <f>SUMIF(Data!$E:$E,$C1421,Data!$AI:$AI)</f>
        <v>0</v>
      </c>
      <c r="I1421" s="13" t="s">
        <v>9577</v>
      </c>
      <c r="J1421" s="13" t="s">
        <v>9578</v>
      </c>
      <c r="K1421" s="13" t="s">
        <v>137</v>
      </c>
      <c r="L1421" s="13" t="s">
        <v>8066</v>
      </c>
      <c r="M1421" s="13" t="s">
        <v>9579</v>
      </c>
      <c r="N1421" s="13">
        <v>69.573999999999998</v>
      </c>
      <c r="O1421" s="13" t="s">
        <v>9580</v>
      </c>
      <c r="P1421" s="13" t="s">
        <v>9581</v>
      </c>
      <c r="Q1421" s="13" t="s">
        <v>734</v>
      </c>
      <c r="R1421" s="13" t="s">
        <v>9582</v>
      </c>
      <c r="S1421" s="13" t="s">
        <v>523</v>
      </c>
      <c r="T1421" s="13" t="s">
        <v>524</v>
      </c>
      <c r="U1421" s="13" t="s">
        <v>525</v>
      </c>
      <c r="V1421" s="47">
        <f>SUMIF(Data!$E:$E,$I1421,Data!$AI:$AI)</f>
        <v>0</v>
      </c>
    </row>
    <row r="1422" spans="1:22" x14ac:dyDescent="0.25">
      <c r="A1422" s="46" t="s">
        <v>9543</v>
      </c>
      <c r="B1422" s="46" t="s">
        <v>120</v>
      </c>
      <c r="C1422" s="46" t="s">
        <v>5062</v>
      </c>
      <c r="D1422" s="46">
        <v>0.50745687694168895</v>
      </c>
      <c r="E1422" s="47">
        <f>SUMIF(Data!$E:$E,$C1422,Data!$AI:$AI)</f>
        <v>0</v>
      </c>
      <c r="I1422" s="13" t="s">
        <v>9583</v>
      </c>
      <c r="J1422" s="13" t="s">
        <v>9584</v>
      </c>
      <c r="K1422" s="13" t="s">
        <v>137</v>
      </c>
      <c r="L1422" s="13" t="s">
        <v>8066</v>
      </c>
      <c r="M1422" s="13" t="s">
        <v>9585</v>
      </c>
      <c r="N1422" s="13">
        <v>20.109000000000002</v>
      </c>
      <c r="O1422" s="13" t="s">
        <v>9586</v>
      </c>
      <c r="P1422" s="13" t="s">
        <v>9587</v>
      </c>
      <c r="Q1422" s="13" t="s">
        <v>416</v>
      </c>
      <c r="R1422" s="13" t="s">
        <v>9588</v>
      </c>
      <c r="S1422" s="13" t="s">
        <v>523</v>
      </c>
      <c r="T1422" s="13" t="s">
        <v>524</v>
      </c>
      <c r="U1422" s="13" t="s">
        <v>525</v>
      </c>
      <c r="V1422" s="47">
        <f>SUMIF(Data!$E:$E,$I1422,Data!$AI:$AI)</f>
        <v>0</v>
      </c>
    </row>
    <row r="1423" spans="1:22" x14ac:dyDescent="0.25">
      <c r="A1423" s="46" t="s">
        <v>9543</v>
      </c>
      <c r="B1423" s="46" t="s">
        <v>120</v>
      </c>
      <c r="C1423" s="46" t="s">
        <v>5448</v>
      </c>
      <c r="D1423" s="46">
        <v>2.6973539030120001E-2</v>
      </c>
      <c r="E1423" s="47">
        <f>SUMIF(Data!$E:$E,$C1423,Data!$AI:$AI)</f>
        <v>0</v>
      </c>
      <c r="I1423" s="13" t="s">
        <v>9589</v>
      </c>
      <c r="J1423" s="13" t="s">
        <v>9590</v>
      </c>
      <c r="K1423" s="13" t="s">
        <v>137</v>
      </c>
      <c r="L1423" s="13" t="s">
        <v>8066</v>
      </c>
      <c r="M1423" s="13" t="s">
        <v>9591</v>
      </c>
      <c r="N1423" s="13">
        <v>189.39400000000001</v>
      </c>
      <c r="O1423" s="13" t="s">
        <v>9592</v>
      </c>
      <c r="P1423" s="13" t="s">
        <v>9593</v>
      </c>
      <c r="Q1423" s="13" t="s">
        <v>162</v>
      </c>
      <c r="R1423" s="13" t="s">
        <v>9594</v>
      </c>
      <c r="S1423" s="13" t="s">
        <v>476</v>
      </c>
      <c r="T1423" s="13" t="s">
        <v>477</v>
      </c>
      <c r="U1423" s="13" t="s">
        <v>478</v>
      </c>
      <c r="V1423" s="47">
        <f>SUMIF(Data!$E:$E,$I1423,Data!$AI:$AI)</f>
        <v>0</v>
      </c>
    </row>
    <row r="1424" spans="1:22" x14ac:dyDescent="0.25">
      <c r="A1424" s="46" t="s">
        <v>9543</v>
      </c>
      <c r="B1424" s="46" t="s">
        <v>120</v>
      </c>
      <c r="C1424" s="46" t="s">
        <v>4779</v>
      </c>
      <c r="D1424" s="46">
        <v>1.2749631001809101</v>
      </c>
      <c r="E1424" s="47">
        <f>SUMIF(Data!$E:$E,$C1424,Data!$AI:$AI)</f>
        <v>0</v>
      </c>
      <c r="I1424" s="13">
        <v>7453</v>
      </c>
      <c r="J1424" s="13" t="s">
        <v>9595</v>
      </c>
      <c r="K1424" s="13" t="s">
        <v>137</v>
      </c>
      <c r="L1424" s="13" t="s">
        <v>8066</v>
      </c>
      <c r="M1424" s="13" t="s">
        <v>9596</v>
      </c>
      <c r="N1424" s="13">
        <v>85.55</v>
      </c>
      <c r="O1424" s="13" t="s">
        <v>9597</v>
      </c>
      <c r="P1424" s="13" t="s">
        <v>9598</v>
      </c>
      <c r="Q1424" s="13" t="s">
        <v>162</v>
      </c>
      <c r="R1424" s="13" t="s">
        <v>9599</v>
      </c>
      <c r="S1424" s="13" t="s">
        <v>441</v>
      </c>
      <c r="T1424" s="13" t="s">
        <v>442</v>
      </c>
      <c r="U1424" s="13" t="s">
        <v>443</v>
      </c>
      <c r="V1424" s="47">
        <f>SUMIF(Data!$E:$E,$I1424,Data!$AI:$AI)</f>
        <v>0</v>
      </c>
    </row>
    <row r="1425" spans="1:22" x14ac:dyDescent="0.25">
      <c r="A1425" s="46" t="s">
        <v>9543</v>
      </c>
      <c r="B1425" s="46" t="s">
        <v>120</v>
      </c>
      <c r="C1425" s="46" t="s">
        <v>5454</v>
      </c>
      <c r="D1425" s="46">
        <v>8.7869901051298993E-2</v>
      </c>
      <c r="E1425" s="47">
        <f>SUMIF(Data!$E:$E,$C1425,Data!$AI:$AI)</f>
        <v>0</v>
      </c>
      <c r="I1425" s="13" t="s">
        <v>9600</v>
      </c>
      <c r="J1425" s="13" t="s">
        <v>9601</v>
      </c>
      <c r="K1425" s="13" t="s">
        <v>137</v>
      </c>
      <c r="L1425" s="13" t="s">
        <v>8066</v>
      </c>
      <c r="M1425" s="13" t="s">
        <v>9602</v>
      </c>
      <c r="N1425" s="13">
        <v>166.9</v>
      </c>
      <c r="O1425" s="13" t="s">
        <v>9603</v>
      </c>
      <c r="P1425" s="13" t="s">
        <v>9604</v>
      </c>
      <c r="Q1425" s="13" t="s">
        <v>143</v>
      </c>
      <c r="R1425" s="13" t="s">
        <v>9605</v>
      </c>
      <c r="S1425" s="13" t="s">
        <v>2365</v>
      </c>
      <c r="T1425" s="13" t="s">
        <v>2366</v>
      </c>
      <c r="U1425" s="13" t="s">
        <v>2367</v>
      </c>
      <c r="V1425" s="47">
        <f>SUMIF(Data!$E:$E,$I1425,Data!$AI:$AI)</f>
        <v>0</v>
      </c>
    </row>
    <row r="1426" spans="1:22" x14ac:dyDescent="0.25">
      <c r="A1426" s="46" t="s">
        <v>9543</v>
      </c>
      <c r="B1426" s="46" t="s">
        <v>120</v>
      </c>
      <c r="C1426" s="46" t="s">
        <v>5069</v>
      </c>
      <c r="D1426" s="46">
        <v>0.25475081309372599</v>
      </c>
      <c r="E1426" s="47">
        <f>SUMIF(Data!$E:$E,$C1426,Data!$AI:$AI)</f>
        <v>0</v>
      </c>
      <c r="I1426" s="13">
        <v>4922</v>
      </c>
      <c r="J1426" s="13" t="s">
        <v>9606</v>
      </c>
      <c r="K1426" s="13" t="s">
        <v>137</v>
      </c>
      <c r="L1426" s="13" t="s">
        <v>8066</v>
      </c>
      <c r="M1426" s="13" t="s">
        <v>9607</v>
      </c>
      <c r="N1426" s="13">
        <v>12.7</v>
      </c>
      <c r="O1426" s="13" t="s">
        <v>9608</v>
      </c>
      <c r="P1426" s="13" t="s">
        <v>9609</v>
      </c>
      <c r="Q1426" s="13" t="s">
        <v>224</v>
      </c>
      <c r="R1426" s="13" t="s">
        <v>9610</v>
      </c>
      <c r="S1426" s="13" t="s">
        <v>441</v>
      </c>
      <c r="T1426" s="13" t="s">
        <v>442</v>
      </c>
      <c r="U1426" s="13" t="s">
        <v>443</v>
      </c>
      <c r="V1426" s="47">
        <f>SUMIF(Data!$E:$E,$I1426,Data!$AI:$AI)</f>
        <v>0</v>
      </c>
    </row>
    <row r="1427" spans="1:22" x14ac:dyDescent="0.25">
      <c r="A1427" s="46" t="s">
        <v>9543</v>
      </c>
      <c r="B1427" s="46" t="s">
        <v>120</v>
      </c>
      <c r="C1427" s="46" t="s">
        <v>4786</v>
      </c>
      <c r="D1427" s="46">
        <v>1.04146797829839</v>
      </c>
      <c r="E1427" s="47">
        <f>SUMIF(Data!$E:$E,$C1427,Data!$AI:$AI)</f>
        <v>0</v>
      </c>
      <c r="I1427" s="13" t="s">
        <v>9611</v>
      </c>
      <c r="J1427" s="13" t="s">
        <v>9612</v>
      </c>
      <c r="K1427" s="13" t="s">
        <v>137</v>
      </c>
      <c r="L1427" s="13" t="s">
        <v>8066</v>
      </c>
      <c r="M1427" s="13" t="s">
        <v>9613</v>
      </c>
      <c r="N1427" s="13">
        <v>345.05500000000001</v>
      </c>
      <c r="O1427" s="13" t="s">
        <v>9614</v>
      </c>
      <c r="P1427" s="13" t="s">
        <v>9615</v>
      </c>
      <c r="Q1427" s="13" t="s">
        <v>734</v>
      </c>
      <c r="R1427" s="13" t="s">
        <v>9616</v>
      </c>
      <c r="S1427" s="13" t="s">
        <v>725</v>
      </c>
      <c r="T1427" s="13" t="s">
        <v>726</v>
      </c>
      <c r="U1427" s="13" t="s">
        <v>727</v>
      </c>
      <c r="V1427" s="47">
        <f>SUMIF(Data!$E:$E,$I1427,Data!$AI:$AI)</f>
        <v>0</v>
      </c>
    </row>
    <row r="1428" spans="1:22" x14ac:dyDescent="0.25">
      <c r="A1428" s="46" t="s">
        <v>9543</v>
      </c>
      <c r="B1428" s="46" t="s">
        <v>120</v>
      </c>
      <c r="C1428" s="46" t="s">
        <v>5460</v>
      </c>
      <c r="D1428" s="46">
        <v>0.11895545856895801</v>
      </c>
      <c r="E1428" s="47">
        <f>SUMIF(Data!$E:$E,$C1428,Data!$AI:$AI)</f>
        <v>0</v>
      </c>
      <c r="I1428" s="13" t="s">
        <v>9617</v>
      </c>
      <c r="J1428" s="13" t="s">
        <v>9618</v>
      </c>
      <c r="K1428" s="13" t="s">
        <v>137</v>
      </c>
      <c r="L1428" s="13" t="s">
        <v>8066</v>
      </c>
      <c r="M1428" s="13" t="s">
        <v>9619</v>
      </c>
      <c r="N1428" s="13">
        <v>417.113</v>
      </c>
      <c r="O1428" s="13" t="s">
        <v>9620</v>
      </c>
      <c r="P1428" s="13" t="s">
        <v>9621</v>
      </c>
      <c r="Q1428" s="13" t="s">
        <v>172</v>
      </c>
      <c r="R1428" s="13" t="s">
        <v>9622</v>
      </c>
      <c r="S1428" s="13" t="s">
        <v>192</v>
      </c>
      <c r="T1428" s="13" t="s">
        <v>146</v>
      </c>
      <c r="U1428" s="13" t="s">
        <v>110</v>
      </c>
      <c r="V1428" s="47">
        <f>SUMIF(Data!$E:$E,$I1428,Data!$AI:$AI)</f>
        <v>0</v>
      </c>
    </row>
    <row r="1429" spans="1:22" x14ac:dyDescent="0.25">
      <c r="A1429" s="46" t="s">
        <v>9543</v>
      </c>
      <c r="B1429" s="46" t="s">
        <v>120</v>
      </c>
      <c r="C1429" s="46" t="s">
        <v>3202</v>
      </c>
      <c r="D1429" s="46">
        <v>1.0475060370531899</v>
      </c>
      <c r="E1429" s="47">
        <f>SUMIF(Data!$E:$E,$C1429,Data!$AI:$AI)</f>
        <v>0</v>
      </c>
      <c r="I1429" s="13" t="s">
        <v>9623</v>
      </c>
      <c r="J1429" s="13" t="s">
        <v>9624</v>
      </c>
      <c r="K1429" s="13" t="s">
        <v>137</v>
      </c>
      <c r="L1429" s="13" t="s">
        <v>8066</v>
      </c>
      <c r="M1429" s="13" t="s">
        <v>7631</v>
      </c>
      <c r="N1429" s="13">
        <v>607.17200000000003</v>
      </c>
      <c r="O1429" s="13" t="s">
        <v>9625</v>
      </c>
      <c r="P1429" s="13" t="s">
        <v>9626</v>
      </c>
      <c r="Q1429" s="13" t="s">
        <v>734</v>
      </c>
      <c r="R1429" s="13" t="s">
        <v>9627</v>
      </c>
      <c r="S1429" s="13" t="s">
        <v>847</v>
      </c>
      <c r="T1429" s="13" t="s">
        <v>848</v>
      </c>
      <c r="U1429" s="13" t="s">
        <v>849</v>
      </c>
      <c r="V1429" s="47">
        <f>SUMIF(Data!$E:$E,$I1429,Data!$AI:$AI)</f>
        <v>0</v>
      </c>
    </row>
    <row r="1430" spans="1:22" x14ac:dyDescent="0.25">
      <c r="A1430" s="46" t="s">
        <v>9543</v>
      </c>
      <c r="B1430" s="46" t="s">
        <v>120</v>
      </c>
      <c r="C1430" s="46" t="s">
        <v>5467</v>
      </c>
      <c r="D1430" s="46">
        <v>9.9387065833300994E-2</v>
      </c>
      <c r="E1430" s="47">
        <f>SUMIF(Data!$E:$E,$C1430,Data!$AI:$AI)</f>
        <v>0</v>
      </c>
      <c r="I1430" s="13" t="s">
        <v>9628</v>
      </c>
      <c r="J1430" s="13" t="s">
        <v>9629</v>
      </c>
      <c r="K1430" s="13" t="s">
        <v>137</v>
      </c>
      <c r="L1430" s="13" t="s">
        <v>8066</v>
      </c>
      <c r="M1430" s="13" t="s">
        <v>9630</v>
      </c>
      <c r="N1430" s="13">
        <v>311.62599999999998</v>
      </c>
      <c r="O1430" s="13" t="s">
        <v>9631</v>
      </c>
      <c r="P1430" s="13" t="s">
        <v>9632</v>
      </c>
      <c r="Q1430" s="13" t="s">
        <v>190</v>
      </c>
      <c r="R1430" s="13" t="s">
        <v>9633</v>
      </c>
      <c r="S1430" s="13" t="s">
        <v>2365</v>
      </c>
      <c r="T1430" s="13" t="s">
        <v>2366</v>
      </c>
      <c r="U1430" s="13" t="s">
        <v>2367</v>
      </c>
      <c r="V1430" s="47">
        <f>SUMIF(Data!$E:$E,$I1430,Data!$AI:$AI)</f>
        <v>0</v>
      </c>
    </row>
    <row r="1431" spans="1:22" x14ac:dyDescent="0.25">
      <c r="A1431" s="46" t="s">
        <v>9543</v>
      </c>
      <c r="B1431" s="46" t="s">
        <v>120</v>
      </c>
      <c r="C1431" s="46" t="s">
        <v>5474</v>
      </c>
      <c r="D1431" s="46">
        <v>0.14489574777171199</v>
      </c>
      <c r="E1431" s="47">
        <f>SUMIF(Data!$E:$E,$C1431,Data!$AI:$AI)</f>
        <v>0</v>
      </c>
      <c r="I1431" s="13" t="s">
        <v>9634</v>
      </c>
      <c r="J1431" s="13" t="s">
        <v>9635</v>
      </c>
      <c r="K1431" s="13" t="s">
        <v>137</v>
      </c>
      <c r="L1431" s="13" t="s">
        <v>8066</v>
      </c>
      <c r="M1431" s="13" t="s">
        <v>9636</v>
      </c>
      <c r="N1431" s="13">
        <v>36.838000000000001</v>
      </c>
      <c r="O1431" s="13" t="s">
        <v>9637</v>
      </c>
      <c r="P1431" s="13" t="s">
        <v>9638</v>
      </c>
      <c r="Q1431" s="13" t="s">
        <v>260</v>
      </c>
      <c r="R1431" s="13" t="s">
        <v>9639</v>
      </c>
      <c r="S1431" s="13" t="s">
        <v>642</v>
      </c>
      <c r="T1431" s="13" t="s">
        <v>643</v>
      </c>
      <c r="U1431" s="13" t="s">
        <v>525</v>
      </c>
      <c r="V1431" s="47">
        <f>SUMIF(Data!$E:$E,$I1431,Data!$AI:$AI)</f>
        <v>0</v>
      </c>
    </row>
    <row r="1432" spans="1:22" x14ac:dyDescent="0.25">
      <c r="A1432" s="46" t="s">
        <v>9543</v>
      </c>
      <c r="B1432" s="46" t="s">
        <v>120</v>
      </c>
      <c r="C1432" s="46" t="s">
        <v>5481</v>
      </c>
      <c r="D1432" s="46">
        <v>8.1541981044486997E-2</v>
      </c>
      <c r="E1432" s="47">
        <f>SUMIF(Data!$E:$E,$C1432,Data!$AI:$AI)</f>
        <v>0</v>
      </c>
      <c r="I1432" s="13" t="s">
        <v>9640</v>
      </c>
      <c r="J1432" s="13" t="s">
        <v>9641</v>
      </c>
      <c r="K1432" s="13" t="s">
        <v>137</v>
      </c>
      <c r="L1432" s="13" t="s">
        <v>8066</v>
      </c>
      <c r="M1432" s="13" t="s">
        <v>5957</v>
      </c>
      <c r="N1432" s="13">
        <v>21.268000000000001</v>
      </c>
      <c r="O1432" s="13" t="s">
        <v>9642</v>
      </c>
      <c r="P1432" s="13" t="s">
        <v>9643</v>
      </c>
      <c r="Q1432" s="13" t="s">
        <v>208</v>
      </c>
      <c r="R1432" s="13" t="s">
        <v>9644</v>
      </c>
      <c r="S1432" s="13" t="s">
        <v>560</v>
      </c>
      <c r="T1432" s="13" t="s">
        <v>561</v>
      </c>
      <c r="U1432" s="13" t="s">
        <v>525</v>
      </c>
      <c r="V1432" s="47">
        <f>SUMIF(Data!$E:$E,$I1432,Data!$AI:$AI)</f>
        <v>0</v>
      </c>
    </row>
    <row r="1433" spans="1:22" x14ac:dyDescent="0.25">
      <c r="A1433" s="46" t="s">
        <v>9543</v>
      </c>
      <c r="B1433" s="46" t="s">
        <v>120</v>
      </c>
      <c r="C1433" s="46" t="s">
        <v>5082</v>
      </c>
      <c r="D1433" s="46">
        <v>0.16813390520928201</v>
      </c>
      <c r="E1433" s="47">
        <f>SUMIF(Data!$E:$E,$C1433,Data!$AI:$AI)</f>
        <v>0</v>
      </c>
      <c r="I1433" s="13">
        <v>6268</v>
      </c>
      <c r="J1433" s="13" t="s">
        <v>9645</v>
      </c>
      <c r="K1433" s="13" t="s">
        <v>137</v>
      </c>
      <c r="L1433" s="13" t="s">
        <v>8066</v>
      </c>
      <c r="M1433" s="13" t="s">
        <v>9646</v>
      </c>
      <c r="N1433" s="13">
        <v>64.691999999999993</v>
      </c>
      <c r="O1433" s="13" t="s">
        <v>9647</v>
      </c>
      <c r="P1433" s="13" t="s">
        <v>9648</v>
      </c>
      <c r="Q1433" s="13" t="s">
        <v>416</v>
      </c>
      <c r="R1433" s="13" t="s">
        <v>9649</v>
      </c>
      <c r="S1433" s="13" t="s">
        <v>441</v>
      </c>
      <c r="T1433" s="13" t="s">
        <v>442</v>
      </c>
      <c r="U1433" s="13" t="s">
        <v>443</v>
      </c>
      <c r="V1433" s="47">
        <f>SUMIF(Data!$E:$E,$I1433,Data!$AI:$AI)</f>
        <v>0</v>
      </c>
    </row>
    <row r="1434" spans="1:22" x14ac:dyDescent="0.25">
      <c r="A1434" s="46" t="s">
        <v>9543</v>
      </c>
      <c r="B1434" s="46" t="s">
        <v>120</v>
      </c>
      <c r="C1434" s="46" t="s">
        <v>4798</v>
      </c>
      <c r="D1434" s="46">
        <v>3.9110602683121201</v>
      </c>
      <c r="E1434" s="47">
        <f>SUMIF(Data!$E:$E,$C1434,Data!$AI:$AI)</f>
        <v>0</v>
      </c>
      <c r="I1434" s="13">
        <v>1038</v>
      </c>
      <c r="J1434" s="13" t="s">
        <v>9650</v>
      </c>
      <c r="K1434" s="13" t="s">
        <v>137</v>
      </c>
      <c r="L1434" s="13" t="s">
        <v>8066</v>
      </c>
      <c r="M1434" s="13" t="s">
        <v>9651</v>
      </c>
      <c r="N1434" s="13">
        <v>278</v>
      </c>
      <c r="O1434" s="13" t="s">
        <v>9652</v>
      </c>
      <c r="P1434" s="13" t="s">
        <v>9653</v>
      </c>
      <c r="Q1434" s="13" t="s">
        <v>694</v>
      </c>
      <c r="R1434" s="13" t="s">
        <v>9654</v>
      </c>
      <c r="S1434" s="13" t="s">
        <v>549</v>
      </c>
      <c r="T1434" s="13" t="s">
        <v>550</v>
      </c>
      <c r="U1434" s="13" t="s">
        <v>551</v>
      </c>
      <c r="V1434" s="47">
        <f>SUMIF(Data!$E:$E,$I1434,Data!$AI:$AI)</f>
        <v>0</v>
      </c>
    </row>
    <row r="1435" spans="1:22" x14ac:dyDescent="0.25">
      <c r="A1435" s="46" t="s">
        <v>9543</v>
      </c>
      <c r="B1435" s="46" t="s">
        <v>120</v>
      </c>
      <c r="C1435" s="46" t="s">
        <v>5488</v>
      </c>
      <c r="D1435" s="46">
        <v>6.2896297450100003E-2</v>
      </c>
      <c r="E1435" s="47">
        <f>SUMIF(Data!$E:$E,$C1435,Data!$AI:$AI)</f>
        <v>0</v>
      </c>
      <c r="I1435" s="13" t="s">
        <v>7684</v>
      </c>
      <c r="J1435" s="13" t="s">
        <v>9655</v>
      </c>
      <c r="K1435" s="13" t="s">
        <v>137</v>
      </c>
      <c r="L1435" s="13" t="s">
        <v>8066</v>
      </c>
      <c r="M1435" s="13" t="s">
        <v>9656</v>
      </c>
      <c r="N1435" s="13">
        <v>32.481000000000002</v>
      </c>
      <c r="O1435" s="13" t="s">
        <v>9657</v>
      </c>
      <c r="P1435" s="13" t="s">
        <v>9658</v>
      </c>
      <c r="Q1435" s="13" t="s">
        <v>143</v>
      </c>
      <c r="R1435" s="13" t="s">
        <v>9659</v>
      </c>
      <c r="S1435" s="13" t="s">
        <v>476</v>
      </c>
      <c r="T1435" s="13" t="s">
        <v>477</v>
      </c>
      <c r="U1435" s="13" t="s">
        <v>478</v>
      </c>
      <c r="V1435" s="47">
        <f>SUMIF(Data!$E:$E,$I1435,Data!$AI:$AI)</f>
        <v>0</v>
      </c>
    </row>
    <row r="1436" spans="1:22" x14ac:dyDescent="0.25">
      <c r="A1436" s="46" t="s">
        <v>9543</v>
      </c>
      <c r="B1436" s="46" t="s">
        <v>120</v>
      </c>
      <c r="C1436" s="46" t="s">
        <v>3142</v>
      </c>
      <c r="D1436" s="46">
        <v>1.35268436430471</v>
      </c>
      <c r="E1436" s="47">
        <f>SUMIF(Data!$E:$E,$C1436,Data!$AI:$AI)</f>
        <v>0</v>
      </c>
      <c r="I1436" s="13">
        <v>7182</v>
      </c>
      <c r="J1436" s="13" t="s">
        <v>9660</v>
      </c>
      <c r="K1436" s="13" t="s">
        <v>137</v>
      </c>
      <c r="L1436" s="13" t="s">
        <v>8066</v>
      </c>
      <c r="M1436" s="13" t="s">
        <v>9661</v>
      </c>
      <c r="N1436" s="13">
        <v>212.6</v>
      </c>
      <c r="O1436" s="13" t="s">
        <v>9662</v>
      </c>
      <c r="P1436" s="13" t="s">
        <v>9663</v>
      </c>
      <c r="Q1436" s="13" t="s">
        <v>190</v>
      </c>
      <c r="R1436" s="13" t="s">
        <v>9664</v>
      </c>
      <c r="S1436" s="13" t="s">
        <v>441</v>
      </c>
      <c r="T1436" s="13" t="s">
        <v>442</v>
      </c>
      <c r="U1436" s="13" t="s">
        <v>443</v>
      </c>
      <c r="V1436" s="47">
        <f>SUMIF(Data!$E:$E,$I1436,Data!$AI:$AI)</f>
        <v>0</v>
      </c>
    </row>
    <row r="1437" spans="1:22" x14ac:dyDescent="0.25">
      <c r="A1437" s="46" t="s">
        <v>9543</v>
      </c>
      <c r="B1437" s="46" t="s">
        <v>120</v>
      </c>
      <c r="C1437" s="46" t="s">
        <v>5495</v>
      </c>
      <c r="D1437" s="46">
        <v>8.4712850196483003E-2</v>
      </c>
      <c r="E1437" s="47">
        <f>SUMIF(Data!$E:$E,$C1437,Data!$AI:$AI)</f>
        <v>0</v>
      </c>
      <c r="I1437" s="13" t="s">
        <v>9665</v>
      </c>
      <c r="J1437" s="13" t="s">
        <v>9666</v>
      </c>
      <c r="K1437" s="13" t="s">
        <v>137</v>
      </c>
      <c r="L1437" s="13" t="s">
        <v>8066</v>
      </c>
      <c r="M1437" s="13" t="s">
        <v>9667</v>
      </c>
      <c r="N1437" s="13">
        <v>189.08600000000001</v>
      </c>
      <c r="O1437" s="13" t="s">
        <v>9668</v>
      </c>
      <c r="P1437" s="13" t="s">
        <v>9669</v>
      </c>
      <c r="Q1437" s="13" t="s">
        <v>224</v>
      </c>
      <c r="R1437" s="13" t="s">
        <v>9670</v>
      </c>
      <c r="S1437" s="13" t="s">
        <v>192</v>
      </c>
      <c r="T1437" s="13" t="s">
        <v>146</v>
      </c>
      <c r="U1437" s="13" t="s">
        <v>110</v>
      </c>
      <c r="V1437" s="47">
        <f>SUMIF(Data!$E:$E,$I1437,Data!$AI:$AI)</f>
        <v>0</v>
      </c>
    </row>
    <row r="1438" spans="1:22" x14ac:dyDescent="0.25">
      <c r="A1438" s="46" t="s">
        <v>9543</v>
      </c>
      <c r="B1438" s="46" t="s">
        <v>120</v>
      </c>
      <c r="C1438" s="46" t="s">
        <v>5501</v>
      </c>
      <c r="D1438" s="46">
        <v>3.6205177967622001E-2</v>
      </c>
      <c r="E1438" s="47">
        <f>SUMIF(Data!$E:$E,$C1438,Data!$AI:$AI)</f>
        <v>0</v>
      </c>
      <c r="I1438" s="13" t="s">
        <v>9671</v>
      </c>
      <c r="J1438" s="13" t="s">
        <v>9672</v>
      </c>
      <c r="K1438" s="13" t="s">
        <v>137</v>
      </c>
      <c r="L1438" s="13" t="s">
        <v>8066</v>
      </c>
      <c r="M1438" s="13" t="s">
        <v>9673</v>
      </c>
      <c r="N1438" s="13">
        <v>15.239000000000001</v>
      </c>
      <c r="O1438" s="13" t="s">
        <v>9674</v>
      </c>
      <c r="P1438" s="13" t="s">
        <v>9675</v>
      </c>
      <c r="Q1438" s="13" t="s">
        <v>172</v>
      </c>
      <c r="R1438" s="13" t="s">
        <v>9676</v>
      </c>
      <c r="S1438" s="13" t="s">
        <v>560</v>
      </c>
      <c r="T1438" s="13" t="s">
        <v>561</v>
      </c>
      <c r="U1438" s="13" t="s">
        <v>525</v>
      </c>
      <c r="V1438" s="47">
        <f>SUMIF(Data!$E:$E,$I1438,Data!$AI:$AI)</f>
        <v>0</v>
      </c>
    </row>
    <row r="1439" spans="1:22" x14ac:dyDescent="0.25">
      <c r="A1439" s="46" t="s">
        <v>9543</v>
      </c>
      <c r="B1439" s="46" t="s">
        <v>120</v>
      </c>
      <c r="C1439" s="46" t="s">
        <v>3149</v>
      </c>
      <c r="D1439" s="46">
        <v>0.46568889283676501</v>
      </c>
      <c r="E1439" s="47">
        <f>SUMIF(Data!$E:$E,$C1439,Data!$AI:$AI)</f>
        <v>0</v>
      </c>
      <c r="I1439" s="13" t="s">
        <v>9677</v>
      </c>
      <c r="J1439" s="13" t="s">
        <v>9678</v>
      </c>
      <c r="K1439" s="13" t="s">
        <v>137</v>
      </c>
      <c r="L1439" s="13" t="s">
        <v>8066</v>
      </c>
      <c r="M1439" s="13" t="s">
        <v>9679</v>
      </c>
      <c r="N1439" s="13">
        <v>1.6140000000000001</v>
      </c>
      <c r="O1439" s="13" t="s">
        <v>9680</v>
      </c>
      <c r="P1439" s="13" t="s">
        <v>9681</v>
      </c>
      <c r="Q1439" s="13" t="s">
        <v>416</v>
      </c>
      <c r="R1439" s="13" t="s">
        <v>9682</v>
      </c>
      <c r="S1439" s="13" t="s">
        <v>560</v>
      </c>
      <c r="T1439" s="13" t="s">
        <v>561</v>
      </c>
      <c r="U1439" s="13" t="s">
        <v>525</v>
      </c>
      <c r="V1439" s="47">
        <f>SUMIF(Data!$E:$E,$I1439,Data!$AI:$AI)</f>
        <v>0</v>
      </c>
    </row>
    <row r="1440" spans="1:22" x14ac:dyDescent="0.25">
      <c r="A1440" s="46" t="s">
        <v>9543</v>
      </c>
      <c r="B1440" s="46" t="s">
        <v>120</v>
      </c>
      <c r="C1440" s="46" t="s">
        <v>4811</v>
      </c>
      <c r="D1440" s="46">
        <v>0.54915503071907501</v>
      </c>
      <c r="E1440" s="47">
        <f>SUMIF(Data!$E:$E,$C1440,Data!$AI:$AI)</f>
        <v>0</v>
      </c>
      <c r="I1440" s="13">
        <v>7205</v>
      </c>
      <c r="J1440" s="13" t="s">
        <v>9683</v>
      </c>
      <c r="K1440" s="13" t="s">
        <v>137</v>
      </c>
      <c r="L1440" s="13" t="s">
        <v>8066</v>
      </c>
      <c r="M1440" s="13" t="s">
        <v>9684</v>
      </c>
      <c r="N1440" s="13">
        <v>191.2</v>
      </c>
      <c r="O1440" s="13" t="s">
        <v>9685</v>
      </c>
      <c r="P1440" s="13" t="s">
        <v>9686</v>
      </c>
      <c r="Q1440" s="13" t="s">
        <v>416</v>
      </c>
      <c r="R1440" s="13" t="s">
        <v>9687</v>
      </c>
      <c r="S1440" s="13" t="s">
        <v>441</v>
      </c>
      <c r="T1440" s="13" t="s">
        <v>442</v>
      </c>
      <c r="U1440" s="13" t="s">
        <v>443</v>
      </c>
      <c r="V1440" s="47">
        <f>SUMIF(Data!$E:$E,$I1440,Data!$AI:$AI)</f>
        <v>0</v>
      </c>
    </row>
    <row r="1441" spans="1:22" x14ac:dyDescent="0.25">
      <c r="A1441" s="46" t="s">
        <v>9543</v>
      </c>
      <c r="B1441" s="46" t="s">
        <v>120</v>
      </c>
      <c r="C1441" s="46" t="s">
        <v>4818</v>
      </c>
      <c r="D1441" s="46">
        <v>1.1977007169290601</v>
      </c>
      <c r="E1441" s="47">
        <f>SUMIF(Data!$E:$E,$C1441,Data!$AI:$AI)</f>
        <v>0</v>
      </c>
      <c r="I1441" s="13">
        <v>6465</v>
      </c>
      <c r="J1441" s="13" t="s">
        <v>9688</v>
      </c>
      <c r="K1441" s="13" t="s">
        <v>137</v>
      </c>
      <c r="L1441" s="13" t="s">
        <v>8066</v>
      </c>
      <c r="M1441" s="13" t="s">
        <v>9689</v>
      </c>
      <c r="N1441" s="13">
        <v>22</v>
      </c>
      <c r="O1441" s="13" t="s">
        <v>9690</v>
      </c>
      <c r="P1441" s="13" t="s">
        <v>9691</v>
      </c>
      <c r="Q1441" s="13" t="s">
        <v>416</v>
      </c>
      <c r="R1441" s="13" t="s">
        <v>9692</v>
      </c>
      <c r="S1441" s="13" t="s">
        <v>441</v>
      </c>
      <c r="T1441" s="13" t="s">
        <v>442</v>
      </c>
      <c r="U1441" s="13" t="s">
        <v>443</v>
      </c>
      <c r="V1441" s="47">
        <f>SUMIF(Data!$E:$E,$I1441,Data!$AI:$AI)</f>
        <v>0</v>
      </c>
    </row>
    <row r="1442" spans="1:22" x14ac:dyDescent="0.25">
      <c r="A1442" s="46" t="s">
        <v>9543</v>
      </c>
      <c r="B1442" s="46" t="s">
        <v>120</v>
      </c>
      <c r="C1442" s="46" t="s">
        <v>5112</v>
      </c>
      <c r="D1442" s="46">
        <v>0.52074567376999503</v>
      </c>
      <c r="E1442" s="47">
        <f>SUMIF(Data!$E:$E,$C1442,Data!$AI:$AI)</f>
        <v>0</v>
      </c>
      <c r="I1442" s="13" t="s">
        <v>9693</v>
      </c>
      <c r="J1442" s="13" t="s">
        <v>9694</v>
      </c>
      <c r="K1442" s="13" t="s">
        <v>137</v>
      </c>
      <c r="L1442" s="13" t="s">
        <v>8066</v>
      </c>
      <c r="M1442" s="13" t="s">
        <v>9695</v>
      </c>
      <c r="N1442" s="13">
        <v>80.847999999999999</v>
      </c>
      <c r="O1442" s="13" t="s">
        <v>9696</v>
      </c>
      <c r="P1442" s="13" t="s">
        <v>9697</v>
      </c>
      <c r="Q1442" s="13" t="s">
        <v>416</v>
      </c>
      <c r="R1442" s="13" t="s">
        <v>9698</v>
      </c>
      <c r="S1442" s="13" t="s">
        <v>768</v>
      </c>
      <c r="T1442" s="13" t="s">
        <v>769</v>
      </c>
      <c r="U1442" s="13" t="s">
        <v>770</v>
      </c>
      <c r="V1442" s="47">
        <f>SUMIF(Data!$E:$E,$I1442,Data!$AI:$AI)</f>
        <v>0</v>
      </c>
    </row>
    <row r="1443" spans="1:22" x14ac:dyDescent="0.25">
      <c r="A1443" s="46" t="s">
        <v>9543</v>
      </c>
      <c r="B1443" s="46" t="s">
        <v>120</v>
      </c>
      <c r="C1443" s="46" t="s">
        <v>5508</v>
      </c>
      <c r="D1443" s="46">
        <v>3.2378994198078E-2</v>
      </c>
      <c r="E1443" s="47">
        <f>SUMIF(Data!$E:$E,$C1443,Data!$AI:$AI)</f>
        <v>0</v>
      </c>
      <c r="I1443" s="13" t="s">
        <v>9699</v>
      </c>
      <c r="J1443" s="13" t="s">
        <v>9700</v>
      </c>
      <c r="K1443" s="13" t="s">
        <v>137</v>
      </c>
      <c r="L1443" s="13" t="s">
        <v>8066</v>
      </c>
      <c r="M1443" s="13" t="s">
        <v>9701</v>
      </c>
      <c r="N1443" s="13">
        <v>20.129000000000001</v>
      </c>
      <c r="O1443" s="13" t="s">
        <v>9702</v>
      </c>
      <c r="P1443" s="13" t="s">
        <v>9703</v>
      </c>
      <c r="Q1443" s="13" t="s">
        <v>162</v>
      </c>
      <c r="R1443" s="13" t="s">
        <v>9704</v>
      </c>
      <c r="S1443" s="13" t="s">
        <v>6414</v>
      </c>
      <c r="T1443" s="13" t="s">
        <v>227</v>
      </c>
      <c r="U1443" s="13" t="s">
        <v>228</v>
      </c>
      <c r="V1443" s="47">
        <f>SUMIF(Data!$E:$E,$I1443,Data!$AI:$AI)</f>
        <v>0</v>
      </c>
    </row>
    <row r="1444" spans="1:22" x14ac:dyDescent="0.25">
      <c r="A1444" s="46" t="s">
        <v>9543</v>
      </c>
      <c r="B1444" s="46" t="s">
        <v>120</v>
      </c>
      <c r="C1444" s="46" t="s">
        <v>5118</v>
      </c>
      <c r="D1444" s="46">
        <v>0.26636638581359101</v>
      </c>
      <c r="E1444" s="47">
        <f>SUMIF(Data!$E:$E,$C1444,Data!$AI:$AI)</f>
        <v>0</v>
      </c>
      <c r="I1444" s="13" t="s">
        <v>9705</v>
      </c>
      <c r="J1444" s="13" t="s">
        <v>9706</v>
      </c>
      <c r="K1444" s="13" t="s">
        <v>137</v>
      </c>
      <c r="L1444" s="13" t="s">
        <v>8066</v>
      </c>
      <c r="M1444" s="13" t="s">
        <v>9707</v>
      </c>
      <c r="N1444" s="13">
        <v>73.564999999999998</v>
      </c>
      <c r="O1444" s="13" t="s">
        <v>9708</v>
      </c>
      <c r="P1444" s="13" t="s">
        <v>9709</v>
      </c>
      <c r="Q1444" s="13" t="s">
        <v>190</v>
      </c>
      <c r="R1444" s="13" t="s">
        <v>9710</v>
      </c>
      <c r="S1444" s="13" t="s">
        <v>5736</v>
      </c>
      <c r="T1444" s="13" t="s">
        <v>4831</v>
      </c>
      <c r="U1444" s="13" t="s">
        <v>5737</v>
      </c>
      <c r="V1444" s="47">
        <f>SUMIF(Data!$E:$E,$I1444,Data!$AI:$AI)</f>
        <v>0</v>
      </c>
    </row>
    <row r="1445" spans="1:22" x14ac:dyDescent="0.25">
      <c r="A1445" s="46" t="s">
        <v>9543</v>
      </c>
      <c r="B1445" s="46" t="s">
        <v>120</v>
      </c>
      <c r="C1445" s="46" t="s">
        <v>5124</v>
      </c>
      <c r="D1445" s="46">
        <v>0.28225324593241102</v>
      </c>
      <c r="E1445" s="47">
        <f>SUMIF(Data!$E:$E,$C1445,Data!$AI:$AI)</f>
        <v>0</v>
      </c>
      <c r="I1445" s="13">
        <v>8036</v>
      </c>
      <c r="J1445" s="13" t="s">
        <v>9711</v>
      </c>
      <c r="K1445" s="13" t="s">
        <v>137</v>
      </c>
      <c r="L1445" s="13" t="s">
        <v>8066</v>
      </c>
      <c r="M1445" s="13" t="s">
        <v>9712</v>
      </c>
      <c r="N1445" s="13">
        <v>27.4</v>
      </c>
      <c r="O1445" s="13" t="s">
        <v>9713</v>
      </c>
      <c r="P1445" s="13" t="s">
        <v>9714</v>
      </c>
      <c r="Q1445" s="13" t="s">
        <v>143</v>
      </c>
      <c r="R1445" s="13" t="s">
        <v>9715</v>
      </c>
      <c r="S1445" s="13" t="s">
        <v>441</v>
      </c>
      <c r="T1445" s="13" t="s">
        <v>442</v>
      </c>
      <c r="U1445" s="13" t="s">
        <v>443</v>
      </c>
      <c r="V1445" s="47">
        <f>SUMIF(Data!$E:$E,$I1445,Data!$AI:$AI)</f>
        <v>0</v>
      </c>
    </row>
    <row r="1446" spans="1:22" x14ac:dyDescent="0.25">
      <c r="A1446" s="46" t="s">
        <v>9543</v>
      </c>
      <c r="B1446" s="46" t="s">
        <v>120</v>
      </c>
      <c r="C1446" s="46" t="s">
        <v>5131</v>
      </c>
      <c r="D1446" s="46">
        <v>0.25042778310331998</v>
      </c>
      <c r="E1446" s="47">
        <f>SUMIF(Data!$E:$E,$C1446,Data!$AI:$AI)</f>
        <v>0</v>
      </c>
      <c r="I1446" s="13">
        <v>8331</v>
      </c>
      <c r="J1446" s="13" t="s">
        <v>9716</v>
      </c>
      <c r="K1446" s="13" t="s">
        <v>137</v>
      </c>
      <c r="L1446" s="13" t="s">
        <v>8066</v>
      </c>
      <c r="M1446" s="13" t="s">
        <v>9717</v>
      </c>
      <c r="N1446" s="13">
        <v>341.3</v>
      </c>
      <c r="O1446" s="13" t="s">
        <v>9718</v>
      </c>
      <c r="P1446" s="13" t="s">
        <v>9719</v>
      </c>
      <c r="Q1446" s="13" t="s">
        <v>190</v>
      </c>
      <c r="R1446" s="13" t="s">
        <v>9720</v>
      </c>
      <c r="S1446" s="13" t="s">
        <v>441</v>
      </c>
      <c r="T1446" s="13" t="s">
        <v>442</v>
      </c>
      <c r="U1446" s="13" t="s">
        <v>443</v>
      </c>
      <c r="V1446" s="47">
        <f>SUMIF(Data!$E:$E,$I1446,Data!$AI:$AI)</f>
        <v>0</v>
      </c>
    </row>
    <row r="1447" spans="1:22" x14ac:dyDescent="0.25">
      <c r="A1447" s="46" t="s">
        <v>9543</v>
      </c>
      <c r="B1447" s="46" t="s">
        <v>120</v>
      </c>
      <c r="C1447" s="46" t="s">
        <v>5515</v>
      </c>
      <c r="D1447" s="46">
        <v>4.8509173872488001E-2</v>
      </c>
      <c r="E1447" s="47">
        <f>SUMIF(Data!$E:$E,$C1447,Data!$AI:$AI)</f>
        <v>0</v>
      </c>
      <c r="I1447" s="13" t="s">
        <v>9721</v>
      </c>
      <c r="J1447" s="13" t="s">
        <v>9722</v>
      </c>
      <c r="K1447" s="13" t="s">
        <v>137</v>
      </c>
      <c r="L1447" s="13" t="s">
        <v>8066</v>
      </c>
      <c r="M1447" s="13" t="s">
        <v>9723</v>
      </c>
      <c r="N1447" s="13">
        <v>44.865000000000002</v>
      </c>
      <c r="O1447" s="13" t="s">
        <v>9724</v>
      </c>
      <c r="P1447" s="13" t="s">
        <v>9725</v>
      </c>
      <c r="Q1447" s="13" t="s">
        <v>190</v>
      </c>
      <c r="R1447" s="13" t="s">
        <v>9726</v>
      </c>
      <c r="S1447" s="13" t="s">
        <v>2928</v>
      </c>
      <c r="T1447" s="13" t="s">
        <v>2929</v>
      </c>
      <c r="U1447" s="13" t="s">
        <v>2930</v>
      </c>
      <c r="V1447" s="47">
        <f>SUMIF(Data!$E:$E,$I1447,Data!$AI:$AI)</f>
        <v>0</v>
      </c>
    </row>
    <row r="1448" spans="1:22" x14ac:dyDescent="0.25">
      <c r="A1448" s="46" t="s">
        <v>9543</v>
      </c>
      <c r="B1448" s="46" t="s">
        <v>120</v>
      </c>
      <c r="C1448" s="46" t="s">
        <v>5138</v>
      </c>
      <c r="D1448" s="46">
        <v>0.19139807698567299</v>
      </c>
      <c r="E1448" s="47">
        <f>SUMIF(Data!$E:$E,$C1448,Data!$AI:$AI)</f>
        <v>0</v>
      </c>
      <c r="I1448" s="13">
        <v>9684</v>
      </c>
      <c r="J1448" s="13" t="s">
        <v>9727</v>
      </c>
      <c r="K1448" s="13" t="s">
        <v>137</v>
      </c>
      <c r="L1448" s="13" t="s">
        <v>8066</v>
      </c>
      <c r="M1448" s="13" t="s">
        <v>8223</v>
      </c>
      <c r="N1448" s="13">
        <v>38.200000000000003</v>
      </c>
      <c r="O1448" s="13" t="s">
        <v>9728</v>
      </c>
      <c r="P1448" s="13" t="s">
        <v>9729</v>
      </c>
      <c r="Q1448" s="13" t="s">
        <v>172</v>
      </c>
      <c r="R1448" s="13" t="s">
        <v>9730</v>
      </c>
      <c r="S1448" s="13" t="s">
        <v>441</v>
      </c>
      <c r="T1448" s="13" t="s">
        <v>442</v>
      </c>
      <c r="U1448" s="13" t="s">
        <v>443</v>
      </c>
      <c r="V1448" s="47">
        <f>SUMIF(Data!$E:$E,$I1448,Data!$AI:$AI)</f>
        <v>0</v>
      </c>
    </row>
    <row r="1449" spans="1:22" x14ac:dyDescent="0.25">
      <c r="A1449" s="46" t="s">
        <v>9543</v>
      </c>
      <c r="B1449" s="46" t="s">
        <v>120</v>
      </c>
      <c r="C1449" s="46" t="s">
        <v>5528</v>
      </c>
      <c r="D1449" s="46">
        <v>6.3824423413121001E-2</v>
      </c>
      <c r="E1449" s="47">
        <f>SUMIF(Data!$E:$E,$C1449,Data!$AI:$AI)</f>
        <v>0</v>
      </c>
      <c r="I1449" s="13" t="s">
        <v>9731</v>
      </c>
      <c r="J1449" s="13" t="s">
        <v>9732</v>
      </c>
      <c r="K1449" s="13" t="s">
        <v>137</v>
      </c>
      <c r="L1449" s="13" t="s">
        <v>8066</v>
      </c>
      <c r="M1449" s="13" t="s">
        <v>9733</v>
      </c>
      <c r="N1449" s="13">
        <v>250.845</v>
      </c>
      <c r="O1449" s="13" t="s">
        <v>9734</v>
      </c>
      <c r="P1449" s="13" t="s">
        <v>9735</v>
      </c>
      <c r="Q1449" s="13" t="s">
        <v>260</v>
      </c>
      <c r="R1449" s="13" t="s">
        <v>9736</v>
      </c>
      <c r="S1449" s="13" t="s">
        <v>725</v>
      </c>
      <c r="T1449" s="13" t="s">
        <v>726</v>
      </c>
      <c r="U1449" s="13" t="s">
        <v>727</v>
      </c>
      <c r="V1449" s="47">
        <f>SUMIF(Data!$E:$E,$I1449,Data!$AI:$AI)</f>
        <v>0</v>
      </c>
    </row>
    <row r="1450" spans="1:22" x14ac:dyDescent="0.25">
      <c r="A1450" s="46" t="s">
        <v>9543</v>
      </c>
      <c r="B1450" s="46" t="s">
        <v>120</v>
      </c>
      <c r="C1450" s="46" t="s">
        <v>4838</v>
      </c>
      <c r="D1450" s="46">
        <v>3.0312026182882899</v>
      </c>
      <c r="E1450" s="47">
        <f>SUMIF(Data!$E:$E,$C1450,Data!$AI:$AI)</f>
        <v>0</v>
      </c>
      <c r="I1450" s="13" t="s">
        <v>8327</v>
      </c>
      <c r="J1450" s="13" t="s">
        <v>9737</v>
      </c>
      <c r="K1450" s="13" t="s">
        <v>137</v>
      </c>
      <c r="L1450" s="13" t="s">
        <v>8066</v>
      </c>
      <c r="M1450" s="13" t="s">
        <v>9738</v>
      </c>
      <c r="N1450" s="13">
        <v>450.88799999999998</v>
      </c>
      <c r="O1450" s="13" t="s">
        <v>9739</v>
      </c>
      <c r="P1450" s="13" t="s">
        <v>9740</v>
      </c>
      <c r="Q1450" s="13" t="s">
        <v>172</v>
      </c>
      <c r="R1450" s="13" t="s">
        <v>9741</v>
      </c>
      <c r="S1450" s="13" t="s">
        <v>560</v>
      </c>
      <c r="T1450" s="13" t="s">
        <v>561</v>
      </c>
      <c r="U1450" s="13" t="s">
        <v>525</v>
      </c>
      <c r="V1450" s="47">
        <f>SUMIF(Data!$E:$E,$I1450,Data!$AI:$AI)</f>
        <v>0</v>
      </c>
    </row>
    <row r="1451" spans="1:22" x14ac:dyDescent="0.25">
      <c r="A1451" s="46" t="s">
        <v>9543</v>
      </c>
      <c r="B1451" s="46" t="s">
        <v>120</v>
      </c>
      <c r="C1451" s="46" t="s">
        <v>5535</v>
      </c>
      <c r="D1451" s="46">
        <v>0.12941375776106601</v>
      </c>
      <c r="E1451" s="47">
        <f>SUMIF(Data!$E:$E,$C1451,Data!$AI:$AI)</f>
        <v>0</v>
      </c>
      <c r="I1451" s="13">
        <v>6471</v>
      </c>
      <c r="J1451" s="13" t="s">
        <v>9742</v>
      </c>
      <c r="K1451" s="13" t="s">
        <v>137</v>
      </c>
      <c r="L1451" s="13" t="s">
        <v>8066</v>
      </c>
      <c r="M1451" s="13" t="s">
        <v>9743</v>
      </c>
      <c r="N1451" s="13">
        <v>209.6</v>
      </c>
      <c r="O1451" s="13" t="s">
        <v>9744</v>
      </c>
      <c r="P1451" s="13" t="s">
        <v>9745</v>
      </c>
      <c r="Q1451" s="13" t="s">
        <v>416</v>
      </c>
      <c r="R1451" s="13" t="s">
        <v>9746</v>
      </c>
      <c r="S1451" s="13" t="s">
        <v>441</v>
      </c>
      <c r="T1451" s="13" t="s">
        <v>442</v>
      </c>
      <c r="U1451" s="13" t="s">
        <v>443</v>
      </c>
      <c r="V1451" s="47">
        <f>SUMIF(Data!$E:$E,$I1451,Data!$AI:$AI)</f>
        <v>0</v>
      </c>
    </row>
    <row r="1452" spans="1:22" x14ac:dyDescent="0.25">
      <c r="A1452" s="46" t="s">
        <v>9543</v>
      </c>
      <c r="B1452" s="46" t="s">
        <v>120</v>
      </c>
      <c r="C1452" s="46" t="s">
        <v>4845</v>
      </c>
      <c r="D1452" s="46">
        <v>1.75179952577316</v>
      </c>
      <c r="E1452" s="47">
        <f>SUMIF(Data!$E:$E,$C1452,Data!$AI:$AI)</f>
        <v>0</v>
      </c>
      <c r="I1452" s="13">
        <v>9706</v>
      </c>
      <c r="J1452" s="13" t="s">
        <v>9747</v>
      </c>
      <c r="K1452" s="13" t="s">
        <v>137</v>
      </c>
      <c r="L1452" s="13" t="s">
        <v>8066</v>
      </c>
      <c r="M1452" s="13" t="s">
        <v>1883</v>
      </c>
      <c r="N1452" s="13">
        <v>36.1</v>
      </c>
      <c r="O1452" s="13" t="s">
        <v>9748</v>
      </c>
      <c r="P1452" s="13" t="s">
        <v>9749</v>
      </c>
      <c r="Q1452" s="13" t="s">
        <v>416</v>
      </c>
      <c r="R1452" s="13" t="s">
        <v>9750</v>
      </c>
      <c r="S1452" s="13" t="s">
        <v>441</v>
      </c>
      <c r="T1452" s="13" t="s">
        <v>442</v>
      </c>
      <c r="U1452" s="13" t="s">
        <v>443</v>
      </c>
      <c r="V1452" s="47">
        <f>SUMIF(Data!$E:$E,$I1452,Data!$AI:$AI)</f>
        <v>0</v>
      </c>
    </row>
    <row r="1453" spans="1:22" x14ac:dyDescent="0.25">
      <c r="A1453" s="46" t="s">
        <v>9543</v>
      </c>
      <c r="B1453" s="46" t="s">
        <v>120</v>
      </c>
      <c r="C1453" s="46" t="s">
        <v>5150</v>
      </c>
      <c r="D1453" s="46">
        <v>0.188035033420304</v>
      </c>
      <c r="E1453" s="47">
        <f>SUMIF(Data!$E:$E,$C1453,Data!$AI:$AI)</f>
        <v>0</v>
      </c>
      <c r="I1453" s="13" t="s">
        <v>9751</v>
      </c>
      <c r="J1453" s="13" t="s">
        <v>9752</v>
      </c>
      <c r="K1453" s="13" t="s">
        <v>137</v>
      </c>
      <c r="L1453" s="13" t="s">
        <v>8066</v>
      </c>
      <c r="M1453" s="13" t="s">
        <v>9753</v>
      </c>
      <c r="N1453" s="13">
        <v>582.23599999999999</v>
      </c>
      <c r="O1453" s="13" t="s">
        <v>9754</v>
      </c>
      <c r="P1453" s="13" t="s">
        <v>9755</v>
      </c>
      <c r="Q1453" s="13" t="s">
        <v>694</v>
      </c>
      <c r="R1453" s="13" t="s">
        <v>9756</v>
      </c>
      <c r="S1453" s="13" t="s">
        <v>7564</v>
      </c>
      <c r="T1453" s="13" t="s">
        <v>7565</v>
      </c>
      <c r="U1453" s="13" t="s">
        <v>7566</v>
      </c>
      <c r="V1453" s="47">
        <f>SUMIF(Data!$E:$E,$I1453,Data!$AI:$AI)</f>
        <v>0</v>
      </c>
    </row>
    <row r="1454" spans="1:22" x14ac:dyDescent="0.25">
      <c r="A1454" s="46" t="s">
        <v>9543</v>
      </c>
      <c r="B1454" s="46" t="s">
        <v>120</v>
      </c>
      <c r="C1454" s="46" t="s">
        <v>4852</v>
      </c>
      <c r="D1454" s="46">
        <v>23.7082622310235</v>
      </c>
      <c r="E1454" s="47">
        <f>SUMIF(Data!$E:$E,$C1454,Data!$AI:$AI)</f>
        <v>0</v>
      </c>
      <c r="I1454" s="13">
        <v>7747</v>
      </c>
      <c r="J1454" s="13" t="s">
        <v>9757</v>
      </c>
      <c r="K1454" s="13" t="s">
        <v>137</v>
      </c>
      <c r="L1454" s="13" t="s">
        <v>8066</v>
      </c>
      <c r="M1454" s="13" t="s">
        <v>9758</v>
      </c>
      <c r="N1454" s="13">
        <v>65.8</v>
      </c>
      <c r="O1454" s="13" t="s">
        <v>9759</v>
      </c>
      <c r="P1454" s="13" t="s">
        <v>9760</v>
      </c>
      <c r="Q1454" s="13" t="s">
        <v>208</v>
      </c>
      <c r="R1454" s="13" t="s">
        <v>9761</v>
      </c>
      <c r="S1454" s="13" t="s">
        <v>441</v>
      </c>
      <c r="T1454" s="13" t="s">
        <v>442</v>
      </c>
      <c r="U1454" s="13" t="s">
        <v>443</v>
      </c>
      <c r="V1454" s="47">
        <f>SUMIF(Data!$E:$E,$I1454,Data!$AI:$AI)</f>
        <v>0</v>
      </c>
    </row>
    <row r="1455" spans="1:22" x14ac:dyDescent="0.25">
      <c r="A1455" s="46" t="s">
        <v>9543</v>
      </c>
      <c r="B1455" s="46" t="s">
        <v>120</v>
      </c>
      <c r="C1455" s="46" t="s">
        <v>4859</v>
      </c>
      <c r="D1455" s="46">
        <v>0.70901723950546003</v>
      </c>
      <c r="E1455" s="47">
        <f>SUMIF(Data!$E:$E,$C1455,Data!$AI:$AI)</f>
        <v>0</v>
      </c>
      <c r="I1455" s="13" t="s">
        <v>9762</v>
      </c>
      <c r="J1455" s="13" t="s">
        <v>9763</v>
      </c>
      <c r="K1455" s="13" t="s">
        <v>137</v>
      </c>
      <c r="L1455" s="13" t="s">
        <v>8066</v>
      </c>
      <c r="M1455" s="13" t="s">
        <v>9764</v>
      </c>
      <c r="N1455" s="13">
        <v>12.186</v>
      </c>
      <c r="O1455" s="13" t="s">
        <v>9765</v>
      </c>
      <c r="P1455" s="13" t="s">
        <v>9766</v>
      </c>
      <c r="Q1455" s="13" t="s">
        <v>416</v>
      </c>
      <c r="R1455" s="13" t="s">
        <v>9767</v>
      </c>
      <c r="S1455" s="13" t="s">
        <v>5736</v>
      </c>
      <c r="T1455" s="13" t="s">
        <v>4831</v>
      </c>
      <c r="U1455" s="13" t="s">
        <v>5737</v>
      </c>
      <c r="V1455" s="47">
        <f>SUMIF(Data!$E:$E,$I1455,Data!$AI:$AI)</f>
        <v>0</v>
      </c>
    </row>
    <row r="1456" spans="1:22" x14ac:dyDescent="0.25">
      <c r="A1456" s="46" t="s">
        <v>9543</v>
      </c>
      <c r="B1456" s="46" t="s">
        <v>120</v>
      </c>
      <c r="C1456" s="46" t="s">
        <v>5163</v>
      </c>
      <c r="D1456" s="46">
        <v>6.1793903274180002E-2</v>
      </c>
      <c r="E1456" s="47">
        <f>SUMIF(Data!$E:$E,$C1456,Data!$AI:$AI)</f>
        <v>0</v>
      </c>
      <c r="I1456" s="13">
        <v>3092</v>
      </c>
      <c r="J1456" s="13" t="s">
        <v>9768</v>
      </c>
      <c r="K1456" s="13" t="s">
        <v>137</v>
      </c>
      <c r="L1456" s="13" t="s">
        <v>8066</v>
      </c>
      <c r="M1456" s="13" t="s">
        <v>9769</v>
      </c>
      <c r="N1456" s="13">
        <v>103.1</v>
      </c>
      <c r="O1456" s="13" t="s">
        <v>9770</v>
      </c>
      <c r="P1456" s="13" t="s">
        <v>9771</v>
      </c>
      <c r="Q1456" s="13" t="s">
        <v>162</v>
      </c>
      <c r="R1456" s="13" t="s">
        <v>9772</v>
      </c>
      <c r="S1456" s="13" t="s">
        <v>441</v>
      </c>
      <c r="T1456" s="13" t="s">
        <v>442</v>
      </c>
      <c r="U1456" s="13" t="s">
        <v>443</v>
      </c>
      <c r="V1456" s="47">
        <f>SUMIF(Data!$E:$E,$I1456,Data!$AI:$AI)</f>
        <v>0</v>
      </c>
    </row>
    <row r="1457" spans="1:22" x14ac:dyDescent="0.25">
      <c r="A1457" s="46" t="s">
        <v>9543</v>
      </c>
      <c r="B1457" s="46" t="s">
        <v>120</v>
      </c>
      <c r="C1457" s="46" t="s">
        <v>5542</v>
      </c>
      <c r="D1457" s="46">
        <v>6.5975895020955994E-2</v>
      </c>
      <c r="E1457" s="47">
        <f>SUMIF(Data!$E:$E,$C1457,Data!$AI:$AI)</f>
        <v>0</v>
      </c>
      <c r="I1457" s="13" t="s">
        <v>2930</v>
      </c>
      <c r="J1457" s="13" t="s">
        <v>9773</v>
      </c>
      <c r="K1457" s="13" t="s">
        <v>137</v>
      </c>
      <c r="L1457" s="13" t="s">
        <v>8066</v>
      </c>
      <c r="M1457" s="13" t="s">
        <v>9774</v>
      </c>
      <c r="N1457" s="13">
        <v>121.05200000000001</v>
      </c>
      <c r="O1457" s="13" t="s">
        <v>9775</v>
      </c>
      <c r="P1457" s="13" t="s">
        <v>9776</v>
      </c>
      <c r="Q1457" s="13" t="s">
        <v>416</v>
      </c>
      <c r="R1457" s="13" t="s">
        <v>9777</v>
      </c>
      <c r="S1457" s="13" t="s">
        <v>847</v>
      </c>
      <c r="T1457" s="13" t="s">
        <v>848</v>
      </c>
      <c r="U1457" s="13" t="s">
        <v>849</v>
      </c>
      <c r="V1457" s="47">
        <f>SUMIF(Data!$E:$E,$I1457,Data!$AI:$AI)</f>
        <v>0</v>
      </c>
    </row>
    <row r="1458" spans="1:22" x14ac:dyDescent="0.25">
      <c r="A1458" s="46" t="s">
        <v>9543</v>
      </c>
      <c r="B1458" s="46" t="s">
        <v>120</v>
      </c>
      <c r="C1458" s="46" t="s">
        <v>1852</v>
      </c>
      <c r="D1458" s="46">
        <v>7.3653825520681004E-2</v>
      </c>
      <c r="E1458" s="47">
        <f>SUMIF(Data!$E:$E,$C1458,Data!$AI:$AI)</f>
        <v>0</v>
      </c>
      <c r="I1458" s="13" t="s">
        <v>9778</v>
      </c>
      <c r="J1458" s="13" t="s">
        <v>9779</v>
      </c>
      <c r="K1458" s="13" t="s">
        <v>137</v>
      </c>
      <c r="L1458" s="13" t="s">
        <v>8066</v>
      </c>
      <c r="M1458" s="13" t="s">
        <v>9780</v>
      </c>
      <c r="N1458" s="13">
        <v>133.49600000000001</v>
      </c>
      <c r="O1458" s="13" t="s">
        <v>9781</v>
      </c>
      <c r="P1458" s="13" t="s">
        <v>9782</v>
      </c>
      <c r="Q1458" s="13" t="s">
        <v>694</v>
      </c>
      <c r="R1458" s="13" t="s">
        <v>9783</v>
      </c>
      <c r="S1458" s="13" t="s">
        <v>725</v>
      </c>
      <c r="T1458" s="13" t="s">
        <v>726</v>
      </c>
      <c r="U1458" s="13" t="s">
        <v>727</v>
      </c>
      <c r="V1458" s="47">
        <f>SUMIF(Data!$E:$E,$I1458,Data!$AI:$AI)</f>
        <v>0</v>
      </c>
    </row>
    <row r="1459" spans="1:22" x14ac:dyDescent="0.25">
      <c r="A1459" s="46" t="s">
        <v>9543</v>
      </c>
      <c r="B1459" s="46" t="s">
        <v>120</v>
      </c>
      <c r="C1459" s="46" t="s">
        <v>5170</v>
      </c>
      <c r="D1459" s="46">
        <v>0.455047836398767</v>
      </c>
      <c r="E1459" s="47">
        <f>SUMIF(Data!$E:$E,$C1459,Data!$AI:$AI)</f>
        <v>0</v>
      </c>
      <c r="I1459" s="13">
        <v>9062</v>
      </c>
      <c r="J1459" s="13" t="s">
        <v>9784</v>
      </c>
      <c r="K1459" s="13" t="s">
        <v>137</v>
      </c>
      <c r="L1459" s="13" t="s">
        <v>8066</v>
      </c>
      <c r="M1459" s="13" t="s">
        <v>9785</v>
      </c>
      <c r="N1459" s="13">
        <v>32.860999999999997</v>
      </c>
      <c r="O1459" s="13" t="s">
        <v>9786</v>
      </c>
      <c r="P1459" s="13" t="s">
        <v>9787</v>
      </c>
      <c r="Q1459" s="13" t="s">
        <v>416</v>
      </c>
      <c r="R1459" s="13" t="s">
        <v>9788</v>
      </c>
      <c r="S1459" s="13" t="s">
        <v>441</v>
      </c>
      <c r="T1459" s="13" t="s">
        <v>442</v>
      </c>
      <c r="U1459" s="13" t="s">
        <v>443</v>
      </c>
      <c r="V1459" s="47">
        <f>SUMIF(Data!$E:$E,$I1459,Data!$AI:$AI)</f>
        <v>0</v>
      </c>
    </row>
    <row r="1460" spans="1:22" x14ac:dyDescent="0.25">
      <c r="A1460" s="46" t="s">
        <v>9543</v>
      </c>
      <c r="B1460" s="46" t="s">
        <v>120</v>
      </c>
      <c r="C1460" s="46" t="s">
        <v>5560</v>
      </c>
      <c r="D1460" s="46">
        <v>0.16972846809179001</v>
      </c>
      <c r="E1460" s="47">
        <f>SUMIF(Data!$E:$E,$C1460,Data!$AI:$AI)</f>
        <v>0</v>
      </c>
      <c r="I1460" s="13">
        <v>9006</v>
      </c>
      <c r="J1460" s="13" t="s">
        <v>9789</v>
      </c>
      <c r="K1460" s="13" t="s">
        <v>137</v>
      </c>
      <c r="L1460" s="13" t="s">
        <v>8066</v>
      </c>
      <c r="M1460" s="13" t="s">
        <v>9790</v>
      </c>
      <c r="N1460" s="13">
        <v>99.3</v>
      </c>
      <c r="O1460" s="13" t="s">
        <v>9791</v>
      </c>
      <c r="P1460" s="13" t="s">
        <v>9792</v>
      </c>
      <c r="Q1460" s="13" t="s">
        <v>416</v>
      </c>
      <c r="R1460" s="13" t="s">
        <v>9793</v>
      </c>
      <c r="S1460" s="13" t="s">
        <v>441</v>
      </c>
      <c r="T1460" s="13" t="s">
        <v>442</v>
      </c>
      <c r="U1460" s="13" t="s">
        <v>443</v>
      </c>
      <c r="V1460" s="47">
        <f>SUMIF(Data!$E:$E,$I1460,Data!$AI:$AI)</f>
        <v>0</v>
      </c>
    </row>
    <row r="1461" spans="1:22" x14ac:dyDescent="0.25">
      <c r="A1461" s="46" t="s">
        <v>9543</v>
      </c>
      <c r="B1461" s="46" t="s">
        <v>120</v>
      </c>
      <c r="C1461" s="46" t="s">
        <v>6756</v>
      </c>
      <c r="D1461" s="46">
        <v>0.696908289347131</v>
      </c>
      <c r="E1461" s="47">
        <f>SUMIF(Data!$E:$E,$C1461,Data!$AI:$AI)</f>
        <v>0</v>
      </c>
      <c r="I1461" s="13">
        <v>9831</v>
      </c>
      <c r="J1461" s="13" t="s">
        <v>9794</v>
      </c>
      <c r="K1461" s="13" t="s">
        <v>137</v>
      </c>
      <c r="L1461" s="13" t="s">
        <v>8066</v>
      </c>
      <c r="M1461" s="13" t="s">
        <v>9795</v>
      </c>
      <c r="N1461" s="13">
        <v>365</v>
      </c>
      <c r="O1461" s="13" t="s">
        <v>9796</v>
      </c>
      <c r="P1461" s="13" t="s">
        <v>9797</v>
      </c>
      <c r="Q1461" s="13" t="s">
        <v>162</v>
      </c>
      <c r="R1461" s="13" t="s">
        <v>9798</v>
      </c>
      <c r="S1461" s="13" t="s">
        <v>441</v>
      </c>
      <c r="T1461" s="13" t="s">
        <v>442</v>
      </c>
      <c r="U1461" s="13" t="s">
        <v>443</v>
      </c>
      <c r="V1461" s="47">
        <f>SUMIF(Data!$E:$E,$I1461,Data!$AI:$AI)</f>
        <v>0</v>
      </c>
    </row>
    <row r="1462" spans="1:22" x14ac:dyDescent="0.25">
      <c r="A1462" s="46" t="s">
        <v>9543</v>
      </c>
      <c r="B1462" s="46" t="s">
        <v>120</v>
      </c>
      <c r="C1462" s="46" t="s">
        <v>5567</v>
      </c>
      <c r="D1462" s="46">
        <v>5.7808263123217997E-2</v>
      </c>
      <c r="E1462" s="47">
        <f>SUMIF(Data!$E:$E,$C1462,Data!$AI:$AI)</f>
        <v>0</v>
      </c>
      <c r="I1462" s="13" t="s">
        <v>9799</v>
      </c>
      <c r="J1462" s="13" t="s">
        <v>9800</v>
      </c>
      <c r="K1462" s="13" t="s">
        <v>137</v>
      </c>
      <c r="L1462" s="13" t="s">
        <v>8066</v>
      </c>
      <c r="M1462" s="13" t="s">
        <v>9801</v>
      </c>
      <c r="N1462" s="13">
        <v>23.646000000000001</v>
      </c>
      <c r="O1462" s="13" t="s">
        <v>9802</v>
      </c>
      <c r="P1462" s="13" t="s">
        <v>9803</v>
      </c>
      <c r="Q1462" s="13" t="s">
        <v>416</v>
      </c>
      <c r="R1462" s="13" t="s">
        <v>9804</v>
      </c>
      <c r="S1462" s="13" t="s">
        <v>523</v>
      </c>
      <c r="T1462" s="13" t="s">
        <v>524</v>
      </c>
      <c r="U1462" s="13" t="s">
        <v>525</v>
      </c>
      <c r="V1462" s="47">
        <f>SUMIF(Data!$E:$E,$I1462,Data!$AI:$AI)</f>
        <v>0</v>
      </c>
    </row>
    <row r="1463" spans="1:22" x14ac:dyDescent="0.25">
      <c r="A1463" s="46" t="s">
        <v>9543</v>
      </c>
      <c r="B1463" s="46" t="s">
        <v>120</v>
      </c>
      <c r="C1463" s="46" t="s">
        <v>3157</v>
      </c>
      <c r="D1463" s="46">
        <v>1.0190743973216501</v>
      </c>
      <c r="E1463" s="47">
        <f>SUMIF(Data!$E:$E,$C1463,Data!$AI:$AI)</f>
        <v>0</v>
      </c>
      <c r="I1463" s="13" t="s">
        <v>7075</v>
      </c>
      <c r="J1463" s="13" t="s">
        <v>9805</v>
      </c>
      <c r="K1463" s="13" t="s">
        <v>137</v>
      </c>
      <c r="L1463" s="13" t="s">
        <v>8066</v>
      </c>
      <c r="M1463" s="13" t="s">
        <v>3574</v>
      </c>
      <c r="N1463" s="13">
        <v>52.265000000000001</v>
      </c>
      <c r="O1463" s="13" t="s">
        <v>9806</v>
      </c>
      <c r="P1463" s="13" t="s">
        <v>9807</v>
      </c>
      <c r="Q1463" s="13" t="s">
        <v>260</v>
      </c>
      <c r="R1463" s="13" t="s">
        <v>9808</v>
      </c>
      <c r="S1463" s="13" t="s">
        <v>725</v>
      </c>
      <c r="T1463" s="13" t="s">
        <v>726</v>
      </c>
      <c r="U1463" s="13" t="s">
        <v>727</v>
      </c>
      <c r="V1463" s="47">
        <f>SUMIF(Data!$E:$E,$I1463,Data!$AI:$AI)</f>
        <v>0</v>
      </c>
    </row>
    <row r="1464" spans="1:22" x14ac:dyDescent="0.25">
      <c r="A1464" s="46" t="s">
        <v>9543</v>
      </c>
      <c r="B1464" s="46" t="s">
        <v>120</v>
      </c>
      <c r="C1464" s="46" t="s">
        <v>4870</v>
      </c>
      <c r="D1464" s="46">
        <v>1.9564216599734801</v>
      </c>
      <c r="E1464" s="47">
        <f>SUMIF(Data!$E:$E,$C1464,Data!$AI:$AI)</f>
        <v>0</v>
      </c>
      <c r="I1464" s="13">
        <v>9202</v>
      </c>
      <c r="J1464" s="13" t="s">
        <v>9809</v>
      </c>
      <c r="K1464" s="13" t="s">
        <v>137</v>
      </c>
      <c r="L1464" s="13" t="s">
        <v>8066</v>
      </c>
      <c r="M1464" s="13" t="s">
        <v>9810</v>
      </c>
      <c r="N1464" s="13">
        <v>57.987000000000002</v>
      </c>
      <c r="O1464" s="13" t="s">
        <v>9811</v>
      </c>
      <c r="P1464" s="13" t="s">
        <v>9812</v>
      </c>
      <c r="Q1464" s="13" t="s">
        <v>416</v>
      </c>
      <c r="R1464" s="13" t="s">
        <v>9813</v>
      </c>
      <c r="S1464" s="13" t="s">
        <v>441</v>
      </c>
      <c r="T1464" s="13" t="s">
        <v>442</v>
      </c>
      <c r="U1464" s="13" t="s">
        <v>443</v>
      </c>
      <c r="V1464" s="47">
        <f>SUMIF(Data!$E:$E,$I1464,Data!$AI:$AI)</f>
        <v>0</v>
      </c>
    </row>
    <row r="1465" spans="1:22" x14ac:dyDescent="0.25">
      <c r="A1465" s="46" t="s">
        <v>9543</v>
      </c>
      <c r="B1465" s="46" t="s">
        <v>120</v>
      </c>
      <c r="C1465" s="46" t="s">
        <v>3164</v>
      </c>
      <c r="D1465" s="46">
        <v>0.289491894600998</v>
      </c>
      <c r="E1465" s="47">
        <f>SUMIF(Data!$E:$E,$C1465,Data!$AI:$AI)</f>
        <v>0</v>
      </c>
      <c r="I1465" s="13" t="s">
        <v>5662</v>
      </c>
      <c r="J1465" s="13" t="s">
        <v>9814</v>
      </c>
      <c r="K1465" s="13" t="s">
        <v>137</v>
      </c>
      <c r="L1465" s="13" t="s">
        <v>8066</v>
      </c>
      <c r="M1465" s="13" t="s">
        <v>9815</v>
      </c>
      <c r="N1465" s="13">
        <v>56.848999999999997</v>
      </c>
      <c r="O1465" s="13" t="s">
        <v>9816</v>
      </c>
      <c r="P1465" s="13" t="s">
        <v>9817</v>
      </c>
      <c r="Q1465" s="13" t="s">
        <v>260</v>
      </c>
      <c r="R1465" s="13" t="s">
        <v>9818</v>
      </c>
      <c r="S1465" s="13" t="s">
        <v>192</v>
      </c>
      <c r="T1465" s="13" t="s">
        <v>146</v>
      </c>
      <c r="U1465" s="13" t="s">
        <v>110</v>
      </c>
      <c r="V1465" s="47">
        <f>SUMIF(Data!$E:$E,$I1465,Data!$AI:$AI)</f>
        <v>0</v>
      </c>
    </row>
    <row r="1466" spans="1:22" x14ac:dyDescent="0.25">
      <c r="A1466" s="46" t="s">
        <v>9543</v>
      </c>
      <c r="B1466" s="46" t="s">
        <v>120</v>
      </c>
      <c r="C1466" s="46" t="s">
        <v>5183</v>
      </c>
      <c r="D1466" s="46">
        <v>0.229947399139173</v>
      </c>
      <c r="E1466" s="47">
        <f>SUMIF(Data!$E:$E,$C1466,Data!$AI:$AI)</f>
        <v>0</v>
      </c>
      <c r="I1466" s="13" t="s">
        <v>9819</v>
      </c>
      <c r="J1466" s="13" t="s">
        <v>9820</v>
      </c>
      <c r="K1466" s="13" t="s">
        <v>137</v>
      </c>
      <c r="L1466" s="13" t="s">
        <v>8066</v>
      </c>
      <c r="M1466" s="13" t="s">
        <v>9821</v>
      </c>
      <c r="N1466" s="13" t="s">
        <v>9822</v>
      </c>
      <c r="O1466" s="13" t="s">
        <v>9823</v>
      </c>
      <c r="P1466" s="13" t="s">
        <v>9824</v>
      </c>
      <c r="Q1466" s="13" t="s">
        <v>172</v>
      </c>
      <c r="R1466" s="13" t="s">
        <v>9825</v>
      </c>
      <c r="S1466" s="13" t="s">
        <v>1127</v>
      </c>
      <c r="T1466" s="13" t="s">
        <v>1128</v>
      </c>
      <c r="U1466" s="13" t="s">
        <v>525</v>
      </c>
      <c r="V1466" s="47">
        <f>SUMIF(Data!$E:$E,$I1466,Data!$AI:$AI)</f>
        <v>0</v>
      </c>
    </row>
    <row r="1467" spans="1:22" x14ac:dyDescent="0.25">
      <c r="A1467" s="46" t="s">
        <v>9543</v>
      </c>
      <c r="B1467" s="46" t="s">
        <v>120</v>
      </c>
      <c r="C1467" s="46" t="s">
        <v>4877</v>
      </c>
      <c r="D1467" s="46">
        <v>0.92228192879150495</v>
      </c>
      <c r="E1467" s="47">
        <f>SUMIF(Data!$E:$E,$C1467,Data!$AI:$AI)</f>
        <v>0</v>
      </c>
      <c r="I1467" s="13" t="s">
        <v>9826</v>
      </c>
      <c r="J1467" s="13" t="s">
        <v>9827</v>
      </c>
      <c r="K1467" s="13" t="s">
        <v>137</v>
      </c>
      <c r="L1467" s="13" t="s">
        <v>8066</v>
      </c>
      <c r="M1467" s="13" t="s">
        <v>9828</v>
      </c>
      <c r="N1467" s="13">
        <v>170.78399999999999</v>
      </c>
      <c r="O1467" s="13" t="s">
        <v>9829</v>
      </c>
      <c r="P1467" s="13" t="s">
        <v>9830</v>
      </c>
      <c r="Q1467" s="13" t="s">
        <v>260</v>
      </c>
      <c r="R1467" s="13" t="s">
        <v>9831</v>
      </c>
      <c r="S1467" s="13" t="s">
        <v>847</v>
      </c>
      <c r="T1467" s="13" t="s">
        <v>848</v>
      </c>
      <c r="U1467" s="13" t="s">
        <v>849</v>
      </c>
      <c r="V1467" s="47">
        <f>SUMIF(Data!$E:$E,$I1467,Data!$AI:$AI)</f>
        <v>0</v>
      </c>
    </row>
    <row r="1468" spans="1:22" x14ac:dyDescent="0.25">
      <c r="A1468" s="46" t="s">
        <v>9543</v>
      </c>
      <c r="B1468" s="46" t="s">
        <v>120</v>
      </c>
      <c r="C1468" s="46" t="s">
        <v>5189</v>
      </c>
      <c r="D1468" s="46">
        <v>0.19819828018723901</v>
      </c>
      <c r="E1468" s="47">
        <f>SUMIF(Data!$E:$E,$C1468,Data!$AI:$AI)</f>
        <v>0</v>
      </c>
      <c r="I1468" s="13">
        <v>3099</v>
      </c>
      <c r="J1468" s="13" t="s">
        <v>9832</v>
      </c>
      <c r="K1468" s="13" t="s">
        <v>137</v>
      </c>
      <c r="L1468" s="13" t="s">
        <v>8066</v>
      </c>
      <c r="M1468" s="13" t="s">
        <v>9833</v>
      </c>
      <c r="N1468" s="13">
        <v>206.4</v>
      </c>
      <c r="O1468" s="13" t="s">
        <v>9834</v>
      </c>
      <c r="P1468" s="13" t="s">
        <v>9835</v>
      </c>
      <c r="Q1468" s="13" t="s">
        <v>162</v>
      </c>
      <c r="R1468" s="13" t="s">
        <v>9836</v>
      </c>
      <c r="S1468" s="13" t="s">
        <v>441</v>
      </c>
      <c r="T1468" s="13" t="s">
        <v>442</v>
      </c>
      <c r="U1468" s="13" t="s">
        <v>443</v>
      </c>
      <c r="V1468" s="47">
        <f>SUMIF(Data!$E:$E,$I1468,Data!$AI:$AI)</f>
        <v>0</v>
      </c>
    </row>
    <row r="1469" spans="1:22" x14ac:dyDescent="0.25">
      <c r="A1469" s="46" t="s">
        <v>9543</v>
      </c>
      <c r="B1469" s="46" t="s">
        <v>120</v>
      </c>
      <c r="C1469" s="46" t="s">
        <v>4890</v>
      </c>
      <c r="D1469" s="46">
        <v>4.1517954916139601</v>
      </c>
      <c r="E1469" s="47">
        <f>SUMIF(Data!$E:$E,$C1469,Data!$AI:$AI)</f>
        <v>0</v>
      </c>
      <c r="I1469" s="13" t="s">
        <v>9837</v>
      </c>
      <c r="J1469" s="13" t="s">
        <v>9838</v>
      </c>
      <c r="K1469" s="13" t="s">
        <v>137</v>
      </c>
      <c r="L1469" s="13" t="s">
        <v>8066</v>
      </c>
      <c r="M1469" s="13" t="s">
        <v>9839</v>
      </c>
      <c r="N1469" s="13">
        <v>95.444000000000003</v>
      </c>
      <c r="O1469" s="13" t="s">
        <v>9840</v>
      </c>
      <c r="P1469" s="13" t="s">
        <v>9841</v>
      </c>
      <c r="Q1469" s="13" t="s">
        <v>172</v>
      </c>
      <c r="R1469" s="13" t="s">
        <v>9842</v>
      </c>
      <c r="S1469" s="13" t="s">
        <v>192</v>
      </c>
      <c r="T1469" s="13" t="s">
        <v>146</v>
      </c>
      <c r="U1469" s="13" t="s">
        <v>110</v>
      </c>
      <c r="V1469" s="47">
        <f>SUMIF(Data!$E:$E,$I1469,Data!$AI:$AI)</f>
        <v>0</v>
      </c>
    </row>
    <row r="1470" spans="1:22" x14ac:dyDescent="0.25">
      <c r="A1470" s="46" t="s">
        <v>9543</v>
      </c>
      <c r="B1470" s="46" t="s">
        <v>120</v>
      </c>
      <c r="C1470" s="46" t="s">
        <v>4897</v>
      </c>
      <c r="D1470" s="46">
        <v>1.6701276233386799</v>
      </c>
      <c r="E1470" s="47">
        <f>SUMIF(Data!$E:$E,$C1470,Data!$AI:$AI)</f>
        <v>0</v>
      </c>
      <c r="I1470" s="13" t="s">
        <v>9843</v>
      </c>
      <c r="J1470" s="13" t="s">
        <v>9844</v>
      </c>
      <c r="K1470" s="13" t="s">
        <v>137</v>
      </c>
      <c r="L1470" s="13" t="s">
        <v>8066</v>
      </c>
      <c r="M1470" s="13" t="s">
        <v>9845</v>
      </c>
      <c r="N1470" s="13">
        <v>80.14</v>
      </c>
      <c r="O1470" s="13" t="s">
        <v>9846</v>
      </c>
      <c r="P1470" s="13" t="s">
        <v>9847</v>
      </c>
      <c r="Q1470" s="13" t="s">
        <v>224</v>
      </c>
      <c r="R1470" s="13" t="s">
        <v>9848</v>
      </c>
      <c r="S1470" s="13" t="s">
        <v>725</v>
      </c>
      <c r="T1470" s="13" t="s">
        <v>726</v>
      </c>
      <c r="U1470" s="13" t="s">
        <v>727</v>
      </c>
      <c r="V1470" s="47">
        <f>SUMIF(Data!$E:$E,$I1470,Data!$AI:$AI)</f>
        <v>0</v>
      </c>
    </row>
    <row r="1471" spans="1:22" x14ac:dyDescent="0.25">
      <c r="A1471" s="46" t="s">
        <v>9543</v>
      </c>
      <c r="B1471" s="46" t="s">
        <v>120</v>
      </c>
      <c r="C1471" s="46" t="s">
        <v>4904</v>
      </c>
      <c r="D1471" s="46">
        <v>2.4684878819445601</v>
      </c>
      <c r="E1471" s="47">
        <f>SUMIF(Data!$E:$E,$C1471,Data!$AI:$AI)</f>
        <v>0</v>
      </c>
      <c r="I1471" s="13" t="s">
        <v>9849</v>
      </c>
      <c r="J1471" s="13" t="s">
        <v>9850</v>
      </c>
      <c r="K1471" s="13" t="s">
        <v>137</v>
      </c>
      <c r="L1471" s="13" t="s">
        <v>8066</v>
      </c>
      <c r="M1471" s="13" t="s">
        <v>9851</v>
      </c>
      <c r="N1471" s="13">
        <v>41.890999999999998</v>
      </c>
      <c r="O1471" s="13" t="s">
        <v>9852</v>
      </c>
      <c r="P1471" s="13" t="s">
        <v>9853</v>
      </c>
      <c r="Q1471" s="13" t="s">
        <v>172</v>
      </c>
      <c r="R1471" s="13" t="s">
        <v>9854</v>
      </c>
      <c r="S1471" s="13" t="s">
        <v>1274</v>
      </c>
      <c r="T1471" s="13" t="s">
        <v>1275</v>
      </c>
      <c r="U1471" s="13" t="s">
        <v>525</v>
      </c>
      <c r="V1471" s="47">
        <f>SUMIF(Data!$E:$E,$I1471,Data!$AI:$AI)</f>
        <v>0</v>
      </c>
    </row>
    <row r="1472" spans="1:22" x14ac:dyDescent="0.25">
      <c r="A1472" s="46" t="s">
        <v>9543</v>
      </c>
      <c r="B1472" s="46" t="s">
        <v>120</v>
      </c>
      <c r="C1472" s="46" t="s">
        <v>5196</v>
      </c>
      <c r="D1472" s="46">
        <v>0.245417906308391</v>
      </c>
      <c r="E1472" s="47">
        <f>SUMIF(Data!$E:$E,$C1472,Data!$AI:$AI)</f>
        <v>0</v>
      </c>
      <c r="I1472" s="13" t="s">
        <v>9855</v>
      </c>
      <c r="J1472" s="13" t="s">
        <v>9856</v>
      </c>
      <c r="K1472" s="13" t="s">
        <v>137</v>
      </c>
      <c r="L1472" s="13" t="s">
        <v>8066</v>
      </c>
      <c r="M1472" s="13" t="s">
        <v>9857</v>
      </c>
      <c r="N1472" s="13">
        <v>173.02</v>
      </c>
      <c r="O1472" s="13" t="s">
        <v>9858</v>
      </c>
      <c r="P1472" s="13" t="s">
        <v>9859</v>
      </c>
      <c r="Q1472" s="13" t="s">
        <v>208</v>
      </c>
      <c r="R1472" s="13" t="s">
        <v>9860</v>
      </c>
      <c r="S1472" s="13" t="s">
        <v>7564</v>
      </c>
      <c r="T1472" s="13" t="s">
        <v>7565</v>
      </c>
      <c r="U1472" s="13" t="s">
        <v>7566</v>
      </c>
      <c r="V1472" s="47">
        <f>SUMIF(Data!$E:$E,$I1472,Data!$AI:$AI)</f>
        <v>0</v>
      </c>
    </row>
    <row r="1473" spans="1:22" x14ac:dyDescent="0.25">
      <c r="A1473" s="46" t="s">
        <v>9543</v>
      </c>
      <c r="B1473" s="46" t="s">
        <v>120</v>
      </c>
      <c r="C1473" s="46" t="s">
        <v>1783</v>
      </c>
      <c r="D1473" s="46">
        <v>0.27071710748893701</v>
      </c>
      <c r="E1473" s="47">
        <f>SUMIF(Data!$E:$E,$C1473,Data!$AI:$AI)</f>
        <v>0</v>
      </c>
      <c r="I1473" s="13">
        <v>8355</v>
      </c>
      <c r="J1473" s="13" t="s">
        <v>9861</v>
      </c>
      <c r="K1473" s="13" t="s">
        <v>137</v>
      </c>
      <c r="L1473" s="13" t="s">
        <v>8066</v>
      </c>
      <c r="M1473" s="13" t="s">
        <v>9862</v>
      </c>
      <c r="N1473" s="13">
        <v>254.4</v>
      </c>
      <c r="O1473" s="13" t="s">
        <v>9863</v>
      </c>
      <c r="P1473" s="13" t="s">
        <v>9864</v>
      </c>
      <c r="Q1473" s="13" t="s">
        <v>190</v>
      </c>
      <c r="R1473" s="13" t="s">
        <v>9865</v>
      </c>
      <c r="S1473" s="13" t="s">
        <v>441</v>
      </c>
      <c r="T1473" s="13" t="s">
        <v>442</v>
      </c>
      <c r="U1473" s="13" t="s">
        <v>443</v>
      </c>
      <c r="V1473" s="47">
        <f>SUMIF(Data!$E:$E,$I1473,Data!$AI:$AI)</f>
        <v>0</v>
      </c>
    </row>
    <row r="1474" spans="1:22" x14ac:dyDescent="0.25">
      <c r="A1474" s="46" t="s">
        <v>9543</v>
      </c>
      <c r="B1474" s="46" t="s">
        <v>120</v>
      </c>
      <c r="C1474" s="46" t="s">
        <v>4916</v>
      </c>
      <c r="D1474" s="46">
        <v>0.66152728591509002</v>
      </c>
      <c r="E1474" s="47">
        <f>SUMIF(Data!$E:$E,$C1474,Data!$AI:$AI)</f>
        <v>0</v>
      </c>
      <c r="I1474" s="13" t="s">
        <v>9866</v>
      </c>
      <c r="J1474" s="13" t="s">
        <v>9867</v>
      </c>
      <c r="K1474" s="13" t="s">
        <v>137</v>
      </c>
      <c r="L1474" s="13" t="s">
        <v>8066</v>
      </c>
      <c r="M1474" s="13" t="s">
        <v>9868</v>
      </c>
      <c r="N1474" s="13">
        <v>56.213999999999999</v>
      </c>
      <c r="O1474" s="13" t="s">
        <v>9869</v>
      </c>
      <c r="P1474" s="13" t="s">
        <v>9870</v>
      </c>
      <c r="Q1474" s="13" t="s">
        <v>260</v>
      </c>
      <c r="R1474" s="13" t="s">
        <v>9871</v>
      </c>
      <c r="S1474" s="13" t="s">
        <v>3711</v>
      </c>
      <c r="T1474" s="13" t="s">
        <v>3712</v>
      </c>
      <c r="U1474" s="13" t="s">
        <v>3713</v>
      </c>
      <c r="V1474" s="47">
        <f>SUMIF(Data!$E:$E,$I1474,Data!$AI:$AI)</f>
        <v>0</v>
      </c>
    </row>
    <row r="1475" spans="1:22" x14ac:dyDescent="0.25">
      <c r="A1475" s="46" t="s">
        <v>9543</v>
      </c>
      <c r="B1475" s="46" t="s">
        <v>120</v>
      </c>
      <c r="C1475" s="46" t="s">
        <v>4365</v>
      </c>
      <c r="D1475" s="46">
        <v>0.14715575306721901</v>
      </c>
      <c r="E1475" s="47">
        <f>SUMIF(Data!$E:$E,$C1475,Data!$AI:$AI)</f>
        <v>0</v>
      </c>
      <c r="I1475" s="13">
        <v>3861</v>
      </c>
      <c r="J1475" s="13" t="s">
        <v>9872</v>
      </c>
      <c r="K1475" s="13" t="s">
        <v>137</v>
      </c>
      <c r="L1475" s="13" t="s">
        <v>8066</v>
      </c>
      <c r="M1475" s="13" t="s">
        <v>9873</v>
      </c>
      <c r="N1475" s="13">
        <v>340.8</v>
      </c>
      <c r="O1475" s="13" t="s">
        <v>9874</v>
      </c>
      <c r="P1475" s="13" t="s">
        <v>9875</v>
      </c>
      <c r="Q1475" s="13" t="s">
        <v>734</v>
      </c>
      <c r="R1475" s="13" t="s">
        <v>9876</v>
      </c>
      <c r="S1475" s="13" t="s">
        <v>441</v>
      </c>
      <c r="T1475" s="13" t="s">
        <v>442</v>
      </c>
      <c r="U1475" s="13" t="s">
        <v>443</v>
      </c>
      <c r="V1475" s="47">
        <f>SUMIF(Data!$E:$E,$I1475,Data!$AI:$AI)</f>
        <v>0</v>
      </c>
    </row>
    <row r="1476" spans="1:22" x14ac:dyDescent="0.25">
      <c r="A1476" s="46" t="s">
        <v>9543</v>
      </c>
      <c r="B1476" s="46" t="s">
        <v>120</v>
      </c>
      <c r="C1476" s="46" t="s">
        <v>5580</v>
      </c>
      <c r="D1476" s="46">
        <v>3.6090379488602997E-2</v>
      </c>
      <c r="E1476" s="47">
        <f>SUMIF(Data!$E:$E,$C1476,Data!$AI:$AI)</f>
        <v>0</v>
      </c>
      <c r="I1476" s="13">
        <v>8984</v>
      </c>
      <c r="J1476" s="13" t="s">
        <v>9877</v>
      </c>
      <c r="K1476" s="13" t="s">
        <v>137</v>
      </c>
      <c r="L1476" s="13" t="s">
        <v>8066</v>
      </c>
      <c r="M1476" s="13" t="s">
        <v>9878</v>
      </c>
      <c r="N1476" s="13">
        <v>728</v>
      </c>
      <c r="O1476" s="13" t="s">
        <v>9879</v>
      </c>
      <c r="P1476" s="13" t="s">
        <v>9880</v>
      </c>
      <c r="Q1476" s="13" t="s">
        <v>806</v>
      </c>
      <c r="R1476" s="13" t="s">
        <v>9881</v>
      </c>
      <c r="S1476" s="13" t="s">
        <v>441</v>
      </c>
      <c r="T1476" s="13" t="s">
        <v>442</v>
      </c>
      <c r="U1476" s="13" t="s">
        <v>443</v>
      </c>
      <c r="V1476" s="47">
        <f>SUMIF(Data!$E:$E,$I1476,Data!$AI:$AI)</f>
        <v>0</v>
      </c>
    </row>
    <row r="1477" spans="1:22" x14ac:dyDescent="0.25">
      <c r="A1477" s="46" t="s">
        <v>9543</v>
      </c>
      <c r="B1477" s="46" t="s">
        <v>120</v>
      </c>
      <c r="C1477" s="46" t="s">
        <v>4923</v>
      </c>
      <c r="D1477" s="46">
        <v>0.82154156181585003</v>
      </c>
      <c r="E1477" s="47">
        <f>SUMIF(Data!$E:$E,$C1477,Data!$AI:$AI)</f>
        <v>0</v>
      </c>
      <c r="I1477" s="13" t="s">
        <v>9882</v>
      </c>
      <c r="J1477" s="13" t="s">
        <v>9883</v>
      </c>
      <c r="K1477" s="13" t="s">
        <v>137</v>
      </c>
      <c r="L1477" s="13" t="s">
        <v>8066</v>
      </c>
      <c r="M1477" s="13" t="s">
        <v>7673</v>
      </c>
      <c r="N1477" s="13">
        <v>36.668999999999997</v>
      </c>
      <c r="O1477" s="13" t="s">
        <v>9884</v>
      </c>
      <c r="P1477" s="13" t="s">
        <v>9885</v>
      </c>
      <c r="Q1477" s="13" t="s">
        <v>734</v>
      </c>
      <c r="R1477" s="13" t="s">
        <v>9886</v>
      </c>
      <c r="S1477" s="13" t="s">
        <v>523</v>
      </c>
      <c r="T1477" s="13" t="s">
        <v>524</v>
      </c>
      <c r="U1477" s="13" t="s">
        <v>525</v>
      </c>
      <c r="V1477" s="47">
        <f>SUMIF(Data!$E:$E,$I1477,Data!$AI:$AI)</f>
        <v>0</v>
      </c>
    </row>
    <row r="1478" spans="1:22" x14ac:dyDescent="0.25">
      <c r="A1478" s="46" t="s">
        <v>9543</v>
      </c>
      <c r="B1478" s="46" t="s">
        <v>120</v>
      </c>
      <c r="C1478" s="46" t="s">
        <v>5587</v>
      </c>
      <c r="D1478" s="46">
        <v>1.0884470336205E-2</v>
      </c>
      <c r="E1478" s="47">
        <f>SUMIF(Data!$E:$E,$C1478,Data!$AI:$AI)</f>
        <v>0</v>
      </c>
      <c r="I1478" s="13">
        <v>9508</v>
      </c>
      <c r="J1478" s="13" t="s">
        <v>9887</v>
      </c>
      <c r="K1478" s="13" t="s">
        <v>137</v>
      </c>
      <c r="L1478" s="13" t="s">
        <v>8066</v>
      </c>
      <c r="M1478" s="13" t="s">
        <v>8441</v>
      </c>
      <c r="N1478" s="13">
        <v>224.86699999999999</v>
      </c>
      <c r="O1478" s="13" t="s">
        <v>9888</v>
      </c>
      <c r="P1478" s="13" t="s">
        <v>9889</v>
      </c>
      <c r="Q1478" s="13" t="s">
        <v>694</v>
      </c>
      <c r="R1478" s="13" t="s">
        <v>9890</v>
      </c>
      <c r="S1478" s="13" t="s">
        <v>441</v>
      </c>
      <c r="T1478" s="13" t="s">
        <v>442</v>
      </c>
      <c r="U1478" s="13" t="s">
        <v>443</v>
      </c>
      <c r="V1478" s="47">
        <f>SUMIF(Data!$E:$E,$I1478,Data!$AI:$AI)</f>
        <v>0</v>
      </c>
    </row>
    <row r="1479" spans="1:22" x14ac:dyDescent="0.25">
      <c r="A1479" s="46" t="s">
        <v>9543</v>
      </c>
      <c r="B1479" s="46" t="s">
        <v>120</v>
      </c>
      <c r="C1479" s="46" t="s">
        <v>5218</v>
      </c>
      <c r="D1479" s="46">
        <v>0.305917156230752</v>
      </c>
      <c r="E1479" s="47">
        <f>SUMIF(Data!$E:$E,$C1479,Data!$AI:$AI)</f>
        <v>0</v>
      </c>
      <c r="I1479" s="13">
        <v>5101</v>
      </c>
      <c r="J1479" s="13" t="s">
        <v>9891</v>
      </c>
      <c r="K1479" s="13" t="s">
        <v>137</v>
      </c>
      <c r="L1479" s="13" t="s">
        <v>8066</v>
      </c>
      <c r="M1479" s="13" t="s">
        <v>9892</v>
      </c>
      <c r="N1479" s="13">
        <v>96.9</v>
      </c>
      <c r="O1479" s="13" t="s">
        <v>9893</v>
      </c>
      <c r="P1479" s="13" t="s">
        <v>9894</v>
      </c>
      <c r="Q1479" s="13" t="s">
        <v>162</v>
      </c>
      <c r="R1479" s="13" t="s">
        <v>9895</v>
      </c>
      <c r="S1479" s="13" t="s">
        <v>441</v>
      </c>
      <c r="T1479" s="13" t="s">
        <v>442</v>
      </c>
      <c r="U1479" s="13" t="s">
        <v>443</v>
      </c>
      <c r="V1479" s="47">
        <f>SUMIF(Data!$E:$E,$I1479,Data!$AI:$AI)</f>
        <v>0</v>
      </c>
    </row>
    <row r="1480" spans="1:22" x14ac:dyDescent="0.25">
      <c r="A1480" s="46" t="s">
        <v>9543</v>
      </c>
      <c r="B1480" s="46" t="s">
        <v>120</v>
      </c>
      <c r="C1480" s="46" t="s">
        <v>5225</v>
      </c>
      <c r="D1480" s="46">
        <v>0.125619612039642</v>
      </c>
      <c r="E1480" s="47">
        <f>SUMIF(Data!$E:$E,$C1480,Data!$AI:$AI)</f>
        <v>0</v>
      </c>
      <c r="I1480" s="13" t="s">
        <v>9896</v>
      </c>
      <c r="J1480" s="13" t="s">
        <v>9897</v>
      </c>
      <c r="K1480" s="13" t="s">
        <v>137</v>
      </c>
      <c r="L1480" s="13" t="s">
        <v>8066</v>
      </c>
      <c r="M1480" s="13" t="s">
        <v>9898</v>
      </c>
      <c r="N1480" s="13">
        <v>216.804</v>
      </c>
      <c r="O1480" s="13" t="s">
        <v>9899</v>
      </c>
      <c r="P1480" s="13" t="s">
        <v>9900</v>
      </c>
      <c r="Q1480" s="13" t="s">
        <v>806</v>
      </c>
      <c r="R1480" s="13" t="s">
        <v>9901</v>
      </c>
      <c r="S1480" s="13" t="s">
        <v>2365</v>
      </c>
      <c r="T1480" s="13" t="s">
        <v>2366</v>
      </c>
      <c r="U1480" s="13" t="s">
        <v>2367</v>
      </c>
      <c r="V1480" s="47">
        <f>SUMIF(Data!$E:$E,$I1480,Data!$AI:$AI)</f>
        <v>0</v>
      </c>
    </row>
    <row r="1481" spans="1:22" x14ac:dyDescent="0.25">
      <c r="A1481" s="46" t="s">
        <v>9543</v>
      </c>
      <c r="B1481" s="46" t="s">
        <v>120</v>
      </c>
      <c r="C1481" s="46" t="s">
        <v>5595</v>
      </c>
      <c r="D1481" s="46">
        <v>0.101734236335106</v>
      </c>
      <c r="E1481" s="47">
        <f>SUMIF(Data!$E:$E,$C1481,Data!$AI:$AI)</f>
        <v>0</v>
      </c>
      <c r="I1481" s="13" t="s">
        <v>9902</v>
      </c>
      <c r="J1481" s="13" t="s">
        <v>9903</v>
      </c>
      <c r="K1481" s="13" t="s">
        <v>137</v>
      </c>
      <c r="L1481" s="13" t="s">
        <v>8066</v>
      </c>
      <c r="M1481" s="13" t="s">
        <v>9904</v>
      </c>
      <c r="N1481" s="13">
        <v>24.241</v>
      </c>
      <c r="O1481" s="13" t="s">
        <v>9905</v>
      </c>
      <c r="P1481" s="13" t="s">
        <v>9906</v>
      </c>
      <c r="Q1481" s="13" t="s">
        <v>172</v>
      </c>
      <c r="R1481" s="13" t="s">
        <v>9907</v>
      </c>
      <c r="S1481" s="13" t="s">
        <v>847</v>
      </c>
      <c r="T1481" s="13" t="s">
        <v>848</v>
      </c>
      <c r="U1481" s="13" t="s">
        <v>849</v>
      </c>
      <c r="V1481" s="47">
        <f>SUMIF(Data!$E:$E,$I1481,Data!$AI:$AI)</f>
        <v>0</v>
      </c>
    </row>
    <row r="1482" spans="1:22" x14ac:dyDescent="0.25">
      <c r="A1482" s="46" t="s">
        <v>9543</v>
      </c>
      <c r="B1482" s="46" t="s">
        <v>120</v>
      </c>
      <c r="C1482" s="46" t="s">
        <v>3898</v>
      </c>
      <c r="D1482" s="46">
        <v>0.70259346154573699</v>
      </c>
      <c r="E1482" s="47">
        <f>SUMIF(Data!$E:$E,$C1482,Data!$AI:$AI)</f>
        <v>0</v>
      </c>
      <c r="I1482" s="13" t="s">
        <v>9908</v>
      </c>
      <c r="J1482" s="13" t="s">
        <v>9909</v>
      </c>
      <c r="K1482" s="13" t="s">
        <v>137</v>
      </c>
      <c r="L1482" s="13" t="s">
        <v>8066</v>
      </c>
      <c r="M1482" s="13" t="s">
        <v>9910</v>
      </c>
      <c r="N1482" s="13">
        <v>75.409000000000006</v>
      </c>
      <c r="O1482" s="13" t="s">
        <v>9911</v>
      </c>
      <c r="P1482" s="13" t="s">
        <v>9912</v>
      </c>
      <c r="Q1482" s="13" t="s">
        <v>190</v>
      </c>
      <c r="R1482" s="13" t="s">
        <v>9913</v>
      </c>
      <c r="S1482" s="13" t="s">
        <v>2928</v>
      </c>
      <c r="T1482" s="13" t="s">
        <v>2929</v>
      </c>
      <c r="U1482" s="13" t="s">
        <v>2930</v>
      </c>
      <c r="V1482" s="47">
        <f>SUMIF(Data!$E:$E,$I1482,Data!$AI:$AI)</f>
        <v>0</v>
      </c>
    </row>
    <row r="1483" spans="1:22" x14ac:dyDescent="0.25">
      <c r="A1483" s="46" t="s">
        <v>9543</v>
      </c>
      <c r="B1483" s="46" t="s">
        <v>120</v>
      </c>
      <c r="C1483" s="46" t="s">
        <v>5238</v>
      </c>
      <c r="D1483" s="46">
        <v>0.303073265831594</v>
      </c>
      <c r="E1483" s="47">
        <f>SUMIF(Data!$E:$E,$C1483,Data!$AI:$AI)</f>
        <v>0</v>
      </c>
      <c r="I1483" s="13" t="s">
        <v>9914</v>
      </c>
      <c r="J1483" s="13" t="s">
        <v>9915</v>
      </c>
      <c r="K1483" s="13" t="s">
        <v>137</v>
      </c>
      <c r="L1483" s="13" t="s">
        <v>8066</v>
      </c>
      <c r="M1483" s="13" t="s">
        <v>9916</v>
      </c>
      <c r="N1483" s="13">
        <v>94.322000000000003</v>
      </c>
      <c r="O1483" s="13" t="s">
        <v>9917</v>
      </c>
      <c r="P1483" s="13" t="s">
        <v>9918</v>
      </c>
      <c r="Q1483" s="13" t="s">
        <v>416</v>
      </c>
      <c r="R1483" s="13" t="s">
        <v>9919</v>
      </c>
      <c r="S1483" s="13" t="s">
        <v>476</v>
      </c>
      <c r="T1483" s="13" t="s">
        <v>477</v>
      </c>
      <c r="U1483" s="13" t="s">
        <v>478</v>
      </c>
      <c r="V1483" s="47">
        <f>SUMIF(Data!$E:$E,$I1483,Data!$AI:$AI)</f>
        <v>0</v>
      </c>
    </row>
    <row r="1484" spans="1:22" x14ac:dyDescent="0.25">
      <c r="A1484" s="46" t="s">
        <v>9543</v>
      </c>
      <c r="B1484" s="46" t="s">
        <v>120</v>
      </c>
      <c r="C1484" s="46" t="s">
        <v>5602</v>
      </c>
      <c r="D1484" s="46">
        <v>0.15337130234773999</v>
      </c>
      <c r="E1484" s="47">
        <f>SUMIF(Data!$E:$E,$C1484,Data!$AI:$AI)</f>
        <v>0</v>
      </c>
      <c r="I1484" s="13">
        <v>4739</v>
      </c>
      <c r="J1484" s="13" t="s">
        <v>9920</v>
      </c>
      <c r="K1484" s="13" t="s">
        <v>137</v>
      </c>
      <c r="L1484" s="13" t="s">
        <v>8066</v>
      </c>
      <c r="M1484" s="13" t="s">
        <v>9921</v>
      </c>
      <c r="N1484" s="13">
        <v>60.7</v>
      </c>
      <c r="O1484" s="13" t="s">
        <v>9922</v>
      </c>
      <c r="P1484" s="13" t="s">
        <v>9923</v>
      </c>
      <c r="Q1484" s="13" t="s">
        <v>143</v>
      </c>
      <c r="R1484" s="13" t="s">
        <v>9924</v>
      </c>
      <c r="S1484" s="13" t="s">
        <v>441</v>
      </c>
      <c r="T1484" s="13" t="s">
        <v>442</v>
      </c>
      <c r="U1484" s="13" t="s">
        <v>443</v>
      </c>
      <c r="V1484" s="47">
        <f>SUMIF(Data!$E:$E,$I1484,Data!$AI:$AI)</f>
        <v>0</v>
      </c>
    </row>
    <row r="1485" spans="1:22" x14ac:dyDescent="0.25">
      <c r="A1485" s="46" t="s">
        <v>9543</v>
      </c>
      <c r="B1485" s="46" t="s">
        <v>120</v>
      </c>
      <c r="C1485" s="46" t="s">
        <v>4935</v>
      </c>
      <c r="D1485" s="46">
        <v>0.93646067520865095</v>
      </c>
      <c r="E1485" s="47">
        <f>SUMIF(Data!$E:$E,$C1485,Data!$AI:$AI)</f>
        <v>0</v>
      </c>
      <c r="I1485" s="13" t="s">
        <v>9925</v>
      </c>
      <c r="J1485" s="13" t="s">
        <v>9926</v>
      </c>
      <c r="K1485" s="13" t="s">
        <v>137</v>
      </c>
      <c r="L1485" s="13" t="s">
        <v>8066</v>
      </c>
      <c r="M1485" s="13" t="s">
        <v>9927</v>
      </c>
      <c r="N1485" s="13">
        <v>46.951999999999998</v>
      </c>
      <c r="O1485" s="13" t="s">
        <v>9928</v>
      </c>
      <c r="P1485" s="13" t="s">
        <v>9929</v>
      </c>
      <c r="Q1485" s="13" t="s">
        <v>734</v>
      </c>
      <c r="R1485" s="13" t="s">
        <v>9930</v>
      </c>
      <c r="S1485" s="13" t="s">
        <v>725</v>
      </c>
      <c r="T1485" s="13" t="s">
        <v>726</v>
      </c>
      <c r="U1485" s="13" t="s">
        <v>727</v>
      </c>
      <c r="V1485" s="47">
        <f>SUMIF(Data!$E:$E,$I1485,Data!$AI:$AI)</f>
        <v>0</v>
      </c>
    </row>
    <row r="1486" spans="1:22" x14ac:dyDescent="0.25">
      <c r="A1486" s="46" t="s">
        <v>9543</v>
      </c>
      <c r="B1486" s="46" t="s">
        <v>120</v>
      </c>
      <c r="C1486" s="46" t="s">
        <v>5609</v>
      </c>
      <c r="D1486" s="46">
        <v>9.0743590208290995E-2</v>
      </c>
      <c r="E1486" s="47">
        <f>SUMIF(Data!$E:$E,$C1486,Data!$AI:$AI)</f>
        <v>0</v>
      </c>
      <c r="I1486" s="13" t="s">
        <v>9931</v>
      </c>
      <c r="J1486" s="13" t="s">
        <v>9932</v>
      </c>
      <c r="K1486" s="13" t="s">
        <v>137</v>
      </c>
      <c r="L1486" s="13" t="s">
        <v>8066</v>
      </c>
      <c r="M1486" s="13" t="s">
        <v>9933</v>
      </c>
      <c r="N1486" s="13">
        <v>40.460999999999999</v>
      </c>
      <c r="O1486" s="13" t="s">
        <v>9934</v>
      </c>
      <c r="P1486" s="13" t="s">
        <v>9935</v>
      </c>
      <c r="Q1486" s="13" t="s">
        <v>224</v>
      </c>
      <c r="R1486" s="13" t="s">
        <v>9936</v>
      </c>
      <c r="S1486" s="13" t="s">
        <v>2928</v>
      </c>
      <c r="T1486" s="13" t="s">
        <v>2929</v>
      </c>
      <c r="U1486" s="13" t="s">
        <v>2930</v>
      </c>
      <c r="V1486" s="47">
        <f>SUMIF(Data!$E:$E,$I1486,Data!$AI:$AI)</f>
        <v>0</v>
      </c>
    </row>
    <row r="1487" spans="1:22" x14ac:dyDescent="0.25">
      <c r="A1487" s="46" t="s">
        <v>9543</v>
      </c>
      <c r="B1487" s="46" t="s">
        <v>120</v>
      </c>
      <c r="C1487" s="46" t="s">
        <v>5622</v>
      </c>
      <c r="D1487" s="46">
        <v>5.0367353259932003E-2</v>
      </c>
      <c r="E1487" s="47">
        <f>SUMIF(Data!$E:$E,$C1487,Data!$AI:$AI)</f>
        <v>0</v>
      </c>
      <c r="I1487" s="13" t="s">
        <v>9937</v>
      </c>
      <c r="J1487" s="13" t="s">
        <v>9938</v>
      </c>
      <c r="K1487" s="13" t="s">
        <v>137</v>
      </c>
      <c r="L1487" s="13" t="s">
        <v>8066</v>
      </c>
      <c r="M1487" s="13" t="s">
        <v>9939</v>
      </c>
      <c r="N1487" s="13">
        <v>102.5</v>
      </c>
      <c r="O1487" s="13" t="s">
        <v>9940</v>
      </c>
      <c r="P1487" s="13" t="s">
        <v>9941</v>
      </c>
      <c r="Q1487" s="13" t="s">
        <v>416</v>
      </c>
      <c r="R1487" s="13" t="s">
        <v>9942</v>
      </c>
      <c r="S1487" s="13" t="s">
        <v>523</v>
      </c>
      <c r="T1487" s="13" t="s">
        <v>524</v>
      </c>
      <c r="U1487" s="13" t="s">
        <v>525</v>
      </c>
      <c r="V1487" s="47">
        <f>SUMIF(Data!$E:$E,$I1487,Data!$AI:$AI)</f>
        <v>0</v>
      </c>
    </row>
    <row r="1488" spans="1:22" x14ac:dyDescent="0.25">
      <c r="A1488" s="46" t="s">
        <v>9543</v>
      </c>
      <c r="B1488" s="46" t="s">
        <v>120</v>
      </c>
      <c r="C1488" s="46" t="s">
        <v>5629</v>
      </c>
      <c r="D1488" s="46">
        <v>6.0028972855115E-2</v>
      </c>
      <c r="E1488" s="47">
        <f>SUMIF(Data!$E:$E,$C1488,Data!$AI:$AI)</f>
        <v>0</v>
      </c>
      <c r="I1488" s="13">
        <v>3436</v>
      </c>
      <c r="J1488" s="13" t="s">
        <v>9943</v>
      </c>
      <c r="K1488" s="13" t="s">
        <v>137</v>
      </c>
      <c r="L1488" s="13" t="s">
        <v>8066</v>
      </c>
      <c r="M1488" s="13" t="s">
        <v>9944</v>
      </c>
      <c r="N1488" s="13">
        <v>104.8</v>
      </c>
      <c r="O1488" s="13" t="s">
        <v>9945</v>
      </c>
      <c r="P1488" s="13" t="s">
        <v>9946</v>
      </c>
      <c r="Q1488" s="13" t="s">
        <v>143</v>
      </c>
      <c r="R1488" s="13" t="s">
        <v>9947</v>
      </c>
      <c r="S1488" s="13" t="s">
        <v>441</v>
      </c>
      <c r="T1488" s="13" t="s">
        <v>442</v>
      </c>
      <c r="U1488" s="13" t="s">
        <v>443</v>
      </c>
      <c r="V1488" s="47">
        <f>SUMIF(Data!$E:$E,$I1488,Data!$AI:$AI)</f>
        <v>0</v>
      </c>
    </row>
    <row r="1489" spans="1:22" x14ac:dyDescent="0.25">
      <c r="A1489" s="46" t="s">
        <v>9543</v>
      </c>
      <c r="B1489" s="46" t="s">
        <v>120</v>
      </c>
      <c r="C1489" s="46" t="s">
        <v>5245</v>
      </c>
      <c r="D1489" s="46">
        <v>0.12365703768483099</v>
      </c>
      <c r="E1489" s="47">
        <f>SUMIF(Data!$E:$E,$C1489,Data!$AI:$AI)</f>
        <v>0</v>
      </c>
      <c r="I1489" s="13" t="s">
        <v>9948</v>
      </c>
      <c r="J1489" s="13" t="s">
        <v>9949</v>
      </c>
      <c r="K1489" s="13" t="s">
        <v>137</v>
      </c>
      <c r="L1489" s="13" t="s">
        <v>8066</v>
      </c>
      <c r="M1489" s="13" t="s">
        <v>9950</v>
      </c>
      <c r="N1489" s="13">
        <v>588.72400000000005</v>
      </c>
      <c r="O1489" s="13" t="s">
        <v>9951</v>
      </c>
      <c r="P1489" s="13" t="s">
        <v>9952</v>
      </c>
      <c r="Q1489" s="13" t="s">
        <v>162</v>
      </c>
      <c r="R1489" s="13" t="s">
        <v>9953</v>
      </c>
      <c r="S1489" s="13" t="s">
        <v>847</v>
      </c>
      <c r="T1489" s="13" t="s">
        <v>848</v>
      </c>
      <c r="U1489" s="13" t="s">
        <v>849</v>
      </c>
      <c r="V1489" s="47">
        <f>SUMIF(Data!$E:$E,$I1489,Data!$AI:$AI)</f>
        <v>0</v>
      </c>
    </row>
    <row r="1490" spans="1:22" x14ac:dyDescent="0.25">
      <c r="A1490" s="46" t="s">
        <v>9543</v>
      </c>
      <c r="B1490" s="46" t="s">
        <v>120</v>
      </c>
      <c r="C1490" s="46" t="s">
        <v>4006</v>
      </c>
      <c r="D1490" s="46">
        <v>0.239161680473053</v>
      </c>
      <c r="E1490" s="47">
        <f>SUMIF(Data!$E:$E,$C1490,Data!$AI:$AI)</f>
        <v>0</v>
      </c>
      <c r="I1490" s="13">
        <v>7911</v>
      </c>
      <c r="J1490" s="13" t="s">
        <v>9954</v>
      </c>
      <c r="K1490" s="13" t="s">
        <v>137</v>
      </c>
      <c r="L1490" s="13" t="s">
        <v>8066</v>
      </c>
      <c r="M1490" s="13" t="s">
        <v>9955</v>
      </c>
      <c r="N1490" s="13">
        <v>86.91</v>
      </c>
      <c r="O1490" s="13" t="s">
        <v>9956</v>
      </c>
      <c r="P1490" s="13" t="s">
        <v>9957</v>
      </c>
      <c r="Q1490" s="13" t="s">
        <v>416</v>
      </c>
      <c r="R1490" s="13" t="s">
        <v>9958</v>
      </c>
      <c r="S1490" s="13" t="s">
        <v>441</v>
      </c>
      <c r="T1490" s="13" t="s">
        <v>442</v>
      </c>
      <c r="U1490" s="13" t="s">
        <v>443</v>
      </c>
      <c r="V1490" s="47">
        <f>SUMIF(Data!$E:$E,$I1490,Data!$AI:$AI)</f>
        <v>0</v>
      </c>
    </row>
    <row r="1491" spans="1:22" x14ac:dyDescent="0.25">
      <c r="A1491" s="46" t="s">
        <v>9543</v>
      </c>
      <c r="B1491" s="46" t="s">
        <v>120</v>
      </c>
      <c r="C1491" s="46" t="s">
        <v>5636</v>
      </c>
      <c r="D1491" s="46">
        <v>9.1456674731780999E-2</v>
      </c>
      <c r="E1491" s="47">
        <f>SUMIF(Data!$E:$E,$C1491,Data!$AI:$AI)</f>
        <v>0</v>
      </c>
      <c r="I1491" s="13" t="s">
        <v>9959</v>
      </c>
      <c r="J1491" s="13" t="s">
        <v>9960</v>
      </c>
      <c r="K1491" s="13" t="s">
        <v>137</v>
      </c>
      <c r="L1491" s="13" t="s">
        <v>8066</v>
      </c>
      <c r="M1491" s="13" t="s">
        <v>9961</v>
      </c>
      <c r="N1491" s="13">
        <v>86.66</v>
      </c>
      <c r="O1491" s="13" t="s">
        <v>9962</v>
      </c>
      <c r="P1491" s="13" t="s">
        <v>9963</v>
      </c>
      <c r="Q1491" s="13" t="s">
        <v>208</v>
      </c>
      <c r="R1491" s="13" t="s">
        <v>9964</v>
      </c>
      <c r="S1491" s="13" t="s">
        <v>725</v>
      </c>
      <c r="T1491" s="13" t="s">
        <v>726</v>
      </c>
      <c r="U1491" s="13" t="s">
        <v>727</v>
      </c>
      <c r="V1491" s="47">
        <f>SUMIF(Data!$E:$E,$I1491,Data!$AI:$AI)</f>
        <v>0</v>
      </c>
    </row>
    <row r="1492" spans="1:22" x14ac:dyDescent="0.25">
      <c r="A1492" s="46" t="s">
        <v>9543</v>
      </c>
      <c r="B1492" s="46" t="s">
        <v>120</v>
      </c>
      <c r="C1492" s="46" t="s">
        <v>1939</v>
      </c>
      <c r="D1492" s="46">
        <v>10.744658887315801</v>
      </c>
      <c r="E1492" s="47">
        <f>SUMIF(Data!$E:$E,$C1492,Data!$AI:$AI)</f>
        <v>0</v>
      </c>
      <c r="I1492" s="13" t="s">
        <v>9965</v>
      </c>
      <c r="J1492" s="13" t="s">
        <v>9966</v>
      </c>
      <c r="K1492" s="13" t="s">
        <v>137</v>
      </c>
      <c r="L1492" s="13" t="s">
        <v>8066</v>
      </c>
      <c r="M1492" s="13" t="s">
        <v>9967</v>
      </c>
      <c r="N1492" s="13">
        <v>109.99</v>
      </c>
      <c r="O1492" s="13" t="s">
        <v>9968</v>
      </c>
      <c r="P1492" s="13" t="s">
        <v>9969</v>
      </c>
      <c r="Q1492" s="13" t="s">
        <v>806</v>
      </c>
      <c r="R1492" s="13" t="s">
        <v>9970</v>
      </c>
      <c r="S1492" s="13" t="s">
        <v>725</v>
      </c>
      <c r="T1492" s="13" t="s">
        <v>726</v>
      </c>
      <c r="U1492" s="13" t="s">
        <v>727</v>
      </c>
      <c r="V1492" s="47">
        <f>SUMIF(Data!$E:$E,$I1492,Data!$AI:$AI)</f>
        <v>0</v>
      </c>
    </row>
    <row r="1493" spans="1:22" x14ac:dyDescent="0.25">
      <c r="A1493" s="46" t="s">
        <v>9543</v>
      </c>
      <c r="B1493" s="46" t="s">
        <v>120</v>
      </c>
      <c r="C1493" s="46" t="s">
        <v>4948</v>
      </c>
      <c r="D1493" s="46">
        <v>3.1996859786803098</v>
      </c>
      <c r="E1493" s="47">
        <f>SUMIF(Data!$E:$E,$C1493,Data!$AI:$AI)</f>
        <v>0</v>
      </c>
      <c r="I1493" s="13" t="s">
        <v>9971</v>
      </c>
      <c r="J1493" s="13" t="s">
        <v>9972</v>
      </c>
      <c r="K1493" s="13" t="s">
        <v>137</v>
      </c>
      <c r="L1493" s="13" t="s">
        <v>8066</v>
      </c>
      <c r="M1493" s="13" t="s">
        <v>9973</v>
      </c>
      <c r="N1493" s="13">
        <v>4.6840000000000002</v>
      </c>
      <c r="O1493" s="13" t="s">
        <v>9974</v>
      </c>
      <c r="P1493" s="13" t="s">
        <v>9975</v>
      </c>
      <c r="Q1493" s="13" t="s">
        <v>416</v>
      </c>
      <c r="R1493" s="13" t="s">
        <v>9976</v>
      </c>
      <c r="S1493" s="13" t="s">
        <v>145</v>
      </c>
      <c r="T1493" s="13" t="s">
        <v>146</v>
      </c>
      <c r="U1493" s="13" t="s">
        <v>110</v>
      </c>
      <c r="V1493" s="47">
        <f>SUMIF(Data!$E:$E,$I1493,Data!$AI:$AI)</f>
        <v>0</v>
      </c>
    </row>
    <row r="1494" spans="1:22" x14ac:dyDescent="0.25">
      <c r="A1494" s="46" t="s">
        <v>9543</v>
      </c>
      <c r="B1494" s="46" t="s">
        <v>120</v>
      </c>
      <c r="C1494" s="46" t="s">
        <v>1466</v>
      </c>
      <c r="D1494" s="46">
        <v>1.4341372877004801</v>
      </c>
      <c r="E1494" s="47">
        <f>SUMIF(Data!$E:$E,$C1494,Data!$AI:$AI)</f>
        <v>0</v>
      </c>
      <c r="I1494" s="13" t="s">
        <v>9977</v>
      </c>
      <c r="J1494" s="13" t="s">
        <v>9978</v>
      </c>
      <c r="K1494" s="13" t="s">
        <v>137</v>
      </c>
      <c r="L1494" s="13" t="s">
        <v>8066</v>
      </c>
      <c r="M1494" s="13" t="s">
        <v>9979</v>
      </c>
      <c r="N1494" s="13">
        <v>103.76900000000001</v>
      </c>
      <c r="O1494" s="13" t="s">
        <v>9980</v>
      </c>
      <c r="P1494" s="13" t="s">
        <v>9981</v>
      </c>
      <c r="Q1494" s="13" t="s">
        <v>143</v>
      </c>
      <c r="R1494" s="13" t="s">
        <v>9982</v>
      </c>
      <c r="S1494" s="13" t="s">
        <v>847</v>
      </c>
      <c r="T1494" s="13" t="s">
        <v>848</v>
      </c>
      <c r="U1494" s="13" t="s">
        <v>849</v>
      </c>
      <c r="V1494" s="47">
        <f>SUMIF(Data!$E:$E,$I1494,Data!$AI:$AI)</f>
        <v>0</v>
      </c>
    </row>
    <row r="1495" spans="1:22" x14ac:dyDescent="0.25">
      <c r="A1495" s="46" t="s">
        <v>9543</v>
      </c>
      <c r="B1495" s="46" t="s">
        <v>120</v>
      </c>
      <c r="C1495" s="46" t="s">
        <v>5644</v>
      </c>
      <c r="D1495" s="46">
        <v>1.0533521935460999E-2</v>
      </c>
      <c r="E1495" s="47">
        <f>SUMIF(Data!$E:$E,$C1495,Data!$AI:$AI)</f>
        <v>0</v>
      </c>
      <c r="I1495" s="13">
        <v>9024</v>
      </c>
      <c r="J1495" s="13" t="s">
        <v>9983</v>
      </c>
      <c r="K1495" s="13" t="s">
        <v>137</v>
      </c>
      <c r="L1495" s="13" t="s">
        <v>8066</v>
      </c>
      <c r="M1495" s="13" t="s">
        <v>5816</v>
      </c>
      <c r="N1495" s="13">
        <v>105.938</v>
      </c>
      <c r="O1495" s="13" t="s">
        <v>9984</v>
      </c>
      <c r="P1495" s="13" t="s">
        <v>9985</v>
      </c>
      <c r="Q1495" s="13" t="s">
        <v>416</v>
      </c>
      <c r="R1495" s="13" t="s">
        <v>9986</v>
      </c>
      <c r="S1495" s="13" t="s">
        <v>441</v>
      </c>
      <c r="T1495" s="13" t="s">
        <v>442</v>
      </c>
      <c r="U1495" s="13" t="s">
        <v>443</v>
      </c>
      <c r="V1495" s="47">
        <f>SUMIF(Data!$E:$E,$I1495,Data!$AI:$AI)</f>
        <v>0</v>
      </c>
    </row>
    <row r="1496" spans="1:22" x14ac:dyDescent="0.25">
      <c r="A1496" s="46" t="s">
        <v>9543</v>
      </c>
      <c r="B1496" s="46" t="s">
        <v>120</v>
      </c>
      <c r="C1496" s="46" t="s">
        <v>4961</v>
      </c>
      <c r="D1496" s="46">
        <v>0.776700871647522</v>
      </c>
      <c r="E1496" s="47">
        <f>SUMIF(Data!$E:$E,$C1496,Data!$AI:$AI)</f>
        <v>0</v>
      </c>
      <c r="I1496" s="13" t="s">
        <v>9987</v>
      </c>
      <c r="J1496" s="13" t="s">
        <v>9988</v>
      </c>
      <c r="K1496" s="13" t="s">
        <v>137</v>
      </c>
      <c r="L1496" s="13" t="s">
        <v>8066</v>
      </c>
      <c r="M1496" s="13" t="s">
        <v>9989</v>
      </c>
      <c r="N1496" s="13">
        <v>10.673</v>
      </c>
      <c r="O1496" s="13" t="s">
        <v>9990</v>
      </c>
      <c r="P1496" s="13" t="s">
        <v>9991</v>
      </c>
      <c r="Q1496" s="13" t="s">
        <v>190</v>
      </c>
      <c r="R1496" s="13" t="s">
        <v>9992</v>
      </c>
      <c r="S1496" s="13" t="s">
        <v>145</v>
      </c>
      <c r="T1496" s="13" t="s">
        <v>146</v>
      </c>
      <c r="U1496" s="13" t="s">
        <v>110</v>
      </c>
      <c r="V1496" s="47">
        <f>SUMIF(Data!$E:$E,$I1496,Data!$AI:$AI)</f>
        <v>0</v>
      </c>
    </row>
    <row r="1497" spans="1:22" x14ac:dyDescent="0.25">
      <c r="A1497" s="46" t="s">
        <v>9543</v>
      </c>
      <c r="B1497" s="46" t="s">
        <v>120</v>
      </c>
      <c r="C1497" s="46" t="s">
        <v>5268</v>
      </c>
      <c r="D1497" s="46">
        <v>0.11328471428935399</v>
      </c>
      <c r="E1497" s="47">
        <f>SUMIF(Data!$E:$E,$C1497,Data!$AI:$AI)</f>
        <v>0</v>
      </c>
      <c r="I1497" s="13" t="s">
        <v>9993</v>
      </c>
      <c r="J1497" s="13" t="s">
        <v>9994</v>
      </c>
      <c r="K1497" s="13" t="s">
        <v>137</v>
      </c>
      <c r="L1497" s="13" t="s">
        <v>8066</v>
      </c>
      <c r="M1497" s="13" t="s">
        <v>9995</v>
      </c>
      <c r="N1497" s="13">
        <v>58.213000000000001</v>
      </c>
      <c r="O1497" s="13" t="s">
        <v>9996</v>
      </c>
      <c r="P1497" s="13" t="s">
        <v>9997</v>
      </c>
      <c r="Q1497" s="13" t="s">
        <v>172</v>
      </c>
      <c r="R1497" s="13" t="s">
        <v>9998</v>
      </c>
      <c r="S1497" s="13" t="s">
        <v>145</v>
      </c>
      <c r="T1497" s="13" t="s">
        <v>146</v>
      </c>
      <c r="U1497" s="13" t="s">
        <v>110</v>
      </c>
      <c r="V1497" s="47">
        <f>SUMIF(Data!$E:$E,$I1497,Data!$AI:$AI)</f>
        <v>0</v>
      </c>
    </row>
    <row r="1498" spans="1:22" x14ac:dyDescent="0.25">
      <c r="A1498" s="46" t="s">
        <v>9543</v>
      </c>
      <c r="B1498" s="46" t="s">
        <v>120</v>
      </c>
      <c r="C1498" s="46" t="s">
        <v>5274</v>
      </c>
      <c r="D1498" s="46">
        <v>0.36180054714876902</v>
      </c>
      <c r="E1498" s="47">
        <f>SUMIF(Data!$E:$E,$C1498,Data!$AI:$AI)</f>
        <v>0</v>
      </c>
      <c r="I1498" s="13" t="s">
        <v>5112</v>
      </c>
      <c r="J1498" s="13" t="s">
        <v>9999</v>
      </c>
      <c r="K1498" s="13" t="s">
        <v>137</v>
      </c>
      <c r="L1498" s="13" t="s">
        <v>8066</v>
      </c>
      <c r="M1498" s="13" t="s">
        <v>10000</v>
      </c>
      <c r="N1498" s="13">
        <v>777.78499999999997</v>
      </c>
      <c r="O1498" s="13" t="s">
        <v>10001</v>
      </c>
      <c r="P1498" s="13" t="s">
        <v>10002</v>
      </c>
      <c r="Q1498" s="13" t="s">
        <v>734</v>
      </c>
      <c r="R1498" s="13" t="s">
        <v>10003</v>
      </c>
      <c r="S1498" s="13" t="s">
        <v>847</v>
      </c>
      <c r="T1498" s="13" t="s">
        <v>848</v>
      </c>
      <c r="U1498" s="13" t="s">
        <v>849</v>
      </c>
      <c r="V1498" s="47">
        <f>SUMIF(Data!$E:$E,$I1498,Data!$AI:$AI)</f>
        <v>0</v>
      </c>
    </row>
    <row r="1499" spans="1:22" x14ac:dyDescent="0.25">
      <c r="A1499" s="46" t="s">
        <v>9543</v>
      </c>
      <c r="B1499" s="46" t="s">
        <v>120</v>
      </c>
      <c r="C1499" s="46" t="s">
        <v>5281</v>
      </c>
      <c r="D1499" s="46">
        <v>0.32759573069114201</v>
      </c>
      <c r="E1499" s="47">
        <f>SUMIF(Data!$E:$E,$C1499,Data!$AI:$AI)</f>
        <v>0</v>
      </c>
      <c r="I1499" s="13" t="s">
        <v>10004</v>
      </c>
      <c r="J1499" s="13" t="s">
        <v>10005</v>
      </c>
      <c r="K1499" s="13" t="s">
        <v>137</v>
      </c>
      <c r="L1499" s="13" t="s">
        <v>8066</v>
      </c>
      <c r="M1499" s="13" t="s">
        <v>10006</v>
      </c>
      <c r="N1499" s="13">
        <v>59.713000000000001</v>
      </c>
      <c r="O1499" s="13" t="s">
        <v>10007</v>
      </c>
      <c r="P1499" s="13" t="s">
        <v>10008</v>
      </c>
      <c r="Q1499" s="13" t="s">
        <v>172</v>
      </c>
      <c r="R1499" s="13" t="s">
        <v>10009</v>
      </c>
      <c r="S1499" s="13" t="s">
        <v>3711</v>
      </c>
      <c r="T1499" s="13" t="s">
        <v>3712</v>
      </c>
      <c r="U1499" s="13" t="s">
        <v>3713</v>
      </c>
      <c r="V1499" s="47">
        <f>SUMIF(Data!$E:$E,$I1499,Data!$AI:$AI)</f>
        <v>0</v>
      </c>
    </row>
    <row r="1500" spans="1:22" x14ac:dyDescent="0.25">
      <c r="A1500" s="46" t="s">
        <v>9543</v>
      </c>
      <c r="B1500" s="46" t="s">
        <v>120</v>
      </c>
      <c r="C1500" s="46" t="s">
        <v>4968</v>
      </c>
      <c r="D1500" s="46">
        <v>0.667790066496458</v>
      </c>
      <c r="E1500" s="47">
        <f>SUMIF(Data!$E:$E,$C1500,Data!$AI:$AI)</f>
        <v>0</v>
      </c>
      <c r="I1500" s="13" t="s">
        <v>10010</v>
      </c>
      <c r="J1500" s="13" t="s">
        <v>10011</v>
      </c>
      <c r="K1500" s="13" t="s">
        <v>137</v>
      </c>
      <c r="L1500" s="13" t="s">
        <v>8066</v>
      </c>
      <c r="M1500" s="13" t="s">
        <v>10012</v>
      </c>
      <c r="N1500" s="13">
        <v>63.293999999999997</v>
      </c>
      <c r="O1500" s="13" t="s">
        <v>10013</v>
      </c>
      <c r="P1500" s="13" t="s">
        <v>10014</v>
      </c>
      <c r="Q1500" s="13" t="s">
        <v>734</v>
      </c>
      <c r="R1500" s="13" t="s">
        <v>10015</v>
      </c>
      <c r="S1500" s="13" t="s">
        <v>5888</v>
      </c>
      <c r="T1500" s="13" t="s">
        <v>5889</v>
      </c>
      <c r="U1500" s="13" t="s">
        <v>525</v>
      </c>
      <c r="V1500" s="47">
        <f>SUMIF(Data!$E:$E,$I1500,Data!$AI:$AI)</f>
        <v>0</v>
      </c>
    </row>
    <row r="1501" spans="1:22" x14ac:dyDescent="0.25">
      <c r="A1501" s="46" t="s">
        <v>9543</v>
      </c>
      <c r="B1501" s="46" t="s">
        <v>120</v>
      </c>
      <c r="C1501" s="46" t="s">
        <v>4975</v>
      </c>
      <c r="D1501" s="46">
        <v>0.77077696539417995</v>
      </c>
      <c r="E1501" s="47">
        <f>SUMIF(Data!$E:$E,$C1501,Data!$AI:$AI)</f>
        <v>0</v>
      </c>
      <c r="I1501" s="13" t="s">
        <v>10016</v>
      </c>
      <c r="J1501" s="13" t="s">
        <v>10017</v>
      </c>
      <c r="K1501" s="13" t="s">
        <v>137</v>
      </c>
      <c r="L1501" s="13" t="s">
        <v>8066</v>
      </c>
      <c r="M1501" s="13" t="s">
        <v>10018</v>
      </c>
      <c r="N1501" s="13">
        <v>27.007000000000001</v>
      </c>
      <c r="O1501" s="13" t="s">
        <v>10019</v>
      </c>
      <c r="P1501" s="13" t="s">
        <v>10020</v>
      </c>
      <c r="Q1501" s="13" t="s">
        <v>162</v>
      </c>
      <c r="R1501" s="13" t="s">
        <v>10021</v>
      </c>
      <c r="S1501" s="13" t="s">
        <v>523</v>
      </c>
      <c r="T1501" s="13" t="s">
        <v>524</v>
      </c>
      <c r="U1501" s="13" t="s">
        <v>525</v>
      </c>
      <c r="V1501" s="47">
        <f>SUMIF(Data!$E:$E,$I1501,Data!$AI:$AI)</f>
        <v>0</v>
      </c>
    </row>
    <row r="1502" spans="1:22" x14ac:dyDescent="0.25">
      <c r="A1502" s="46" t="s">
        <v>9543</v>
      </c>
      <c r="B1502" s="46" t="s">
        <v>120</v>
      </c>
      <c r="C1502" s="46" t="s">
        <v>5299</v>
      </c>
      <c r="D1502" s="46">
        <v>0.35356270880876201</v>
      </c>
      <c r="E1502" s="47">
        <f>SUMIF(Data!$E:$E,$C1502,Data!$AI:$AI)</f>
        <v>0</v>
      </c>
      <c r="I1502" s="13" t="s">
        <v>10022</v>
      </c>
      <c r="J1502" s="13" t="s">
        <v>10023</v>
      </c>
      <c r="K1502" s="13" t="s">
        <v>137</v>
      </c>
      <c r="L1502" s="13" t="s">
        <v>8066</v>
      </c>
      <c r="M1502" s="13" t="s">
        <v>10024</v>
      </c>
      <c r="N1502" s="13">
        <v>66.536000000000001</v>
      </c>
      <c r="O1502" s="13" t="s">
        <v>10025</v>
      </c>
      <c r="P1502" s="13" t="s">
        <v>10026</v>
      </c>
      <c r="Q1502" s="13" t="s">
        <v>694</v>
      </c>
      <c r="R1502" s="13" t="s">
        <v>10027</v>
      </c>
      <c r="S1502" s="13" t="s">
        <v>1164</v>
      </c>
      <c r="T1502" s="13" t="s">
        <v>1165</v>
      </c>
      <c r="U1502" s="13" t="s">
        <v>525</v>
      </c>
      <c r="V1502" s="47">
        <f>SUMIF(Data!$E:$E,$I1502,Data!$AI:$AI)</f>
        <v>0</v>
      </c>
    </row>
    <row r="1503" spans="1:22" x14ac:dyDescent="0.25">
      <c r="A1503" s="46" t="s">
        <v>9543</v>
      </c>
      <c r="B1503" s="46" t="s">
        <v>120</v>
      </c>
      <c r="C1503" s="46" t="s">
        <v>6847</v>
      </c>
      <c r="D1503" s="46">
        <v>0.49736928070051001</v>
      </c>
      <c r="E1503" s="47">
        <f>SUMIF(Data!$E:$E,$C1503,Data!$AI:$AI)</f>
        <v>0</v>
      </c>
      <c r="I1503" s="13" t="s">
        <v>10028</v>
      </c>
      <c r="J1503" s="13" t="s">
        <v>10029</v>
      </c>
      <c r="K1503" s="13" t="s">
        <v>137</v>
      </c>
      <c r="L1503" s="13" t="s">
        <v>8066</v>
      </c>
      <c r="M1503" s="13" t="s">
        <v>896</v>
      </c>
      <c r="N1503" s="13">
        <v>33.563000000000002</v>
      </c>
      <c r="O1503" s="13" t="s">
        <v>10030</v>
      </c>
      <c r="P1503" s="13" t="s">
        <v>10031</v>
      </c>
      <c r="Q1503" s="13" t="s">
        <v>224</v>
      </c>
      <c r="R1503" s="13" t="s">
        <v>10032</v>
      </c>
      <c r="S1503" s="13" t="s">
        <v>1274</v>
      </c>
      <c r="T1503" s="13" t="s">
        <v>1275</v>
      </c>
      <c r="U1503" s="13" t="s">
        <v>525</v>
      </c>
      <c r="V1503" s="47">
        <f>SUMIF(Data!$E:$E,$I1503,Data!$AI:$AI)</f>
        <v>0</v>
      </c>
    </row>
    <row r="1504" spans="1:22" x14ac:dyDescent="0.25">
      <c r="A1504" s="46" t="s">
        <v>9543</v>
      </c>
      <c r="B1504" s="46" t="s">
        <v>120</v>
      </c>
      <c r="C1504" s="46" t="s">
        <v>5662</v>
      </c>
      <c r="D1504" s="46">
        <v>4.4725062231769003E-2</v>
      </c>
      <c r="E1504" s="47">
        <f>SUMIF(Data!$E:$E,$C1504,Data!$AI:$AI)</f>
        <v>0</v>
      </c>
      <c r="I1504" s="13">
        <v>2638</v>
      </c>
      <c r="J1504" s="13" t="s">
        <v>10033</v>
      </c>
      <c r="K1504" s="13" t="s">
        <v>137</v>
      </c>
      <c r="L1504" s="13" t="s">
        <v>8066</v>
      </c>
      <c r="M1504" s="13" t="s">
        <v>10034</v>
      </c>
      <c r="N1504" s="13" t="s">
        <v>10035</v>
      </c>
      <c r="O1504" s="13" t="s">
        <v>10036</v>
      </c>
      <c r="P1504" s="13" t="s">
        <v>10037</v>
      </c>
      <c r="Q1504" s="13" t="s">
        <v>694</v>
      </c>
      <c r="R1504" s="13" t="s">
        <v>10038</v>
      </c>
      <c r="S1504" s="13" t="s">
        <v>549</v>
      </c>
      <c r="T1504" s="13" t="s">
        <v>550</v>
      </c>
      <c r="U1504" s="13" t="s">
        <v>551</v>
      </c>
      <c r="V1504" s="47">
        <f>SUMIF(Data!$E:$E,$I1504,Data!$AI:$AI)</f>
        <v>0</v>
      </c>
    </row>
    <row r="1505" spans="1:22" x14ac:dyDescent="0.25">
      <c r="A1505" s="46" t="s">
        <v>9543</v>
      </c>
      <c r="B1505" s="46" t="s">
        <v>120</v>
      </c>
      <c r="C1505" s="46" t="s">
        <v>5668</v>
      </c>
      <c r="D1505" s="46">
        <v>0.15367736229605899</v>
      </c>
      <c r="E1505" s="47">
        <f>SUMIF(Data!$E:$E,$C1505,Data!$AI:$AI)</f>
        <v>0</v>
      </c>
      <c r="I1505" s="13" t="s">
        <v>551</v>
      </c>
      <c r="J1505" s="13" t="s">
        <v>10039</v>
      </c>
      <c r="K1505" s="13" t="s">
        <v>755</v>
      </c>
      <c r="L1505" s="13" t="s">
        <v>8066</v>
      </c>
      <c r="M1505" s="13" t="s">
        <v>10040</v>
      </c>
      <c r="N1505" s="13" t="s">
        <v>10041</v>
      </c>
      <c r="O1505" s="13" t="s">
        <v>10042</v>
      </c>
      <c r="P1505" s="13" t="s">
        <v>10043</v>
      </c>
      <c r="Q1505" s="13" t="s">
        <v>759</v>
      </c>
      <c r="R1505" s="13" t="s">
        <v>760</v>
      </c>
      <c r="S1505" s="13" t="s">
        <v>760</v>
      </c>
      <c r="T1505" s="13" t="s">
        <v>550</v>
      </c>
      <c r="U1505" s="13" t="s">
        <v>551</v>
      </c>
      <c r="V1505" s="47">
        <f>SUMIF(Data!$E:$E,$I1505,Data!$AI:$AI)</f>
        <v>0</v>
      </c>
    </row>
    <row r="1506" spans="1:22" x14ac:dyDescent="0.25">
      <c r="A1506" s="46" t="s">
        <v>9543</v>
      </c>
      <c r="B1506" s="46" t="s">
        <v>120</v>
      </c>
      <c r="C1506" s="46" t="s">
        <v>5675</v>
      </c>
      <c r="D1506" s="46">
        <v>6.0166073864135E-2</v>
      </c>
      <c r="E1506" s="47">
        <f>SUMIF(Data!$E:$E,$C1506,Data!$AI:$AI)</f>
        <v>0</v>
      </c>
      <c r="I1506" s="13" t="s">
        <v>10044</v>
      </c>
      <c r="J1506" s="13" t="s">
        <v>10045</v>
      </c>
      <c r="K1506" s="13" t="s">
        <v>137</v>
      </c>
      <c r="L1506" s="13" t="s">
        <v>8066</v>
      </c>
      <c r="M1506" s="13" t="s">
        <v>10046</v>
      </c>
      <c r="N1506" s="13">
        <v>83.67</v>
      </c>
      <c r="O1506" s="13" t="s">
        <v>10047</v>
      </c>
      <c r="P1506" s="13" t="s">
        <v>10048</v>
      </c>
      <c r="Q1506" s="13" t="s">
        <v>162</v>
      </c>
      <c r="R1506" s="13" t="s">
        <v>10049</v>
      </c>
      <c r="S1506" s="13" t="s">
        <v>192</v>
      </c>
      <c r="T1506" s="13" t="s">
        <v>146</v>
      </c>
      <c r="U1506" s="13" t="s">
        <v>110</v>
      </c>
      <c r="V1506" s="47">
        <f>SUMIF(Data!$E:$E,$I1506,Data!$AI:$AI)</f>
        <v>0</v>
      </c>
    </row>
    <row r="1507" spans="1:22" x14ac:dyDescent="0.25">
      <c r="A1507" s="46" t="s">
        <v>9543</v>
      </c>
      <c r="B1507" s="46" t="s">
        <v>120</v>
      </c>
      <c r="C1507" s="46" t="s">
        <v>5682</v>
      </c>
      <c r="D1507" s="46">
        <v>7.3125249313358995E-2</v>
      </c>
      <c r="E1507" s="47">
        <f>SUMIF(Data!$E:$E,$C1507,Data!$AI:$AI)</f>
        <v>0</v>
      </c>
      <c r="I1507" s="13" t="s">
        <v>10050</v>
      </c>
      <c r="J1507" s="13" t="s">
        <v>10051</v>
      </c>
      <c r="K1507" s="13" t="s">
        <v>137</v>
      </c>
      <c r="L1507" s="13" t="s">
        <v>8066</v>
      </c>
      <c r="M1507" s="13" t="s">
        <v>10052</v>
      </c>
      <c r="N1507" s="13">
        <v>19.148</v>
      </c>
      <c r="O1507" s="13" t="s">
        <v>10053</v>
      </c>
      <c r="P1507" s="13" t="s">
        <v>10054</v>
      </c>
      <c r="Q1507" s="13" t="s">
        <v>208</v>
      </c>
      <c r="R1507" s="13" t="s">
        <v>10055</v>
      </c>
      <c r="S1507" s="13" t="s">
        <v>560</v>
      </c>
      <c r="T1507" s="13" t="s">
        <v>561</v>
      </c>
      <c r="U1507" s="13" t="s">
        <v>525</v>
      </c>
      <c r="V1507" s="47">
        <f>SUMIF(Data!$E:$E,$I1507,Data!$AI:$AI)</f>
        <v>0</v>
      </c>
    </row>
    <row r="1508" spans="1:22" x14ac:dyDescent="0.25">
      <c r="A1508" s="46" t="s">
        <v>9543</v>
      </c>
      <c r="B1508" s="46" t="s">
        <v>120</v>
      </c>
      <c r="C1508" s="46" t="s">
        <v>5306</v>
      </c>
      <c r="D1508" s="46">
        <v>0.21210560728848801</v>
      </c>
      <c r="E1508" s="47">
        <f>SUMIF(Data!$E:$E,$C1508,Data!$AI:$AI)</f>
        <v>0</v>
      </c>
      <c r="I1508" s="13" t="s">
        <v>770</v>
      </c>
      <c r="J1508" s="13" t="s">
        <v>10056</v>
      </c>
      <c r="K1508" s="13" t="s">
        <v>755</v>
      </c>
      <c r="L1508" s="13" t="s">
        <v>8066</v>
      </c>
      <c r="M1508" s="13" t="s">
        <v>10057</v>
      </c>
      <c r="N1508" s="13" t="s">
        <v>10058</v>
      </c>
      <c r="O1508" s="13" t="s">
        <v>10059</v>
      </c>
      <c r="P1508" s="13" t="s">
        <v>10060</v>
      </c>
      <c r="Q1508" s="13" t="s">
        <v>759</v>
      </c>
      <c r="R1508" s="13" t="s">
        <v>760</v>
      </c>
      <c r="S1508" s="13" t="s">
        <v>760</v>
      </c>
      <c r="T1508" s="13" t="s">
        <v>769</v>
      </c>
      <c r="U1508" s="13" t="s">
        <v>770</v>
      </c>
      <c r="V1508" s="47">
        <f>SUMIF(Data!$E:$E,$I1508,Data!$AI:$AI)</f>
        <v>0</v>
      </c>
    </row>
    <row r="1509" spans="1:22" x14ac:dyDescent="0.25">
      <c r="A1509" s="46" t="s">
        <v>9543</v>
      </c>
      <c r="B1509" s="46" t="s">
        <v>120</v>
      </c>
      <c r="C1509" s="46" t="s">
        <v>5313</v>
      </c>
      <c r="D1509" s="46">
        <v>9.3584750140086007E-2</v>
      </c>
      <c r="E1509" s="47">
        <f>SUMIF(Data!$E:$E,$C1509,Data!$AI:$AI)</f>
        <v>0</v>
      </c>
      <c r="I1509" s="13" t="s">
        <v>10061</v>
      </c>
      <c r="J1509" s="13" t="s">
        <v>10062</v>
      </c>
      <c r="K1509" s="13" t="s">
        <v>137</v>
      </c>
      <c r="L1509" s="13" t="s">
        <v>8066</v>
      </c>
      <c r="M1509" s="13" t="s">
        <v>10063</v>
      </c>
      <c r="N1509" s="13">
        <v>432.6</v>
      </c>
      <c r="O1509" s="13" t="s">
        <v>10064</v>
      </c>
      <c r="P1509" s="13" t="s">
        <v>10065</v>
      </c>
      <c r="Q1509" s="13" t="s">
        <v>416</v>
      </c>
      <c r="R1509" s="13" t="s">
        <v>10066</v>
      </c>
      <c r="S1509" s="13" t="s">
        <v>2365</v>
      </c>
      <c r="T1509" s="13" t="s">
        <v>2366</v>
      </c>
      <c r="U1509" s="13" t="s">
        <v>2367</v>
      </c>
      <c r="V1509" s="47">
        <f>SUMIF(Data!$E:$E,$I1509,Data!$AI:$AI)</f>
        <v>0</v>
      </c>
    </row>
    <row r="1510" spans="1:22" x14ac:dyDescent="0.25">
      <c r="A1510" s="46" t="s">
        <v>9543</v>
      </c>
      <c r="B1510" s="46" t="s">
        <v>120</v>
      </c>
      <c r="C1510" s="46" t="s">
        <v>5689</v>
      </c>
      <c r="D1510" s="46">
        <v>0.113125246950581</v>
      </c>
      <c r="E1510" s="47">
        <f>SUMIF(Data!$E:$E,$C1510,Data!$AI:$AI)</f>
        <v>0</v>
      </c>
      <c r="I1510" s="13" t="s">
        <v>10067</v>
      </c>
      <c r="J1510" s="13" t="s">
        <v>8505</v>
      </c>
      <c r="K1510" s="13" t="s">
        <v>137</v>
      </c>
      <c r="L1510" s="13" t="s">
        <v>8066</v>
      </c>
      <c r="M1510" s="13" t="s">
        <v>10068</v>
      </c>
      <c r="N1510" s="13">
        <v>34.055</v>
      </c>
      <c r="O1510" s="13" t="s">
        <v>10069</v>
      </c>
      <c r="P1510" s="13" t="s">
        <v>10070</v>
      </c>
      <c r="Q1510" s="13" t="s">
        <v>172</v>
      </c>
      <c r="R1510" s="13" t="s">
        <v>10071</v>
      </c>
      <c r="S1510" s="13" t="s">
        <v>145</v>
      </c>
      <c r="T1510" s="13" t="s">
        <v>146</v>
      </c>
      <c r="U1510" s="13" t="s">
        <v>110</v>
      </c>
      <c r="V1510" s="47">
        <f>SUMIF(Data!$E:$E,$I1510,Data!$AI:$AI)</f>
        <v>0</v>
      </c>
    </row>
    <row r="1511" spans="1:22" x14ac:dyDescent="0.25">
      <c r="A1511" s="46" t="s">
        <v>9543</v>
      </c>
      <c r="B1511" s="46" t="s">
        <v>120</v>
      </c>
      <c r="C1511" s="46" t="s">
        <v>5696</v>
      </c>
      <c r="D1511" s="46">
        <v>0.14896044454503901</v>
      </c>
      <c r="E1511" s="47">
        <f>SUMIF(Data!$E:$E,$C1511,Data!$AI:$AI)</f>
        <v>0</v>
      </c>
      <c r="I1511" s="13">
        <v>9142</v>
      </c>
      <c r="J1511" s="13" t="s">
        <v>10072</v>
      </c>
      <c r="K1511" s="13" t="s">
        <v>137</v>
      </c>
      <c r="L1511" s="13" t="s">
        <v>8066</v>
      </c>
      <c r="M1511" s="13" t="s">
        <v>10073</v>
      </c>
      <c r="N1511" s="13">
        <v>48.2</v>
      </c>
      <c r="O1511" s="13" t="s">
        <v>10074</v>
      </c>
      <c r="P1511" s="13" t="s">
        <v>10075</v>
      </c>
      <c r="Q1511" s="13" t="s">
        <v>416</v>
      </c>
      <c r="R1511" s="13" t="s">
        <v>10076</v>
      </c>
      <c r="S1511" s="13" t="s">
        <v>441</v>
      </c>
      <c r="T1511" s="13" t="s">
        <v>442</v>
      </c>
      <c r="U1511" s="13" t="s">
        <v>443</v>
      </c>
      <c r="V1511" s="47">
        <f>SUMIF(Data!$E:$E,$I1511,Data!$AI:$AI)</f>
        <v>0</v>
      </c>
    </row>
    <row r="1512" spans="1:22" x14ac:dyDescent="0.25">
      <c r="A1512" s="46" t="s">
        <v>9543</v>
      </c>
      <c r="B1512" s="46" t="s">
        <v>120</v>
      </c>
      <c r="C1512" s="46" t="s">
        <v>3171</v>
      </c>
      <c r="D1512" s="46">
        <v>0.25762935182178398</v>
      </c>
      <c r="E1512" s="47">
        <f>SUMIF(Data!$E:$E,$C1512,Data!$AI:$AI)</f>
        <v>0</v>
      </c>
      <c r="I1512" s="13" t="s">
        <v>2367</v>
      </c>
      <c r="J1512" s="13" t="s">
        <v>10077</v>
      </c>
      <c r="K1512" s="13" t="s">
        <v>755</v>
      </c>
      <c r="L1512" s="13" t="s">
        <v>8066</v>
      </c>
      <c r="M1512" s="13" t="s">
        <v>10078</v>
      </c>
      <c r="N1512" s="13" t="s">
        <v>10079</v>
      </c>
      <c r="O1512" s="13" t="s">
        <v>10080</v>
      </c>
      <c r="P1512" s="13" t="s">
        <v>10081</v>
      </c>
      <c r="Q1512" s="13" t="s">
        <v>759</v>
      </c>
      <c r="R1512" s="13" t="s">
        <v>760</v>
      </c>
      <c r="S1512" s="13" t="s">
        <v>760</v>
      </c>
      <c r="T1512" s="13" t="s">
        <v>2366</v>
      </c>
      <c r="U1512" s="13" t="s">
        <v>2367</v>
      </c>
      <c r="V1512" s="47">
        <f>SUMIF(Data!$E:$E,$I1512,Data!$AI:$AI)</f>
        <v>0</v>
      </c>
    </row>
    <row r="1513" spans="1:22" x14ac:dyDescent="0.25">
      <c r="A1513" s="46" t="s">
        <v>9543</v>
      </c>
      <c r="B1513" s="46" t="s">
        <v>120</v>
      </c>
      <c r="C1513" s="46" t="s">
        <v>5703</v>
      </c>
      <c r="D1513" s="46">
        <v>0.14929069496942299</v>
      </c>
      <c r="E1513" s="47">
        <f>SUMIF(Data!$E:$E,$C1513,Data!$AI:$AI)</f>
        <v>0</v>
      </c>
      <c r="I1513" s="13" t="s">
        <v>10082</v>
      </c>
      <c r="J1513" s="13" t="s">
        <v>10083</v>
      </c>
      <c r="K1513" s="13" t="s">
        <v>137</v>
      </c>
      <c r="L1513" s="13" t="s">
        <v>8066</v>
      </c>
      <c r="M1513" s="13" t="s">
        <v>10084</v>
      </c>
      <c r="N1513" s="13">
        <v>187.79499999999999</v>
      </c>
      <c r="O1513" s="13" t="s">
        <v>10085</v>
      </c>
      <c r="P1513" s="13" t="s">
        <v>10086</v>
      </c>
      <c r="Q1513" s="13" t="s">
        <v>162</v>
      </c>
      <c r="R1513" s="13" t="s">
        <v>10087</v>
      </c>
      <c r="S1513" s="13" t="s">
        <v>847</v>
      </c>
      <c r="T1513" s="13" t="s">
        <v>848</v>
      </c>
      <c r="U1513" s="13" t="s">
        <v>849</v>
      </c>
      <c r="V1513" s="47">
        <f>SUMIF(Data!$E:$E,$I1513,Data!$AI:$AI)</f>
        <v>0</v>
      </c>
    </row>
    <row r="1514" spans="1:22" x14ac:dyDescent="0.25">
      <c r="A1514" s="46" t="s">
        <v>9543</v>
      </c>
      <c r="B1514" s="46" t="s">
        <v>120</v>
      </c>
      <c r="C1514" s="46" t="s">
        <v>5709</v>
      </c>
      <c r="D1514" s="46">
        <v>6.2865564967702001E-2</v>
      </c>
      <c r="E1514" s="47">
        <f>SUMIF(Data!$E:$E,$C1514,Data!$AI:$AI)</f>
        <v>0</v>
      </c>
      <c r="I1514" s="13" t="s">
        <v>10088</v>
      </c>
      <c r="J1514" s="13" t="s">
        <v>10089</v>
      </c>
      <c r="K1514" s="13" t="s">
        <v>137</v>
      </c>
      <c r="L1514" s="13" t="s">
        <v>8066</v>
      </c>
      <c r="M1514" s="13" t="s">
        <v>10090</v>
      </c>
      <c r="N1514" s="13">
        <v>243.88499999999999</v>
      </c>
      <c r="O1514" s="13" t="s">
        <v>10091</v>
      </c>
      <c r="P1514" s="13" t="s">
        <v>10092</v>
      </c>
      <c r="Q1514" s="13" t="s">
        <v>143</v>
      </c>
      <c r="R1514" s="13" t="s">
        <v>10093</v>
      </c>
      <c r="S1514" s="13" t="s">
        <v>725</v>
      </c>
      <c r="T1514" s="13" t="s">
        <v>726</v>
      </c>
      <c r="U1514" s="13" t="s">
        <v>727</v>
      </c>
      <c r="V1514" s="47">
        <f>SUMIF(Data!$E:$E,$I1514,Data!$AI:$AI)</f>
        <v>0</v>
      </c>
    </row>
    <row r="1515" spans="1:22" x14ac:dyDescent="0.25">
      <c r="A1515" s="46" t="s">
        <v>9543</v>
      </c>
      <c r="B1515" s="46" t="s">
        <v>120</v>
      </c>
      <c r="C1515" s="46" t="s">
        <v>5332</v>
      </c>
      <c r="D1515" s="46">
        <v>0.60270505353316395</v>
      </c>
      <c r="E1515" s="47">
        <f>SUMIF(Data!$E:$E,$C1515,Data!$AI:$AI)</f>
        <v>0</v>
      </c>
      <c r="I1515" s="13" t="s">
        <v>10094</v>
      </c>
      <c r="J1515" s="13" t="s">
        <v>10095</v>
      </c>
      <c r="K1515" s="13" t="s">
        <v>137</v>
      </c>
      <c r="L1515" s="13" t="s">
        <v>8066</v>
      </c>
      <c r="M1515" s="13" t="s">
        <v>10096</v>
      </c>
      <c r="N1515" s="13">
        <v>41.597000000000001</v>
      </c>
      <c r="O1515" s="13" t="s">
        <v>10097</v>
      </c>
      <c r="P1515" s="13" t="s">
        <v>10098</v>
      </c>
      <c r="Q1515" s="13" t="s">
        <v>694</v>
      </c>
      <c r="R1515" s="13" t="s">
        <v>10099</v>
      </c>
      <c r="S1515" s="13" t="s">
        <v>725</v>
      </c>
      <c r="T1515" s="13" t="s">
        <v>726</v>
      </c>
      <c r="U1515" s="13" t="s">
        <v>727</v>
      </c>
      <c r="V1515" s="47">
        <f>SUMIF(Data!$E:$E,$I1515,Data!$AI:$AI)</f>
        <v>0</v>
      </c>
    </row>
    <row r="1516" spans="1:22" x14ac:dyDescent="0.25">
      <c r="A1516" s="46" t="s">
        <v>9543</v>
      </c>
      <c r="B1516" s="46" t="s">
        <v>120</v>
      </c>
      <c r="C1516" s="46" t="s">
        <v>3578</v>
      </c>
      <c r="D1516" s="46">
        <v>7.4611493300692999E-2</v>
      </c>
      <c r="E1516" s="47">
        <f>SUMIF(Data!$E:$E,$C1516,Data!$AI:$AI)</f>
        <v>0</v>
      </c>
      <c r="I1516" s="13">
        <v>7459</v>
      </c>
      <c r="J1516" s="13" t="s">
        <v>10100</v>
      </c>
      <c r="K1516" s="13" t="s">
        <v>137</v>
      </c>
      <c r="L1516" s="13" t="s">
        <v>8066</v>
      </c>
      <c r="M1516" s="13" t="s">
        <v>10101</v>
      </c>
      <c r="N1516" s="13">
        <v>71.772999999999996</v>
      </c>
      <c r="O1516" s="13" t="s">
        <v>10102</v>
      </c>
      <c r="P1516" s="13" t="s">
        <v>10103</v>
      </c>
      <c r="Q1516" s="13" t="s">
        <v>208</v>
      </c>
      <c r="R1516" s="13" t="s">
        <v>10104</v>
      </c>
      <c r="S1516" s="13" t="s">
        <v>441</v>
      </c>
      <c r="T1516" s="13" t="s">
        <v>442</v>
      </c>
      <c r="U1516" s="13" t="s">
        <v>443</v>
      </c>
      <c r="V1516" s="47">
        <f>SUMIF(Data!$E:$E,$I1516,Data!$AI:$AI)</f>
        <v>0</v>
      </c>
    </row>
    <row r="1517" spans="1:22" x14ac:dyDescent="0.25">
      <c r="A1517" s="46" t="s">
        <v>9543</v>
      </c>
      <c r="B1517" s="46" t="s">
        <v>120</v>
      </c>
      <c r="C1517" s="46" t="s">
        <v>5345</v>
      </c>
      <c r="D1517" s="46">
        <v>0.21299193538060299</v>
      </c>
      <c r="E1517" s="47">
        <f>SUMIF(Data!$E:$E,$C1517,Data!$AI:$AI)</f>
        <v>0</v>
      </c>
      <c r="I1517" s="13">
        <v>19</v>
      </c>
      <c r="J1517" s="13" t="s">
        <v>10105</v>
      </c>
      <c r="K1517" s="13" t="s">
        <v>137</v>
      </c>
      <c r="L1517" s="13" t="s">
        <v>8066</v>
      </c>
      <c r="M1517" s="13" t="s">
        <v>10106</v>
      </c>
      <c r="N1517" s="13">
        <v>169.90100000000001</v>
      </c>
      <c r="O1517" s="13" t="s">
        <v>10107</v>
      </c>
      <c r="P1517" s="13" t="s">
        <v>10108</v>
      </c>
      <c r="Q1517" s="13" t="s">
        <v>806</v>
      </c>
      <c r="R1517" s="13" t="s">
        <v>10109</v>
      </c>
      <c r="S1517" s="13" t="s">
        <v>549</v>
      </c>
      <c r="T1517" s="13" t="s">
        <v>550</v>
      </c>
      <c r="U1517" s="13" t="s">
        <v>551</v>
      </c>
      <c r="V1517" s="47">
        <f>SUMIF(Data!$E:$E,$I1517,Data!$AI:$AI)</f>
        <v>0</v>
      </c>
    </row>
    <row r="1518" spans="1:22" x14ac:dyDescent="0.25">
      <c r="A1518" s="46" t="s">
        <v>9543</v>
      </c>
      <c r="B1518" s="46" t="s">
        <v>120</v>
      </c>
      <c r="C1518" s="46" t="s">
        <v>5716</v>
      </c>
      <c r="D1518" s="46">
        <v>7.5849328112273004E-2</v>
      </c>
      <c r="E1518" s="47">
        <f>SUMIF(Data!$E:$E,$C1518,Data!$AI:$AI)</f>
        <v>0</v>
      </c>
      <c r="I1518" s="13" t="s">
        <v>10110</v>
      </c>
      <c r="J1518" s="13" t="s">
        <v>10111</v>
      </c>
      <c r="K1518" s="13" t="s">
        <v>137</v>
      </c>
      <c r="L1518" s="13" t="s">
        <v>8066</v>
      </c>
      <c r="M1518" s="13" t="s">
        <v>10112</v>
      </c>
      <c r="N1518" s="13" t="s">
        <v>10113</v>
      </c>
      <c r="O1518" s="13" t="s">
        <v>10114</v>
      </c>
      <c r="P1518" s="13" t="s">
        <v>10115</v>
      </c>
      <c r="Q1518" s="13" t="s">
        <v>416</v>
      </c>
      <c r="R1518" s="13" t="s">
        <v>10116</v>
      </c>
      <c r="S1518" s="13" t="s">
        <v>2365</v>
      </c>
      <c r="T1518" s="13" t="s">
        <v>2366</v>
      </c>
      <c r="U1518" s="13" t="s">
        <v>2367</v>
      </c>
      <c r="V1518" s="47">
        <f>SUMIF(Data!$E:$E,$I1518,Data!$AI:$AI)</f>
        <v>0</v>
      </c>
    </row>
    <row r="1519" spans="1:22" x14ac:dyDescent="0.25">
      <c r="A1519" s="46" t="s">
        <v>9543</v>
      </c>
      <c r="B1519" s="46" t="s">
        <v>120</v>
      </c>
      <c r="C1519" s="46" t="s">
        <v>5351</v>
      </c>
      <c r="D1519" s="46">
        <v>0.114498982586445</v>
      </c>
      <c r="E1519" s="47">
        <f>SUMIF(Data!$E:$E,$C1519,Data!$AI:$AI)</f>
        <v>0</v>
      </c>
      <c r="I1519" s="13" t="s">
        <v>10117</v>
      </c>
      <c r="J1519" s="13" t="s">
        <v>10118</v>
      </c>
      <c r="K1519" s="13" t="s">
        <v>137</v>
      </c>
      <c r="L1519" s="13" t="s">
        <v>8066</v>
      </c>
      <c r="M1519" s="13" t="s">
        <v>10119</v>
      </c>
      <c r="N1519" s="13">
        <v>274.03399999999999</v>
      </c>
      <c r="O1519" s="13" t="s">
        <v>10120</v>
      </c>
      <c r="P1519" s="13" t="s">
        <v>10121</v>
      </c>
      <c r="Q1519" s="13" t="s">
        <v>190</v>
      </c>
      <c r="R1519" s="13" t="s">
        <v>10122</v>
      </c>
      <c r="S1519" s="13" t="s">
        <v>847</v>
      </c>
      <c r="T1519" s="13" t="s">
        <v>848</v>
      </c>
      <c r="U1519" s="13" t="s">
        <v>849</v>
      </c>
      <c r="V1519" s="47">
        <f>SUMIF(Data!$E:$E,$I1519,Data!$AI:$AI)</f>
        <v>0</v>
      </c>
    </row>
    <row r="1520" spans="1:22" x14ac:dyDescent="0.25">
      <c r="A1520" s="46" t="s">
        <v>9543</v>
      </c>
      <c r="B1520" s="46" t="s">
        <v>120</v>
      </c>
      <c r="C1520" s="46" t="s">
        <v>5722</v>
      </c>
      <c r="D1520" s="46">
        <v>4.8615648691521997E-2</v>
      </c>
      <c r="E1520" s="47">
        <f>SUMIF(Data!$E:$E,$C1520,Data!$AI:$AI)</f>
        <v>0</v>
      </c>
      <c r="I1520" s="13">
        <v>2670</v>
      </c>
      <c r="J1520" s="13" t="s">
        <v>10123</v>
      </c>
      <c r="K1520" s="13" t="s">
        <v>137</v>
      </c>
      <c r="L1520" s="13" t="s">
        <v>8066</v>
      </c>
      <c r="M1520" s="13" t="s">
        <v>10124</v>
      </c>
      <c r="N1520" s="13">
        <v>24.387</v>
      </c>
      <c r="O1520" s="13" t="s">
        <v>10125</v>
      </c>
      <c r="P1520" s="13" t="s">
        <v>10126</v>
      </c>
      <c r="Q1520" s="13" t="s">
        <v>162</v>
      </c>
      <c r="R1520" s="13" t="s">
        <v>10127</v>
      </c>
      <c r="S1520" s="13" t="s">
        <v>441</v>
      </c>
      <c r="T1520" s="13" t="s">
        <v>442</v>
      </c>
      <c r="U1520" s="13" t="s">
        <v>443</v>
      </c>
      <c r="V1520" s="47">
        <f>SUMIF(Data!$E:$E,$I1520,Data!$AI:$AI)</f>
        <v>0</v>
      </c>
    </row>
    <row r="1521" spans="1:22" x14ac:dyDescent="0.25">
      <c r="A1521" s="46" t="s">
        <v>9543</v>
      </c>
      <c r="B1521" s="46" t="s">
        <v>120</v>
      </c>
      <c r="C1521" s="46" t="s">
        <v>5729</v>
      </c>
      <c r="D1521" s="46">
        <v>5.6946443756534001E-2</v>
      </c>
      <c r="E1521" s="47">
        <f>SUMIF(Data!$E:$E,$C1521,Data!$AI:$AI)</f>
        <v>0</v>
      </c>
      <c r="I1521" s="13" t="s">
        <v>10128</v>
      </c>
      <c r="J1521" s="13" t="s">
        <v>10129</v>
      </c>
      <c r="K1521" s="13" t="s">
        <v>137</v>
      </c>
      <c r="L1521" s="13" t="s">
        <v>8066</v>
      </c>
      <c r="M1521" s="13" t="s">
        <v>9933</v>
      </c>
      <c r="N1521" s="13">
        <v>35.201999999999998</v>
      </c>
      <c r="O1521" s="13" t="s">
        <v>10130</v>
      </c>
      <c r="P1521" s="13" t="s">
        <v>10131</v>
      </c>
      <c r="Q1521" s="13" t="s">
        <v>734</v>
      </c>
      <c r="R1521" s="13" t="s">
        <v>10132</v>
      </c>
      <c r="S1521" s="13" t="s">
        <v>725</v>
      </c>
      <c r="T1521" s="13" t="s">
        <v>726</v>
      </c>
      <c r="U1521" s="13" t="s">
        <v>727</v>
      </c>
      <c r="V1521" s="47">
        <f>SUMIF(Data!$E:$E,$I1521,Data!$AI:$AI)</f>
        <v>0</v>
      </c>
    </row>
    <row r="1522" spans="1:22" x14ac:dyDescent="0.25">
      <c r="A1522" s="46" t="s">
        <v>9543</v>
      </c>
      <c r="B1522" s="46" t="s">
        <v>120</v>
      </c>
      <c r="C1522" s="46" t="s">
        <v>5738</v>
      </c>
      <c r="D1522" s="46">
        <v>6.9684972563048994E-2</v>
      </c>
      <c r="E1522" s="47">
        <f>SUMIF(Data!$E:$E,$C1522,Data!$AI:$AI)</f>
        <v>0</v>
      </c>
      <c r="I1522" s="13" t="s">
        <v>10133</v>
      </c>
      <c r="J1522" s="13" t="s">
        <v>10134</v>
      </c>
      <c r="K1522" s="13" t="s">
        <v>137</v>
      </c>
      <c r="L1522" s="13" t="s">
        <v>8066</v>
      </c>
      <c r="M1522" s="13" t="s">
        <v>10135</v>
      </c>
      <c r="N1522" s="13">
        <v>10.102</v>
      </c>
      <c r="O1522" s="13" t="s">
        <v>10136</v>
      </c>
      <c r="P1522" s="13" t="s">
        <v>10137</v>
      </c>
      <c r="Q1522" s="13" t="s">
        <v>162</v>
      </c>
      <c r="R1522" s="13" t="s">
        <v>10138</v>
      </c>
      <c r="S1522" s="13" t="s">
        <v>560</v>
      </c>
      <c r="T1522" s="13" t="s">
        <v>561</v>
      </c>
      <c r="U1522" s="13" t="s">
        <v>525</v>
      </c>
      <c r="V1522" s="47">
        <f>SUMIF(Data!$E:$E,$I1522,Data!$AI:$AI)</f>
        <v>0</v>
      </c>
    </row>
    <row r="1523" spans="1:22" x14ac:dyDescent="0.25">
      <c r="A1523" s="46" t="s">
        <v>9543</v>
      </c>
      <c r="B1523" s="46" t="s">
        <v>120</v>
      </c>
      <c r="C1523" s="46" t="s">
        <v>5745</v>
      </c>
      <c r="D1523" s="46">
        <v>1.3062837225788999E-2</v>
      </c>
      <c r="E1523" s="47">
        <f>SUMIF(Data!$E:$E,$C1523,Data!$AI:$AI)</f>
        <v>0</v>
      </c>
      <c r="I1523" s="13">
        <v>3769</v>
      </c>
      <c r="J1523" s="13" t="s">
        <v>10139</v>
      </c>
      <c r="K1523" s="13" t="s">
        <v>137</v>
      </c>
      <c r="L1523" s="13" t="s">
        <v>8066</v>
      </c>
      <c r="M1523" s="13" t="s">
        <v>10140</v>
      </c>
      <c r="N1523" s="13">
        <v>21.6</v>
      </c>
      <c r="O1523" s="13" t="s">
        <v>10141</v>
      </c>
      <c r="P1523" s="13" t="s">
        <v>10142</v>
      </c>
      <c r="Q1523" s="13" t="s">
        <v>143</v>
      </c>
      <c r="R1523" s="13" t="s">
        <v>10143</v>
      </c>
      <c r="S1523" s="13" t="s">
        <v>441</v>
      </c>
      <c r="T1523" s="13" t="s">
        <v>442</v>
      </c>
      <c r="U1523" s="13" t="s">
        <v>443</v>
      </c>
      <c r="V1523" s="47">
        <f>SUMIF(Data!$E:$E,$I1523,Data!$AI:$AI)</f>
        <v>0</v>
      </c>
    </row>
    <row r="1524" spans="1:22" x14ac:dyDescent="0.25">
      <c r="A1524" s="46" t="s">
        <v>9543</v>
      </c>
      <c r="B1524" s="46" t="s">
        <v>120</v>
      </c>
      <c r="C1524" s="46" t="s">
        <v>5752</v>
      </c>
      <c r="D1524" s="46">
        <v>0.15306450041843001</v>
      </c>
      <c r="E1524" s="47">
        <f>SUMIF(Data!$E:$E,$C1524,Data!$AI:$AI)</f>
        <v>0</v>
      </c>
      <c r="I1524" s="13">
        <v>2875</v>
      </c>
      <c r="J1524" s="13" t="s">
        <v>10144</v>
      </c>
      <c r="K1524" s="13" t="s">
        <v>137</v>
      </c>
      <c r="L1524" s="13" t="s">
        <v>8066</v>
      </c>
      <c r="M1524" s="13" t="s">
        <v>10145</v>
      </c>
      <c r="N1524" s="13">
        <v>37.200000000000003</v>
      </c>
      <c r="O1524" s="13" t="s">
        <v>10146</v>
      </c>
      <c r="P1524" s="13" t="s">
        <v>10147</v>
      </c>
      <c r="Q1524" s="13" t="s">
        <v>224</v>
      </c>
      <c r="R1524" s="13" t="s">
        <v>10148</v>
      </c>
      <c r="S1524" s="13" t="s">
        <v>441</v>
      </c>
      <c r="T1524" s="13" t="s">
        <v>442</v>
      </c>
      <c r="U1524" s="13" t="s">
        <v>443</v>
      </c>
      <c r="V1524" s="47">
        <f>SUMIF(Data!$E:$E,$I1524,Data!$AI:$AI)</f>
        <v>0</v>
      </c>
    </row>
    <row r="1525" spans="1:22" x14ac:dyDescent="0.25">
      <c r="A1525" s="46" t="s">
        <v>9543</v>
      </c>
      <c r="B1525" s="46" t="s">
        <v>120</v>
      </c>
      <c r="C1525" s="46" t="s">
        <v>5759</v>
      </c>
      <c r="D1525" s="46">
        <v>7.9196389940992998E-2</v>
      </c>
      <c r="E1525" s="47">
        <f>SUMIF(Data!$E:$E,$C1525,Data!$AI:$AI)</f>
        <v>0</v>
      </c>
      <c r="I1525" s="13">
        <v>6753</v>
      </c>
      <c r="J1525" s="13" t="s">
        <v>10149</v>
      </c>
      <c r="K1525" s="13" t="s">
        <v>137</v>
      </c>
      <c r="L1525" s="13" t="s">
        <v>8066</v>
      </c>
      <c r="M1525" s="13" t="s">
        <v>10150</v>
      </c>
      <c r="N1525" s="13">
        <v>98.3</v>
      </c>
      <c r="O1525" s="13" t="s">
        <v>10151</v>
      </c>
      <c r="P1525" s="13" t="s">
        <v>10152</v>
      </c>
      <c r="Q1525" s="13" t="s">
        <v>162</v>
      </c>
      <c r="R1525" s="13" t="s">
        <v>10153</v>
      </c>
      <c r="S1525" s="13" t="s">
        <v>441</v>
      </c>
      <c r="T1525" s="13" t="s">
        <v>442</v>
      </c>
      <c r="U1525" s="13" t="s">
        <v>443</v>
      </c>
      <c r="V1525" s="47">
        <f>SUMIF(Data!$E:$E,$I1525,Data!$AI:$AI)</f>
        <v>0</v>
      </c>
    </row>
    <row r="1526" spans="1:22" x14ac:dyDescent="0.25">
      <c r="A1526" s="46" t="s">
        <v>9543</v>
      </c>
      <c r="B1526" s="46" t="s">
        <v>120</v>
      </c>
      <c r="C1526" s="46" t="s">
        <v>5358</v>
      </c>
      <c r="D1526" s="46">
        <v>7.6931708002127994E-2</v>
      </c>
      <c r="E1526" s="47">
        <f>SUMIF(Data!$E:$E,$C1526,Data!$AI:$AI)</f>
        <v>0</v>
      </c>
      <c r="I1526" s="13" t="s">
        <v>10154</v>
      </c>
      <c r="J1526" s="13" t="s">
        <v>10154</v>
      </c>
      <c r="K1526" s="13" t="s">
        <v>137</v>
      </c>
      <c r="L1526" s="13" t="s">
        <v>8066</v>
      </c>
      <c r="M1526" s="13" t="s">
        <v>10155</v>
      </c>
      <c r="N1526" s="13">
        <v>52.003999999999998</v>
      </c>
      <c r="O1526" s="13" t="s">
        <v>10156</v>
      </c>
      <c r="P1526" s="13" t="s">
        <v>10157</v>
      </c>
      <c r="Q1526" s="13" t="s">
        <v>190</v>
      </c>
      <c r="R1526" s="13" t="s">
        <v>10158</v>
      </c>
      <c r="S1526" s="13" t="s">
        <v>768</v>
      </c>
      <c r="T1526" s="13" t="s">
        <v>769</v>
      </c>
      <c r="U1526" s="13" t="s">
        <v>770</v>
      </c>
      <c r="V1526" s="47">
        <f>SUMIF(Data!$E:$E,$I1526,Data!$AI:$AI)</f>
        <v>0</v>
      </c>
    </row>
    <row r="1527" spans="1:22" x14ac:dyDescent="0.25">
      <c r="A1527" s="46" t="s">
        <v>9543</v>
      </c>
      <c r="B1527" s="46" t="s">
        <v>120</v>
      </c>
      <c r="C1527" s="46" t="s">
        <v>5766</v>
      </c>
      <c r="D1527" s="46">
        <v>4.5627375989787999E-2</v>
      </c>
      <c r="E1527" s="47">
        <f>SUMIF(Data!$E:$E,$C1527,Data!$AI:$AI)</f>
        <v>0</v>
      </c>
      <c r="I1527" s="13">
        <v>4768</v>
      </c>
      <c r="J1527" s="13" t="s">
        <v>10159</v>
      </c>
      <c r="K1527" s="13" t="s">
        <v>137</v>
      </c>
      <c r="L1527" s="13" t="s">
        <v>8066</v>
      </c>
      <c r="M1527" s="13" t="s">
        <v>10160</v>
      </c>
      <c r="N1527" s="13">
        <v>37.485999999999997</v>
      </c>
      <c r="O1527" s="13" t="s">
        <v>10161</v>
      </c>
      <c r="P1527" s="13" t="s">
        <v>10162</v>
      </c>
      <c r="Q1527" s="13" t="s">
        <v>143</v>
      </c>
      <c r="R1527" s="13" t="s">
        <v>10163</v>
      </c>
      <c r="S1527" s="13" t="s">
        <v>441</v>
      </c>
      <c r="T1527" s="13" t="s">
        <v>442</v>
      </c>
      <c r="U1527" s="13" t="s">
        <v>443</v>
      </c>
      <c r="V1527" s="47">
        <f>SUMIF(Data!$E:$E,$I1527,Data!$AI:$AI)</f>
        <v>0</v>
      </c>
    </row>
    <row r="1528" spans="1:22" x14ac:dyDescent="0.25">
      <c r="A1528" s="46" t="s">
        <v>9543</v>
      </c>
      <c r="B1528" s="46" t="s">
        <v>120</v>
      </c>
      <c r="C1528" s="46" t="s">
        <v>5779</v>
      </c>
      <c r="D1528" s="46">
        <v>3.90822262322E-2</v>
      </c>
      <c r="E1528" s="47">
        <f>SUMIF(Data!$E:$E,$C1528,Data!$AI:$AI)</f>
        <v>0</v>
      </c>
      <c r="I1528" s="13" t="s">
        <v>10164</v>
      </c>
      <c r="J1528" s="13" t="s">
        <v>10165</v>
      </c>
      <c r="K1528" s="13" t="s">
        <v>137</v>
      </c>
      <c r="L1528" s="13" t="s">
        <v>8066</v>
      </c>
      <c r="M1528" s="13" t="s">
        <v>10166</v>
      </c>
      <c r="N1528" s="13">
        <v>78.543999999999997</v>
      </c>
      <c r="O1528" s="13" t="s">
        <v>10167</v>
      </c>
      <c r="P1528" s="13" t="s">
        <v>10168</v>
      </c>
      <c r="Q1528" s="13" t="s">
        <v>416</v>
      </c>
      <c r="R1528" s="13" t="s">
        <v>10169</v>
      </c>
      <c r="S1528" s="13" t="s">
        <v>476</v>
      </c>
      <c r="T1528" s="13" t="s">
        <v>477</v>
      </c>
      <c r="U1528" s="13" t="s">
        <v>478</v>
      </c>
      <c r="V1528" s="47">
        <f>SUMIF(Data!$E:$E,$I1528,Data!$AI:$AI)</f>
        <v>0</v>
      </c>
    </row>
    <row r="1529" spans="1:22" x14ac:dyDescent="0.25">
      <c r="A1529" s="46" t="s">
        <v>9543</v>
      </c>
      <c r="B1529" s="46" t="s">
        <v>120</v>
      </c>
      <c r="C1529" s="46" t="s">
        <v>1777</v>
      </c>
      <c r="D1529" s="46">
        <v>9.4299871192174006E-2</v>
      </c>
      <c r="E1529" s="47">
        <f>SUMIF(Data!$E:$E,$C1529,Data!$AI:$AI)</f>
        <v>0</v>
      </c>
      <c r="I1529" s="13">
        <v>4202</v>
      </c>
      <c r="J1529" s="13" t="s">
        <v>10170</v>
      </c>
      <c r="K1529" s="13" t="s">
        <v>137</v>
      </c>
      <c r="L1529" s="13" t="s">
        <v>8066</v>
      </c>
      <c r="M1529" s="13" t="s">
        <v>9743</v>
      </c>
      <c r="N1529" s="13">
        <v>163.1</v>
      </c>
      <c r="O1529" s="13" t="s">
        <v>10171</v>
      </c>
      <c r="P1529" s="13" t="s">
        <v>10172</v>
      </c>
      <c r="Q1529" s="13" t="s">
        <v>734</v>
      </c>
      <c r="R1529" s="13" t="s">
        <v>10173</v>
      </c>
      <c r="S1529" s="13" t="s">
        <v>441</v>
      </c>
      <c r="T1529" s="13" t="s">
        <v>442</v>
      </c>
      <c r="U1529" s="13" t="s">
        <v>443</v>
      </c>
      <c r="V1529" s="47">
        <f>SUMIF(Data!$E:$E,$I1529,Data!$AI:$AI)</f>
        <v>0</v>
      </c>
    </row>
    <row r="1530" spans="1:22" x14ac:dyDescent="0.25">
      <c r="A1530" s="46" t="s">
        <v>9543</v>
      </c>
      <c r="B1530" s="46" t="s">
        <v>120</v>
      </c>
      <c r="C1530" s="46" t="s">
        <v>5792</v>
      </c>
      <c r="D1530" s="46">
        <v>9.639762103897E-3</v>
      </c>
      <c r="E1530" s="47">
        <f>SUMIF(Data!$E:$E,$C1530,Data!$AI:$AI)</f>
        <v>0</v>
      </c>
      <c r="I1530" s="13" t="s">
        <v>3729</v>
      </c>
      <c r="J1530" s="13" t="s">
        <v>10174</v>
      </c>
      <c r="K1530" s="13" t="s">
        <v>137</v>
      </c>
      <c r="L1530" s="13" t="s">
        <v>8066</v>
      </c>
      <c r="M1530" s="13" t="s">
        <v>10175</v>
      </c>
      <c r="N1530" s="13">
        <v>22.99</v>
      </c>
      <c r="O1530" s="13" t="s">
        <v>10176</v>
      </c>
      <c r="P1530" s="13" t="s">
        <v>10177</v>
      </c>
      <c r="Q1530" s="13" t="s">
        <v>190</v>
      </c>
      <c r="R1530" s="13" t="s">
        <v>10178</v>
      </c>
      <c r="S1530" s="13" t="s">
        <v>560</v>
      </c>
      <c r="T1530" s="13" t="s">
        <v>561</v>
      </c>
      <c r="U1530" s="13" t="s">
        <v>525</v>
      </c>
      <c r="V1530" s="47">
        <f>SUMIF(Data!$E:$E,$I1530,Data!$AI:$AI)</f>
        <v>0</v>
      </c>
    </row>
    <row r="1531" spans="1:22" x14ac:dyDescent="0.25">
      <c r="A1531" s="46" t="s">
        <v>9543</v>
      </c>
      <c r="B1531" s="46" t="s">
        <v>120</v>
      </c>
      <c r="C1531" s="46" t="s">
        <v>5799</v>
      </c>
      <c r="D1531" s="46">
        <v>1.6988962577967E-2</v>
      </c>
      <c r="E1531" s="47">
        <f>SUMIF(Data!$E:$E,$C1531,Data!$AI:$AI)</f>
        <v>0</v>
      </c>
      <c r="I1531" s="13" t="s">
        <v>10179</v>
      </c>
      <c r="J1531" s="13" t="s">
        <v>10180</v>
      </c>
      <c r="K1531" s="13" t="s">
        <v>137</v>
      </c>
      <c r="L1531" s="13" t="s">
        <v>8066</v>
      </c>
      <c r="M1531" s="13" t="s">
        <v>10181</v>
      </c>
      <c r="N1531" s="13">
        <v>242.898</v>
      </c>
      <c r="O1531" s="13" t="s">
        <v>10182</v>
      </c>
      <c r="P1531" s="13" t="s">
        <v>10183</v>
      </c>
      <c r="Q1531" s="13" t="s">
        <v>806</v>
      </c>
      <c r="R1531" s="13" t="s">
        <v>10184</v>
      </c>
      <c r="S1531" s="13" t="s">
        <v>2365</v>
      </c>
      <c r="T1531" s="13" t="s">
        <v>2366</v>
      </c>
      <c r="U1531" s="13" t="s">
        <v>2367</v>
      </c>
      <c r="V1531" s="47">
        <f>SUMIF(Data!$E:$E,$I1531,Data!$AI:$AI)</f>
        <v>0</v>
      </c>
    </row>
    <row r="1532" spans="1:22" x14ac:dyDescent="0.25">
      <c r="A1532" s="46" t="s">
        <v>9543</v>
      </c>
      <c r="B1532" s="46" t="s">
        <v>120</v>
      </c>
      <c r="C1532" s="46" t="s">
        <v>4981</v>
      </c>
      <c r="D1532" s="46">
        <v>1.1571982539736301</v>
      </c>
      <c r="E1532" s="47">
        <f>SUMIF(Data!$E:$E,$C1532,Data!$AI:$AI)</f>
        <v>0</v>
      </c>
      <c r="I1532" s="13" t="s">
        <v>10185</v>
      </c>
      <c r="J1532" s="13" t="s">
        <v>10186</v>
      </c>
      <c r="K1532" s="13" t="s">
        <v>137</v>
      </c>
      <c r="L1532" s="13" t="s">
        <v>8066</v>
      </c>
      <c r="M1532" s="13" t="s">
        <v>10187</v>
      </c>
      <c r="N1532" s="13">
        <v>73.816999999999993</v>
      </c>
      <c r="O1532" s="13" t="s">
        <v>10188</v>
      </c>
      <c r="P1532" s="13" t="s">
        <v>10189</v>
      </c>
      <c r="Q1532" s="13" t="s">
        <v>806</v>
      </c>
      <c r="R1532" s="13" t="s">
        <v>10190</v>
      </c>
      <c r="S1532" s="13" t="s">
        <v>725</v>
      </c>
      <c r="T1532" s="13" t="s">
        <v>726</v>
      </c>
      <c r="U1532" s="13" t="s">
        <v>727</v>
      </c>
      <c r="V1532" s="47">
        <f>SUMIF(Data!$E:$E,$I1532,Data!$AI:$AI)</f>
        <v>0</v>
      </c>
    </row>
    <row r="1533" spans="1:22" x14ac:dyDescent="0.25">
      <c r="A1533" s="46" t="s">
        <v>9543</v>
      </c>
      <c r="B1533" s="46" t="s">
        <v>120</v>
      </c>
      <c r="C1533" s="46" t="s">
        <v>5365</v>
      </c>
      <c r="D1533" s="46">
        <v>9.6805245696388001E-2</v>
      </c>
      <c r="E1533" s="47">
        <f>SUMIF(Data!$E:$E,$C1533,Data!$AI:$AI)</f>
        <v>0</v>
      </c>
      <c r="I1533" s="13">
        <v>9201</v>
      </c>
      <c r="J1533" s="13" t="s">
        <v>10191</v>
      </c>
      <c r="K1533" s="13" t="s">
        <v>137</v>
      </c>
      <c r="L1533" s="13" t="s">
        <v>8066</v>
      </c>
      <c r="M1533" s="13" t="s">
        <v>10192</v>
      </c>
      <c r="N1533" s="13">
        <v>48.280999999999999</v>
      </c>
      <c r="O1533" s="13" t="s">
        <v>10193</v>
      </c>
      <c r="P1533" s="13" t="s">
        <v>10194</v>
      </c>
      <c r="Q1533" s="13" t="s">
        <v>416</v>
      </c>
      <c r="R1533" s="13" t="s">
        <v>10195</v>
      </c>
      <c r="S1533" s="13" t="s">
        <v>441</v>
      </c>
      <c r="T1533" s="13" t="s">
        <v>442</v>
      </c>
      <c r="U1533" s="13" t="s">
        <v>443</v>
      </c>
      <c r="V1533" s="47">
        <f>SUMIF(Data!$E:$E,$I1533,Data!$AI:$AI)</f>
        <v>0</v>
      </c>
    </row>
    <row r="1534" spans="1:22" x14ac:dyDescent="0.25">
      <c r="A1534" s="46" t="s">
        <v>9543</v>
      </c>
      <c r="B1534" s="46" t="s">
        <v>120</v>
      </c>
      <c r="C1534" s="46" t="s">
        <v>4988</v>
      </c>
      <c r="D1534" s="46">
        <v>0.66273858167033095</v>
      </c>
      <c r="E1534" s="47">
        <f>SUMIF(Data!$E:$E,$C1534,Data!$AI:$AI)</f>
        <v>0</v>
      </c>
      <c r="I1534" s="13">
        <v>4967</v>
      </c>
      <c r="J1534" s="13" t="s">
        <v>10196</v>
      </c>
      <c r="K1534" s="13" t="s">
        <v>137</v>
      </c>
      <c r="L1534" s="13" t="s">
        <v>8066</v>
      </c>
      <c r="M1534" s="13" t="s">
        <v>10197</v>
      </c>
      <c r="N1534" s="13">
        <v>17.8</v>
      </c>
      <c r="O1534" s="13" t="s">
        <v>10198</v>
      </c>
      <c r="P1534" s="13" t="s">
        <v>10199</v>
      </c>
      <c r="Q1534" s="13" t="s">
        <v>224</v>
      </c>
      <c r="R1534" s="13" t="s">
        <v>10200</v>
      </c>
      <c r="S1534" s="13" t="s">
        <v>441</v>
      </c>
      <c r="T1534" s="13" t="s">
        <v>442</v>
      </c>
      <c r="U1534" s="13" t="s">
        <v>443</v>
      </c>
      <c r="V1534" s="47">
        <f>SUMIF(Data!$E:$E,$I1534,Data!$AI:$AI)</f>
        <v>0</v>
      </c>
    </row>
    <row r="1535" spans="1:22" x14ac:dyDescent="0.25">
      <c r="A1535" s="46" t="s">
        <v>9543</v>
      </c>
      <c r="B1535" s="46" t="s">
        <v>120</v>
      </c>
      <c r="C1535" s="46" t="s">
        <v>4995</v>
      </c>
      <c r="D1535" s="46">
        <v>1.81857022496188</v>
      </c>
      <c r="E1535" s="47">
        <f>SUMIF(Data!$E:$E,$C1535,Data!$AI:$AI)</f>
        <v>0</v>
      </c>
      <c r="I1535" s="13" t="s">
        <v>10201</v>
      </c>
      <c r="J1535" s="13" t="s">
        <v>10202</v>
      </c>
      <c r="K1535" s="13" t="s">
        <v>137</v>
      </c>
      <c r="L1535" s="13" t="s">
        <v>8066</v>
      </c>
      <c r="M1535" s="13" t="s">
        <v>3390</v>
      </c>
      <c r="N1535" s="13">
        <v>50.514000000000003</v>
      </c>
      <c r="O1535" s="13" t="s">
        <v>10203</v>
      </c>
      <c r="P1535" s="13" t="s">
        <v>10204</v>
      </c>
      <c r="Q1535" s="13" t="s">
        <v>190</v>
      </c>
      <c r="R1535" s="13" t="s">
        <v>10205</v>
      </c>
      <c r="S1535" s="13" t="s">
        <v>725</v>
      </c>
      <c r="T1535" s="13" t="s">
        <v>726</v>
      </c>
      <c r="U1535" s="13" t="s">
        <v>727</v>
      </c>
      <c r="V1535" s="47">
        <f>SUMIF(Data!$E:$E,$I1535,Data!$AI:$AI)</f>
        <v>0</v>
      </c>
    </row>
    <row r="1536" spans="1:22" x14ac:dyDescent="0.25">
      <c r="A1536" s="46" t="s">
        <v>9543</v>
      </c>
      <c r="B1536" s="46" t="s">
        <v>120</v>
      </c>
      <c r="C1536" s="46" t="s">
        <v>5372</v>
      </c>
      <c r="D1536" s="46">
        <v>0.13910110141632401</v>
      </c>
      <c r="E1536" s="47">
        <f>SUMIF(Data!$E:$E,$C1536,Data!$AI:$AI)</f>
        <v>0</v>
      </c>
      <c r="I1536" s="13" t="s">
        <v>10206</v>
      </c>
      <c r="J1536" s="13" t="s">
        <v>10207</v>
      </c>
      <c r="K1536" s="13" t="s">
        <v>137</v>
      </c>
      <c r="L1536" s="13" t="s">
        <v>8066</v>
      </c>
      <c r="M1536" s="13" t="s">
        <v>10208</v>
      </c>
      <c r="N1536" s="13">
        <v>83.771000000000001</v>
      </c>
      <c r="O1536" s="13" t="s">
        <v>10209</v>
      </c>
      <c r="P1536" s="13" t="s">
        <v>10210</v>
      </c>
      <c r="Q1536" s="13" t="s">
        <v>162</v>
      </c>
      <c r="R1536" s="13" t="s">
        <v>10211</v>
      </c>
      <c r="S1536" s="13" t="s">
        <v>192</v>
      </c>
      <c r="T1536" s="13" t="s">
        <v>146</v>
      </c>
      <c r="U1536" s="13" t="s">
        <v>110</v>
      </c>
      <c r="V1536" s="47">
        <f>SUMIF(Data!$E:$E,$I1536,Data!$AI:$AI)</f>
        <v>0</v>
      </c>
    </row>
    <row r="1537" spans="1:22" x14ac:dyDescent="0.25">
      <c r="A1537" s="46" t="s">
        <v>9543</v>
      </c>
      <c r="B1537" s="46" t="s">
        <v>120</v>
      </c>
      <c r="C1537" s="46" t="s">
        <v>6335</v>
      </c>
      <c r="D1537" s="46">
        <v>0.20019193824714701</v>
      </c>
      <c r="E1537" s="47">
        <f>SUMIF(Data!$E:$E,$C1537,Data!$AI:$AI)</f>
        <v>0</v>
      </c>
      <c r="I1537" s="13" t="s">
        <v>10212</v>
      </c>
      <c r="J1537" s="13" t="s">
        <v>10213</v>
      </c>
      <c r="K1537" s="13" t="s">
        <v>137</v>
      </c>
      <c r="L1537" s="13" t="s">
        <v>8066</v>
      </c>
      <c r="M1537" s="13" t="s">
        <v>10214</v>
      </c>
      <c r="N1537" s="13">
        <v>20.141999999999999</v>
      </c>
      <c r="O1537" s="13" t="s">
        <v>10215</v>
      </c>
      <c r="P1537" s="13" t="s">
        <v>10216</v>
      </c>
      <c r="Q1537" s="13" t="s">
        <v>806</v>
      </c>
      <c r="R1537" s="13" t="s">
        <v>10217</v>
      </c>
      <c r="S1537" s="13" t="s">
        <v>5736</v>
      </c>
      <c r="T1537" s="13" t="s">
        <v>4831</v>
      </c>
      <c r="U1537" s="13" t="s">
        <v>5737</v>
      </c>
      <c r="V1537" s="47">
        <f>SUMIF(Data!$E:$E,$I1537,Data!$AI:$AI)</f>
        <v>0</v>
      </c>
    </row>
    <row r="1538" spans="1:22" x14ac:dyDescent="0.25">
      <c r="A1538" s="46" t="s">
        <v>9543</v>
      </c>
      <c r="B1538" s="46" t="s">
        <v>120</v>
      </c>
      <c r="C1538" s="46" t="s">
        <v>5379</v>
      </c>
      <c r="D1538" s="46">
        <v>0.13341615180796401</v>
      </c>
      <c r="E1538" s="47">
        <f>SUMIF(Data!$E:$E,$C1538,Data!$AI:$AI)</f>
        <v>0</v>
      </c>
      <c r="I1538" s="13" t="s">
        <v>228</v>
      </c>
      <c r="J1538" s="13" t="s">
        <v>10218</v>
      </c>
      <c r="K1538" s="13" t="s">
        <v>755</v>
      </c>
      <c r="L1538" s="13" t="s">
        <v>8066</v>
      </c>
      <c r="M1538" s="13" t="s">
        <v>10219</v>
      </c>
      <c r="N1538" s="13" t="s">
        <v>10220</v>
      </c>
      <c r="O1538" s="13" t="s">
        <v>10221</v>
      </c>
      <c r="P1538" s="13" t="s">
        <v>10222</v>
      </c>
      <c r="Q1538" s="13" t="s">
        <v>759</v>
      </c>
      <c r="R1538" s="13" t="s">
        <v>760</v>
      </c>
      <c r="S1538" s="13" t="s">
        <v>760</v>
      </c>
      <c r="T1538" s="13" t="s">
        <v>227</v>
      </c>
      <c r="U1538" s="13" t="s">
        <v>228</v>
      </c>
      <c r="V1538" s="47">
        <f>SUMIF(Data!$E:$E,$I1538,Data!$AI:$AI)</f>
        <v>0</v>
      </c>
    </row>
    <row r="1539" spans="1:22" x14ac:dyDescent="0.25">
      <c r="A1539" s="46" t="s">
        <v>9543</v>
      </c>
      <c r="B1539" s="46" t="s">
        <v>120</v>
      </c>
      <c r="C1539" s="46" t="s">
        <v>5386</v>
      </c>
      <c r="D1539" s="46">
        <v>0.23017238404350701</v>
      </c>
      <c r="E1539" s="47">
        <f>SUMIF(Data!$E:$E,$C1539,Data!$AI:$AI)</f>
        <v>0</v>
      </c>
      <c r="I1539" s="13">
        <v>1972</v>
      </c>
      <c r="J1539" s="13" t="s">
        <v>10223</v>
      </c>
      <c r="K1539" s="13" t="s">
        <v>137</v>
      </c>
      <c r="L1539" s="13" t="s">
        <v>8066</v>
      </c>
      <c r="M1539" s="13" t="s">
        <v>10224</v>
      </c>
      <c r="N1539" s="13">
        <v>443.2</v>
      </c>
      <c r="O1539" s="13" t="s">
        <v>10225</v>
      </c>
      <c r="P1539" s="13" t="s">
        <v>10226</v>
      </c>
      <c r="Q1539" s="13" t="s">
        <v>806</v>
      </c>
      <c r="R1539" s="13" t="s">
        <v>10227</v>
      </c>
      <c r="S1539" s="13" t="s">
        <v>549</v>
      </c>
      <c r="T1539" s="13" t="s">
        <v>550</v>
      </c>
      <c r="U1539" s="13" t="s">
        <v>551</v>
      </c>
      <c r="V1539" s="47">
        <f>SUMIF(Data!$E:$E,$I1539,Data!$AI:$AI)</f>
        <v>0</v>
      </c>
    </row>
    <row r="1540" spans="1:22" x14ac:dyDescent="0.25">
      <c r="A1540" s="46" t="s">
        <v>9543</v>
      </c>
      <c r="B1540" s="46" t="s">
        <v>120</v>
      </c>
      <c r="C1540" s="46" t="s">
        <v>5806</v>
      </c>
      <c r="D1540" s="46">
        <v>5.0302298110924001E-2</v>
      </c>
      <c r="E1540" s="47">
        <f>SUMIF(Data!$E:$E,$C1540,Data!$AI:$AI)</f>
        <v>0</v>
      </c>
      <c r="I1540" s="13" t="s">
        <v>10228</v>
      </c>
      <c r="J1540" s="13" t="s">
        <v>10229</v>
      </c>
      <c r="K1540" s="13" t="s">
        <v>137</v>
      </c>
      <c r="L1540" s="13" t="s">
        <v>8066</v>
      </c>
      <c r="M1540" s="13" t="s">
        <v>10230</v>
      </c>
      <c r="N1540" s="13">
        <v>426.10700000000003</v>
      </c>
      <c r="O1540" s="13" t="s">
        <v>10231</v>
      </c>
      <c r="P1540" s="13" t="s">
        <v>10232</v>
      </c>
      <c r="Q1540" s="13" t="s">
        <v>190</v>
      </c>
      <c r="R1540" s="13" t="s">
        <v>10233</v>
      </c>
      <c r="S1540" s="13" t="s">
        <v>2410</v>
      </c>
      <c r="T1540" s="13" t="s">
        <v>1282</v>
      </c>
      <c r="U1540" s="13" t="s">
        <v>525</v>
      </c>
      <c r="V1540" s="47">
        <f>SUMIF(Data!$E:$E,$I1540,Data!$AI:$AI)</f>
        <v>0</v>
      </c>
    </row>
    <row r="1541" spans="1:22" x14ac:dyDescent="0.25">
      <c r="A1541" s="46" t="s">
        <v>9543</v>
      </c>
      <c r="B1541" s="46" t="s">
        <v>120</v>
      </c>
      <c r="C1541" s="46" t="s">
        <v>5813</v>
      </c>
      <c r="D1541" s="46">
        <v>7.5593483672891995E-2</v>
      </c>
      <c r="E1541" s="47">
        <f>SUMIF(Data!$E:$E,$C1541,Data!$AI:$AI)</f>
        <v>0</v>
      </c>
      <c r="I1541" s="13" t="s">
        <v>9315</v>
      </c>
      <c r="J1541" s="13" t="s">
        <v>10234</v>
      </c>
      <c r="K1541" s="13" t="s">
        <v>137</v>
      </c>
      <c r="L1541" s="13" t="s">
        <v>8066</v>
      </c>
      <c r="M1541" s="13" t="s">
        <v>10235</v>
      </c>
      <c r="N1541" s="13">
        <v>544.51800000000003</v>
      </c>
      <c r="O1541" s="13" t="s">
        <v>10236</v>
      </c>
      <c r="P1541" s="13" t="s">
        <v>10237</v>
      </c>
      <c r="Q1541" s="13" t="s">
        <v>190</v>
      </c>
      <c r="R1541" s="13" t="s">
        <v>10238</v>
      </c>
      <c r="S1541" s="13" t="s">
        <v>1164</v>
      </c>
      <c r="T1541" s="13" t="s">
        <v>1165</v>
      </c>
      <c r="U1541" s="13" t="s">
        <v>525</v>
      </c>
      <c r="V1541" s="47">
        <f>SUMIF(Data!$E:$E,$I1541,Data!$AI:$AI)</f>
        <v>0</v>
      </c>
    </row>
    <row r="1542" spans="1:22" x14ac:dyDescent="0.25">
      <c r="A1542" s="46" t="s">
        <v>9543</v>
      </c>
      <c r="B1542" s="46" t="s">
        <v>120</v>
      </c>
      <c r="C1542" s="46" t="s">
        <v>5002</v>
      </c>
      <c r="D1542" s="46">
        <v>0.85991182838507996</v>
      </c>
      <c r="E1542" s="47">
        <f>SUMIF(Data!$E:$E,$C1542,Data!$AI:$AI)</f>
        <v>0</v>
      </c>
      <c r="I1542" s="13" t="s">
        <v>10239</v>
      </c>
      <c r="J1542" s="13" t="s">
        <v>10240</v>
      </c>
      <c r="K1542" s="13" t="s">
        <v>137</v>
      </c>
      <c r="L1542" s="13" t="s">
        <v>8066</v>
      </c>
      <c r="M1542" s="13" t="s">
        <v>10241</v>
      </c>
      <c r="N1542" s="13">
        <v>49.110999999999997</v>
      </c>
      <c r="O1542" s="13" t="s">
        <v>10242</v>
      </c>
      <c r="P1542" s="13" t="s">
        <v>10243</v>
      </c>
      <c r="Q1542" s="13" t="s">
        <v>162</v>
      </c>
      <c r="R1542" s="13" t="s">
        <v>10244</v>
      </c>
      <c r="S1542" s="13" t="s">
        <v>3139</v>
      </c>
      <c r="T1542" s="13" t="s">
        <v>3140</v>
      </c>
      <c r="U1542" s="13" t="s">
        <v>525</v>
      </c>
      <c r="V1542" s="47">
        <f>SUMIF(Data!$E:$E,$I1542,Data!$AI:$AI)</f>
        <v>0</v>
      </c>
    </row>
    <row r="1543" spans="1:22" x14ac:dyDescent="0.25">
      <c r="A1543" s="46" t="s">
        <v>9543</v>
      </c>
      <c r="B1543" s="46" t="s">
        <v>120</v>
      </c>
      <c r="C1543" s="46" t="s">
        <v>5820</v>
      </c>
      <c r="D1543" s="46">
        <v>5.8914990578305002E-2</v>
      </c>
      <c r="E1543" s="47">
        <f>SUMIF(Data!$E:$E,$C1543,Data!$AI:$AI)</f>
        <v>0</v>
      </c>
      <c r="I1543" s="13">
        <v>8593</v>
      </c>
      <c r="J1543" s="13" t="s">
        <v>10245</v>
      </c>
      <c r="K1543" s="13" t="s">
        <v>137</v>
      </c>
      <c r="L1543" s="13" t="s">
        <v>8066</v>
      </c>
      <c r="M1543" s="13" t="s">
        <v>10246</v>
      </c>
      <c r="N1543" s="13">
        <v>220.3</v>
      </c>
      <c r="O1543" s="13" t="s">
        <v>10247</v>
      </c>
      <c r="P1543" s="13" t="s">
        <v>10248</v>
      </c>
      <c r="Q1543" s="13" t="s">
        <v>190</v>
      </c>
      <c r="R1543" s="13" t="s">
        <v>10249</v>
      </c>
      <c r="S1543" s="13" t="s">
        <v>441</v>
      </c>
      <c r="T1543" s="13" t="s">
        <v>442</v>
      </c>
      <c r="U1543" s="13" t="s">
        <v>443</v>
      </c>
      <c r="V1543" s="47">
        <f>SUMIF(Data!$E:$E,$I1543,Data!$AI:$AI)</f>
        <v>0</v>
      </c>
    </row>
    <row r="1544" spans="1:22" x14ac:dyDescent="0.25">
      <c r="A1544" s="46" t="s">
        <v>9543</v>
      </c>
      <c r="B1544" s="46" t="s">
        <v>120</v>
      </c>
      <c r="C1544" s="46" t="s">
        <v>5827</v>
      </c>
      <c r="D1544" s="46">
        <v>2.3110259471912E-2</v>
      </c>
      <c r="E1544" s="47">
        <f>SUMIF(Data!$E:$E,$C1544,Data!$AI:$AI)</f>
        <v>0</v>
      </c>
      <c r="I1544" s="13" t="s">
        <v>7358</v>
      </c>
      <c r="J1544" s="13" t="s">
        <v>10250</v>
      </c>
      <c r="K1544" s="13" t="s">
        <v>137</v>
      </c>
      <c r="L1544" s="13" t="s">
        <v>8066</v>
      </c>
      <c r="M1544" s="13" t="s">
        <v>10251</v>
      </c>
      <c r="N1544" s="13">
        <v>205.53299999999999</v>
      </c>
      <c r="O1544" s="13" t="s">
        <v>10252</v>
      </c>
      <c r="P1544" s="13" t="s">
        <v>10253</v>
      </c>
      <c r="Q1544" s="13" t="s">
        <v>190</v>
      </c>
      <c r="R1544" s="13" t="s">
        <v>10254</v>
      </c>
      <c r="S1544" s="13" t="s">
        <v>847</v>
      </c>
      <c r="T1544" s="13" t="s">
        <v>848</v>
      </c>
      <c r="U1544" s="13" t="s">
        <v>849</v>
      </c>
      <c r="V1544" s="47">
        <f>SUMIF(Data!$E:$E,$I1544,Data!$AI:$AI)</f>
        <v>0</v>
      </c>
    </row>
    <row r="1545" spans="1:22" x14ac:dyDescent="0.25">
      <c r="A1545" s="46" t="s">
        <v>9543</v>
      </c>
      <c r="B1545" s="46" t="s">
        <v>120</v>
      </c>
      <c r="C1545" s="46" t="s">
        <v>5009</v>
      </c>
      <c r="D1545" s="46">
        <v>0.69261570682638796</v>
      </c>
      <c r="E1545" s="47">
        <f>SUMIF(Data!$E:$E,$C1545,Data!$AI:$AI)</f>
        <v>0</v>
      </c>
      <c r="I1545" s="13">
        <v>7211</v>
      </c>
      <c r="J1545" s="13" t="s">
        <v>10255</v>
      </c>
      <c r="K1545" s="13" t="s">
        <v>137</v>
      </c>
      <c r="L1545" s="13" t="s">
        <v>8066</v>
      </c>
      <c r="M1545" s="13" t="s">
        <v>10256</v>
      </c>
      <c r="N1545" s="13">
        <v>346.63</v>
      </c>
      <c r="O1545" s="13" t="s">
        <v>10257</v>
      </c>
      <c r="P1545" s="13" t="s">
        <v>10258</v>
      </c>
      <c r="Q1545" s="13" t="s">
        <v>162</v>
      </c>
      <c r="R1545" s="13" t="s">
        <v>10259</v>
      </c>
      <c r="S1545" s="13" t="s">
        <v>441</v>
      </c>
      <c r="T1545" s="13" t="s">
        <v>442</v>
      </c>
      <c r="U1545" s="13" t="s">
        <v>443</v>
      </c>
      <c r="V1545" s="47">
        <f>SUMIF(Data!$E:$E,$I1545,Data!$AI:$AI)</f>
        <v>0</v>
      </c>
    </row>
    <row r="1546" spans="1:22" x14ac:dyDescent="0.25">
      <c r="A1546" s="46" t="s">
        <v>9543</v>
      </c>
      <c r="B1546" s="46" t="s">
        <v>120</v>
      </c>
      <c r="C1546" s="46" t="s">
        <v>5833</v>
      </c>
      <c r="D1546" s="46">
        <v>3.7533760513740001E-2</v>
      </c>
      <c r="E1546" s="47">
        <f>SUMIF(Data!$E:$E,$C1546,Data!$AI:$AI)</f>
        <v>0</v>
      </c>
      <c r="I1546" s="13" t="s">
        <v>10260</v>
      </c>
      <c r="J1546" s="13" t="s">
        <v>10261</v>
      </c>
      <c r="K1546" s="13" t="s">
        <v>137</v>
      </c>
      <c r="L1546" s="13" t="s">
        <v>8066</v>
      </c>
      <c r="M1546" s="13" t="s">
        <v>10262</v>
      </c>
      <c r="N1546" s="13">
        <v>214.28200000000001</v>
      </c>
      <c r="O1546" s="13" t="s">
        <v>10263</v>
      </c>
      <c r="P1546" s="13" t="s">
        <v>10264</v>
      </c>
      <c r="Q1546" s="13" t="s">
        <v>416</v>
      </c>
      <c r="R1546" s="13" t="s">
        <v>10265</v>
      </c>
      <c r="S1546" s="13" t="s">
        <v>2365</v>
      </c>
      <c r="T1546" s="13" t="s">
        <v>2366</v>
      </c>
      <c r="U1546" s="13" t="s">
        <v>2367</v>
      </c>
      <c r="V1546" s="47">
        <f>SUMIF(Data!$E:$E,$I1546,Data!$AI:$AI)</f>
        <v>0</v>
      </c>
    </row>
    <row r="1547" spans="1:22" x14ac:dyDescent="0.25">
      <c r="A1547" s="46" t="s">
        <v>9543</v>
      </c>
      <c r="B1547" s="46" t="s">
        <v>120</v>
      </c>
      <c r="C1547" s="46" t="s">
        <v>5393</v>
      </c>
      <c r="D1547" s="46">
        <v>1.5872878372751E-2</v>
      </c>
      <c r="E1547" s="47">
        <f>SUMIF(Data!$E:$E,$C1547,Data!$AI:$AI)</f>
        <v>0</v>
      </c>
      <c r="I1547" s="13" t="s">
        <v>10266</v>
      </c>
      <c r="J1547" s="13" t="s">
        <v>10267</v>
      </c>
      <c r="K1547" s="13" t="s">
        <v>137</v>
      </c>
      <c r="L1547" s="13" t="s">
        <v>8066</v>
      </c>
      <c r="M1547" s="13" t="s">
        <v>10268</v>
      </c>
      <c r="N1547" s="13">
        <v>11.15</v>
      </c>
      <c r="O1547" s="13" t="s">
        <v>10269</v>
      </c>
      <c r="P1547" s="13" t="s">
        <v>10270</v>
      </c>
      <c r="Q1547" s="13" t="s">
        <v>416</v>
      </c>
      <c r="R1547" s="13" t="s">
        <v>10271</v>
      </c>
      <c r="S1547" s="13" t="s">
        <v>523</v>
      </c>
      <c r="T1547" s="13" t="s">
        <v>524</v>
      </c>
      <c r="U1547" s="13" t="s">
        <v>525</v>
      </c>
      <c r="V1547" s="47">
        <f>SUMIF(Data!$E:$E,$I1547,Data!$AI:$AI)</f>
        <v>0</v>
      </c>
    </row>
    <row r="1548" spans="1:22" x14ac:dyDescent="0.25">
      <c r="A1548" s="46" t="s">
        <v>9543</v>
      </c>
      <c r="B1548" s="46" t="s">
        <v>120</v>
      </c>
      <c r="C1548" s="46" t="s">
        <v>5399</v>
      </c>
      <c r="D1548" s="46">
        <v>0.16651671109640001</v>
      </c>
      <c r="E1548" s="47">
        <f>SUMIF(Data!$E:$E,$C1548,Data!$AI:$AI)</f>
        <v>0</v>
      </c>
      <c r="I1548" s="13">
        <v>8</v>
      </c>
      <c r="J1548" s="13" t="s">
        <v>10272</v>
      </c>
      <c r="K1548" s="13" t="s">
        <v>137</v>
      </c>
      <c r="L1548" s="13" t="s">
        <v>8066</v>
      </c>
      <c r="M1548" s="13" t="s">
        <v>278</v>
      </c>
      <c r="N1548" s="13" t="s">
        <v>10273</v>
      </c>
      <c r="O1548" s="13" t="s">
        <v>10274</v>
      </c>
      <c r="P1548" s="13" t="s">
        <v>10275</v>
      </c>
      <c r="Q1548" s="13" t="s">
        <v>172</v>
      </c>
      <c r="R1548" s="13" t="s">
        <v>10276</v>
      </c>
      <c r="S1548" s="13" t="s">
        <v>549</v>
      </c>
      <c r="T1548" s="13" t="s">
        <v>550</v>
      </c>
      <c r="U1548" s="13" t="s">
        <v>551</v>
      </c>
      <c r="V1548" s="47">
        <f>SUMIF(Data!$E:$E,$I1548,Data!$AI:$AI)</f>
        <v>0</v>
      </c>
    </row>
    <row r="1549" spans="1:22" x14ac:dyDescent="0.25">
      <c r="A1549" s="46" t="s">
        <v>9543</v>
      </c>
      <c r="B1549" s="46" t="s">
        <v>120</v>
      </c>
      <c r="C1549" s="46" t="s">
        <v>5016</v>
      </c>
      <c r="D1549" s="46">
        <v>2.1824260401126998</v>
      </c>
      <c r="E1549" s="47">
        <f>SUMIF(Data!$E:$E,$C1549,Data!$AI:$AI)</f>
        <v>0</v>
      </c>
      <c r="I1549" s="13">
        <v>551</v>
      </c>
      <c r="J1549" s="13" t="s">
        <v>10277</v>
      </c>
      <c r="K1549" s="13" t="s">
        <v>137</v>
      </c>
      <c r="L1549" s="13" t="s">
        <v>8066</v>
      </c>
      <c r="M1549" s="13" t="s">
        <v>4730</v>
      </c>
      <c r="N1549" s="13">
        <v>454</v>
      </c>
      <c r="O1549" s="13" t="s">
        <v>10278</v>
      </c>
      <c r="P1549" s="13" t="s">
        <v>10279</v>
      </c>
      <c r="Q1549" s="13" t="s">
        <v>162</v>
      </c>
      <c r="R1549" s="13" t="s">
        <v>10280</v>
      </c>
      <c r="S1549" s="13" t="s">
        <v>549</v>
      </c>
      <c r="T1549" s="13" t="s">
        <v>550</v>
      </c>
      <c r="U1549" s="13" t="s">
        <v>551</v>
      </c>
      <c r="V1549" s="47">
        <f>SUMIF(Data!$E:$E,$I1549,Data!$AI:$AI)</f>
        <v>0</v>
      </c>
    </row>
    <row r="1550" spans="1:22" x14ac:dyDescent="0.25">
      <c r="A1550" s="46" t="s">
        <v>9543</v>
      </c>
      <c r="B1550" s="46" t="s">
        <v>120</v>
      </c>
      <c r="C1550" s="46" t="s">
        <v>5406</v>
      </c>
      <c r="D1550" s="46">
        <v>0.53208912177149603</v>
      </c>
      <c r="E1550" s="47">
        <f>SUMIF(Data!$E:$E,$C1550,Data!$AI:$AI)</f>
        <v>0</v>
      </c>
      <c r="I1550" s="13">
        <v>4581</v>
      </c>
      <c r="J1550" s="13" t="s">
        <v>10281</v>
      </c>
      <c r="K1550" s="13" t="s">
        <v>137</v>
      </c>
      <c r="L1550" s="13" t="s">
        <v>8066</v>
      </c>
      <c r="M1550" s="13" t="s">
        <v>10282</v>
      </c>
      <c r="N1550" s="13">
        <v>19.010000000000002</v>
      </c>
      <c r="O1550" s="13" t="s">
        <v>10283</v>
      </c>
      <c r="P1550" s="13" t="s">
        <v>10284</v>
      </c>
      <c r="Q1550" s="13" t="s">
        <v>208</v>
      </c>
      <c r="R1550" s="13" t="s">
        <v>10285</v>
      </c>
      <c r="S1550" s="13" t="s">
        <v>441</v>
      </c>
      <c r="T1550" s="13" t="s">
        <v>442</v>
      </c>
      <c r="U1550" s="13" t="s">
        <v>443</v>
      </c>
      <c r="V1550" s="47">
        <f>SUMIF(Data!$E:$E,$I1550,Data!$AI:$AI)</f>
        <v>0</v>
      </c>
    </row>
    <row r="1551" spans="1:22" x14ac:dyDescent="0.25">
      <c r="A1551" s="46" t="s">
        <v>9543</v>
      </c>
      <c r="B1551" s="46" t="s">
        <v>120</v>
      </c>
      <c r="C1551" s="46" t="s">
        <v>5023</v>
      </c>
      <c r="D1551" s="46">
        <v>2.0857722742083902</v>
      </c>
      <c r="E1551" s="47">
        <f>SUMIF(Data!$E:$E,$C1551,Data!$AI:$AI)</f>
        <v>0</v>
      </c>
      <c r="I1551" s="13" t="s">
        <v>10286</v>
      </c>
      <c r="J1551" s="13" t="s">
        <v>10287</v>
      </c>
      <c r="K1551" s="13" t="s">
        <v>137</v>
      </c>
      <c r="L1551" s="13" t="s">
        <v>8066</v>
      </c>
      <c r="M1551" s="13" t="s">
        <v>10288</v>
      </c>
      <c r="N1551" s="13">
        <v>11.396000000000001</v>
      </c>
      <c r="O1551" s="13" t="s">
        <v>10289</v>
      </c>
      <c r="P1551" s="13" t="s">
        <v>10290</v>
      </c>
      <c r="Q1551" s="13" t="s">
        <v>224</v>
      </c>
      <c r="R1551" s="13" t="s">
        <v>10291</v>
      </c>
      <c r="S1551" s="13" t="s">
        <v>560</v>
      </c>
      <c r="T1551" s="13" t="s">
        <v>561</v>
      </c>
      <c r="U1551" s="13" t="s">
        <v>525</v>
      </c>
      <c r="V1551" s="47">
        <f>SUMIF(Data!$E:$E,$I1551,Data!$AI:$AI)</f>
        <v>0</v>
      </c>
    </row>
    <row r="1552" spans="1:22" x14ac:dyDescent="0.25">
      <c r="A1552" s="46" t="s">
        <v>9543</v>
      </c>
      <c r="B1552" s="46" t="s">
        <v>120</v>
      </c>
      <c r="C1552" s="46" t="s">
        <v>6747</v>
      </c>
      <c r="D1552" s="46">
        <v>0.22610339735458901</v>
      </c>
      <c r="E1552" s="47">
        <f>SUMIF(Data!$E:$E,$C1552,Data!$AI:$AI)</f>
        <v>0</v>
      </c>
      <c r="I1552" s="13" t="s">
        <v>9611</v>
      </c>
      <c r="J1552" s="13" t="s">
        <v>10292</v>
      </c>
      <c r="K1552" s="13" t="s">
        <v>137</v>
      </c>
      <c r="L1552" s="13" t="s">
        <v>8066</v>
      </c>
      <c r="M1552" s="13" t="s">
        <v>10293</v>
      </c>
      <c r="N1552" s="13">
        <v>36.53</v>
      </c>
      <c r="O1552" s="13" t="s">
        <v>10294</v>
      </c>
      <c r="P1552" s="13" t="s">
        <v>10295</v>
      </c>
      <c r="Q1552" s="13" t="s">
        <v>208</v>
      </c>
      <c r="R1552" s="13" t="s">
        <v>10296</v>
      </c>
      <c r="S1552" s="13" t="s">
        <v>768</v>
      </c>
      <c r="T1552" s="13" t="s">
        <v>769</v>
      </c>
      <c r="U1552" s="13" t="s">
        <v>770</v>
      </c>
      <c r="V1552" s="47">
        <f>SUMIF(Data!$E:$E,$I1552,Data!$AI:$AI)</f>
        <v>0</v>
      </c>
    </row>
    <row r="1553" spans="1:22" x14ac:dyDescent="0.25">
      <c r="A1553" s="46" t="s">
        <v>10297</v>
      </c>
      <c r="B1553" s="46" t="s">
        <v>120</v>
      </c>
      <c r="C1553" s="46" t="s">
        <v>5474</v>
      </c>
      <c r="D1553" s="46">
        <v>2.24002737237603</v>
      </c>
      <c r="E1553" s="47">
        <f>SUMIF(Data!$E:$E,$C1553,Data!$AI:$AI)</f>
        <v>0</v>
      </c>
      <c r="I1553" s="13" t="s">
        <v>10298</v>
      </c>
      <c r="J1553" s="13" t="s">
        <v>10299</v>
      </c>
      <c r="K1553" s="13" t="s">
        <v>137</v>
      </c>
      <c r="L1553" s="13" t="s">
        <v>8066</v>
      </c>
      <c r="M1553" s="13" t="s">
        <v>10300</v>
      </c>
      <c r="N1553" s="13">
        <v>20.594000000000001</v>
      </c>
      <c r="O1553" s="13" t="s">
        <v>10301</v>
      </c>
      <c r="P1553" s="13" t="s">
        <v>10302</v>
      </c>
      <c r="Q1553" s="13" t="s">
        <v>734</v>
      </c>
      <c r="R1553" s="13" t="s">
        <v>10303</v>
      </c>
      <c r="S1553" s="13" t="s">
        <v>192</v>
      </c>
      <c r="T1553" s="13" t="s">
        <v>146</v>
      </c>
      <c r="U1553" s="13" t="s">
        <v>110</v>
      </c>
      <c r="V1553" s="47">
        <f>SUMIF(Data!$E:$E,$I1553,Data!$AI:$AI)</f>
        <v>0</v>
      </c>
    </row>
    <row r="1554" spans="1:22" x14ac:dyDescent="0.25">
      <c r="A1554" s="46" t="s">
        <v>10297</v>
      </c>
      <c r="B1554" s="46" t="s">
        <v>120</v>
      </c>
      <c r="C1554" s="46" t="s">
        <v>3142</v>
      </c>
      <c r="D1554" s="46">
        <v>20.911931846347699</v>
      </c>
      <c r="E1554" s="47">
        <f>SUMIF(Data!$E:$E,$C1554,Data!$AI:$AI)</f>
        <v>0</v>
      </c>
      <c r="I1554" s="13">
        <v>3064</v>
      </c>
      <c r="J1554" s="13" t="s">
        <v>10304</v>
      </c>
      <c r="K1554" s="13" t="s">
        <v>137</v>
      </c>
      <c r="L1554" s="13" t="s">
        <v>8066</v>
      </c>
      <c r="M1554" s="13" t="s">
        <v>10305</v>
      </c>
      <c r="N1554" s="13">
        <v>52.6</v>
      </c>
      <c r="O1554" s="13" t="s">
        <v>10306</v>
      </c>
      <c r="P1554" s="13" t="s">
        <v>10307</v>
      </c>
      <c r="Q1554" s="13" t="s">
        <v>416</v>
      </c>
      <c r="R1554" s="13" t="s">
        <v>10308</v>
      </c>
      <c r="S1554" s="13" t="s">
        <v>441</v>
      </c>
      <c r="T1554" s="13" t="s">
        <v>442</v>
      </c>
      <c r="U1554" s="13" t="s">
        <v>443</v>
      </c>
      <c r="V1554" s="47">
        <f>SUMIF(Data!$E:$E,$I1554,Data!$AI:$AI)</f>
        <v>0</v>
      </c>
    </row>
    <row r="1555" spans="1:22" x14ac:dyDescent="0.25">
      <c r="A1555" s="46" t="s">
        <v>10297</v>
      </c>
      <c r="B1555" s="46" t="s">
        <v>120</v>
      </c>
      <c r="C1555" s="46" t="s">
        <v>3149</v>
      </c>
      <c r="D1555" s="46">
        <v>7.1993545912014598</v>
      </c>
      <c r="E1555" s="47">
        <f>SUMIF(Data!$E:$E,$C1555,Data!$AI:$AI)</f>
        <v>0</v>
      </c>
      <c r="I1555" s="13">
        <v>3938</v>
      </c>
      <c r="J1555" s="13" t="s">
        <v>10309</v>
      </c>
      <c r="K1555" s="13" t="s">
        <v>137</v>
      </c>
      <c r="L1555" s="13" t="s">
        <v>8066</v>
      </c>
      <c r="M1555" s="13" t="s">
        <v>10310</v>
      </c>
      <c r="N1555" s="13">
        <v>28.2</v>
      </c>
      <c r="O1555" s="13" t="s">
        <v>10311</v>
      </c>
      <c r="P1555" s="13" t="s">
        <v>10312</v>
      </c>
      <c r="Q1555" s="13" t="s">
        <v>172</v>
      </c>
      <c r="R1555" s="13" t="s">
        <v>10313</v>
      </c>
      <c r="S1555" s="13" t="s">
        <v>441</v>
      </c>
      <c r="T1555" s="13" t="s">
        <v>442</v>
      </c>
      <c r="U1555" s="13" t="s">
        <v>443</v>
      </c>
      <c r="V1555" s="47">
        <f>SUMIF(Data!$E:$E,$I1555,Data!$AI:$AI)</f>
        <v>0</v>
      </c>
    </row>
    <row r="1556" spans="1:22" x14ac:dyDescent="0.25">
      <c r="A1556" s="46" t="s">
        <v>10297</v>
      </c>
      <c r="B1556" s="46" t="s">
        <v>120</v>
      </c>
      <c r="C1556" s="46" t="s">
        <v>3157</v>
      </c>
      <c r="D1556" s="46">
        <v>15.7544619465622</v>
      </c>
      <c r="E1556" s="47">
        <f>SUMIF(Data!$E:$E,$C1556,Data!$AI:$AI)</f>
        <v>0</v>
      </c>
      <c r="I1556" s="13" t="s">
        <v>5206</v>
      </c>
      <c r="J1556" s="13" t="s">
        <v>10314</v>
      </c>
      <c r="K1556" s="13" t="s">
        <v>137</v>
      </c>
      <c r="L1556" s="13" t="s">
        <v>8066</v>
      </c>
      <c r="M1556" s="13" t="s">
        <v>10315</v>
      </c>
      <c r="N1556" s="13">
        <v>70.866</v>
      </c>
      <c r="O1556" s="13" t="s">
        <v>10316</v>
      </c>
      <c r="P1556" s="13" t="s">
        <v>10317</v>
      </c>
      <c r="Q1556" s="13" t="s">
        <v>190</v>
      </c>
      <c r="R1556" s="13" t="s">
        <v>10318</v>
      </c>
      <c r="S1556" s="13" t="s">
        <v>560</v>
      </c>
      <c r="T1556" s="13" t="s">
        <v>561</v>
      </c>
      <c r="U1556" s="13" t="s">
        <v>525</v>
      </c>
      <c r="V1556" s="47">
        <f>SUMIF(Data!$E:$E,$I1556,Data!$AI:$AI)</f>
        <v>0</v>
      </c>
    </row>
    <row r="1557" spans="1:22" x14ac:dyDescent="0.25">
      <c r="A1557" s="46" t="s">
        <v>10297</v>
      </c>
      <c r="B1557" s="46" t="s">
        <v>120</v>
      </c>
      <c r="C1557" s="46" t="s">
        <v>3164</v>
      </c>
      <c r="D1557" s="46">
        <v>4.4754230400806403</v>
      </c>
      <c r="E1557" s="47">
        <f>SUMIF(Data!$E:$E,$C1557,Data!$AI:$AI)</f>
        <v>0</v>
      </c>
      <c r="I1557" s="13" t="s">
        <v>10319</v>
      </c>
      <c r="J1557" s="13" t="s">
        <v>10320</v>
      </c>
      <c r="K1557" s="13" t="s">
        <v>137</v>
      </c>
      <c r="L1557" s="13" t="s">
        <v>8066</v>
      </c>
      <c r="M1557" s="13" t="s">
        <v>10321</v>
      </c>
      <c r="N1557" s="13">
        <v>681.43899999999996</v>
      </c>
      <c r="O1557" s="13" t="s">
        <v>10322</v>
      </c>
      <c r="P1557" s="13" t="s">
        <v>10323</v>
      </c>
      <c r="Q1557" s="13" t="s">
        <v>190</v>
      </c>
      <c r="R1557" s="13" t="s">
        <v>10324</v>
      </c>
      <c r="S1557" s="13" t="s">
        <v>1164</v>
      </c>
      <c r="T1557" s="13" t="s">
        <v>1165</v>
      </c>
      <c r="U1557" s="13" t="s">
        <v>525</v>
      </c>
      <c r="V1557" s="47">
        <f>SUMIF(Data!$E:$E,$I1557,Data!$AI:$AI)</f>
        <v>0</v>
      </c>
    </row>
    <row r="1558" spans="1:22" x14ac:dyDescent="0.25">
      <c r="A1558" s="46" t="s">
        <v>10297</v>
      </c>
      <c r="B1558" s="46" t="s">
        <v>120</v>
      </c>
      <c r="C1558" s="46" t="s">
        <v>5189</v>
      </c>
      <c r="D1558" s="46">
        <v>3.0640621246991899</v>
      </c>
      <c r="E1558" s="47">
        <f>SUMIF(Data!$E:$E,$C1558,Data!$AI:$AI)</f>
        <v>0</v>
      </c>
      <c r="I1558" s="13" t="s">
        <v>10325</v>
      </c>
      <c r="J1558" s="13" t="s">
        <v>10326</v>
      </c>
      <c r="K1558" s="13" t="s">
        <v>137</v>
      </c>
      <c r="L1558" s="13" t="s">
        <v>8066</v>
      </c>
      <c r="M1558" s="13" t="s">
        <v>10327</v>
      </c>
      <c r="N1558" s="13">
        <v>811.3</v>
      </c>
      <c r="O1558" s="13" t="s">
        <v>10328</v>
      </c>
      <c r="P1558" s="13" t="s">
        <v>10329</v>
      </c>
      <c r="Q1558" s="13" t="s">
        <v>416</v>
      </c>
      <c r="R1558" s="13" t="s">
        <v>10330</v>
      </c>
      <c r="S1558" s="13" t="s">
        <v>2365</v>
      </c>
      <c r="T1558" s="13" t="s">
        <v>2366</v>
      </c>
      <c r="U1558" s="13" t="s">
        <v>2367</v>
      </c>
      <c r="V1558" s="47">
        <f>SUMIF(Data!$E:$E,$I1558,Data!$AI:$AI)</f>
        <v>0</v>
      </c>
    </row>
    <row r="1559" spans="1:22" x14ac:dyDescent="0.25">
      <c r="A1559" s="46" t="s">
        <v>10297</v>
      </c>
      <c r="B1559" s="46" t="s">
        <v>120</v>
      </c>
      <c r="C1559" s="46" t="s">
        <v>5238</v>
      </c>
      <c r="D1559" s="46">
        <v>4.6853853321340102</v>
      </c>
      <c r="E1559" s="47">
        <f>SUMIF(Data!$E:$E,$C1559,Data!$AI:$AI)</f>
        <v>0</v>
      </c>
      <c r="I1559" s="13">
        <v>4716</v>
      </c>
      <c r="J1559" s="13" t="s">
        <v>10331</v>
      </c>
      <c r="K1559" s="13" t="s">
        <v>137</v>
      </c>
      <c r="L1559" s="13" t="s">
        <v>8066</v>
      </c>
      <c r="M1559" s="13" t="s">
        <v>10332</v>
      </c>
      <c r="N1559" s="13">
        <v>15.015000000000001</v>
      </c>
      <c r="O1559" s="13" t="s">
        <v>10333</v>
      </c>
      <c r="P1559" s="13" t="s">
        <v>10334</v>
      </c>
      <c r="Q1559" s="13" t="s">
        <v>143</v>
      </c>
      <c r="R1559" s="13" t="s">
        <v>10335</v>
      </c>
      <c r="S1559" s="13" t="s">
        <v>441</v>
      </c>
      <c r="T1559" s="13" t="s">
        <v>442</v>
      </c>
      <c r="U1559" s="13" t="s">
        <v>443</v>
      </c>
      <c r="V1559" s="47">
        <f>SUMIF(Data!$E:$E,$I1559,Data!$AI:$AI)</f>
        <v>0</v>
      </c>
    </row>
    <row r="1560" spans="1:22" x14ac:dyDescent="0.25">
      <c r="A1560" s="46" t="s">
        <v>10297</v>
      </c>
      <c r="B1560" s="46" t="s">
        <v>120</v>
      </c>
      <c r="C1560" s="46" t="s">
        <v>5274</v>
      </c>
      <c r="D1560" s="46">
        <v>5.5932844228855298</v>
      </c>
      <c r="E1560" s="47">
        <f>SUMIF(Data!$E:$E,$C1560,Data!$AI:$AI)</f>
        <v>0</v>
      </c>
      <c r="I1560" s="13">
        <v>4902</v>
      </c>
      <c r="J1560" s="13" t="s">
        <v>10336</v>
      </c>
      <c r="K1560" s="13" t="s">
        <v>137</v>
      </c>
      <c r="L1560" s="13" t="s">
        <v>8066</v>
      </c>
      <c r="M1560" s="13" t="s">
        <v>9630</v>
      </c>
      <c r="N1560" s="13">
        <v>207.7</v>
      </c>
      <c r="O1560" s="13" t="s">
        <v>10337</v>
      </c>
      <c r="P1560" s="13" t="s">
        <v>10338</v>
      </c>
      <c r="Q1560" s="13" t="s">
        <v>143</v>
      </c>
      <c r="R1560" s="13" t="s">
        <v>10339</v>
      </c>
      <c r="S1560" s="13" t="s">
        <v>441</v>
      </c>
      <c r="T1560" s="13" t="s">
        <v>442</v>
      </c>
      <c r="U1560" s="13" t="s">
        <v>443</v>
      </c>
      <c r="V1560" s="47">
        <f>SUMIF(Data!$E:$E,$I1560,Data!$AI:$AI)</f>
        <v>0</v>
      </c>
    </row>
    <row r="1561" spans="1:22" x14ac:dyDescent="0.25">
      <c r="A1561" s="46" t="s">
        <v>10297</v>
      </c>
      <c r="B1561" s="46" t="s">
        <v>120</v>
      </c>
      <c r="C1561" s="46" t="s">
        <v>5668</v>
      </c>
      <c r="D1561" s="46">
        <v>2.3757874427073302</v>
      </c>
      <c r="E1561" s="47">
        <f>SUMIF(Data!$E:$E,$C1561,Data!$AI:$AI)</f>
        <v>0</v>
      </c>
      <c r="I1561" s="13">
        <v>8304</v>
      </c>
      <c r="J1561" s="13" t="s">
        <v>10340</v>
      </c>
      <c r="K1561" s="13" t="s">
        <v>137</v>
      </c>
      <c r="L1561" s="13" t="s">
        <v>8066</v>
      </c>
      <c r="M1561" s="13" t="s">
        <v>10341</v>
      </c>
      <c r="N1561" s="13">
        <v>50.27</v>
      </c>
      <c r="O1561" s="13" t="s">
        <v>10342</v>
      </c>
      <c r="P1561" s="13" t="s">
        <v>10343</v>
      </c>
      <c r="Q1561" s="13" t="s">
        <v>190</v>
      </c>
      <c r="R1561" s="13" t="s">
        <v>10344</v>
      </c>
      <c r="S1561" s="13" t="s">
        <v>441</v>
      </c>
      <c r="T1561" s="13" t="s">
        <v>442</v>
      </c>
      <c r="U1561" s="13" t="s">
        <v>443</v>
      </c>
      <c r="V1561" s="47">
        <f>SUMIF(Data!$E:$E,$I1561,Data!$AI:$AI)</f>
        <v>0</v>
      </c>
    </row>
    <row r="1562" spans="1:22" x14ac:dyDescent="0.25">
      <c r="A1562" s="46" t="s">
        <v>10297</v>
      </c>
      <c r="B1562" s="46" t="s">
        <v>120</v>
      </c>
      <c r="C1562" s="46" t="s">
        <v>5675</v>
      </c>
      <c r="D1562" s="46">
        <v>0.93014221891729498</v>
      </c>
      <c r="E1562" s="47">
        <f>SUMIF(Data!$E:$E,$C1562,Data!$AI:$AI)</f>
        <v>0</v>
      </c>
      <c r="I1562" s="13" t="s">
        <v>10345</v>
      </c>
      <c r="J1562" s="13" t="s">
        <v>10346</v>
      </c>
      <c r="K1562" s="13" t="s">
        <v>137</v>
      </c>
      <c r="L1562" s="13" t="s">
        <v>8066</v>
      </c>
      <c r="M1562" s="13" t="s">
        <v>10347</v>
      </c>
      <c r="N1562" s="13">
        <v>86.736000000000004</v>
      </c>
      <c r="O1562" s="13" t="s">
        <v>10348</v>
      </c>
      <c r="P1562" s="13" t="s">
        <v>10349</v>
      </c>
      <c r="Q1562" s="13" t="s">
        <v>806</v>
      </c>
      <c r="R1562" s="13" t="s">
        <v>10350</v>
      </c>
      <c r="S1562" s="13" t="s">
        <v>725</v>
      </c>
      <c r="T1562" s="13" t="s">
        <v>726</v>
      </c>
      <c r="U1562" s="13" t="s">
        <v>727</v>
      </c>
      <c r="V1562" s="47">
        <f>SUMIF(Data!$E:$E,$I1562,Data!$AI:$AI)</f>
        <v>0</v>
      </c>
    </row>
    <row r="1563" spans="1:22" x14ac:dyDescent="0.25">
      <c r="A1563" s="46" t="s">
        <v>10297</v>
      </c>
      <c r="B1563" s="46" t="s">
        <v>120</v>
      </c>
      <c r="C1563" s="46" t="s">
        <v>5689</v>
      </c>
      <c r="D1563" s="46">
        <v>1.74886878029952</v>
      </c>
      <c r="E1563" s="47">
        <f>SUMIF(Data!$E:$E,$C1563,Data!$AI:$AI)</f>
        <v>0</v>
      </c>
      <c r="I1563" s="13" t="s">
        <v>10351</v>
      </c>
      <c r="J1563" s="13" t="s">
        <v>10352</v>
      </c>
      <c r="K1563" s="13" t="s">
        <v>137</v>
      </c>
      <c r="L1563" s="13" t="s">
        <v>8066</v>
      </c>
      <c r="M1563" s="13" t="s">
        <v>9596</v>
      </c>
      <c r="N1563" s="13">
        <v>55.999000000000002</v>
      </c>
      <c r="O1563" s="13" t="s">
        <v>10353</v>
      </c>
      <c r="P1563" s="13" t="s">
        <v>10354</v>
      </c>
      <c r="Q1563" s="13" t="s">
        <v>806</v>
      </c>
      <c r="R1563" s="13" t="s">
        <v>10355</v>
      </c>
      <c r="S1563" s="13" t="s">
        <v>725</v>
      </c>
      <c r="T1563" s="13" t="s">
        <v>726</v>
      </c>
      <c r="U1563" s="13" t="s">
        <v>727</v>
      </c>
      <c r="V1563" s="47">
        <f>SUMIF(Data!$E:$E,$I1563,Data!$AI:$AI)</f>
        <v>0</v>
      </c>
    </row>
    <row r="1564" spans="1:22" x14ac:dyDescent="0.25">
      <c r="A1564" s="46" t="s">
        <v>10297</v>
      </c>
      <c r="B1564" s="46" t="s">
        <v>120</v>
      </c>
      <c r="C1564" s="46" t="s">
        <v>5696</v>
      </c>
      <c r="D1564" s="46">
        <v>2.3028658764224499</v>
      </c>
      <c r="E1564" s="47">
        <f>SUMIF(Data!$E:$E,$C1564,Data!$AI:$AI)</f>
        <v>0</v>
      </c>
      <c r="I1564" s="13" t="s">
        <v>10356</v>
      </c>
      <c r="J1564" s="13" t="s">
        <v>10357</v>
      </c>
      <c r="K1564" s="13" t="s">
        <v>137</v>
      </c>
      <c r="L1564" s="13" t="s">
        <v>8066</v>
      </c>
      <c r="M1564" s="13" t="s">
        <v>10358</v>
      </c>
      <c r="N1564" s="13">
        <v>112.9</v>
      </c>
      <c r="O1564" s="13" t="s">
        <v>10359</v>
      </c>
      <c r="P1564" s="13" t="s">
        <v>10360</v>
      </c>
      <c r="Q1564" s="13" t="s">
        <v>260</v>
      </c>
      <c r="R1564" s="13" t="s">
        <v>10361</v>
      </c>
      <c r="S1564" s="13" t="s">
        <v>725</v>
      </c>
      <c r="T1564" s="13" t="s">
        <v>726</v>
      </c>
      <c r="U1564" s="13" t="s">
        <v>727</v>
      </c>
      <c r="V1564" s="47">
        <f>SUMIF(Data!$E:$E,$I1564,Data!$AI:$AI)</f>
        <v>0</v>
      </c>
    </row>
    <row r="1565" spans="1:22" x14ac:dyDescent="0.25">
      <c r="A1565" s="46" t="s">
        <v>10297</v>
      </c>
      <c r="B1565" s="46" t="s">
        <v>120</v>
      </c>
      <c r="C1565" s="46" t="s">
        <v>3171</v>
      </c>
      <c r="D1565" s="46">
        <v>3.98284151801009</v>
      </c>
      <c r="E1565" s="47">
        <f>SUMIF(Data!$E:$E,$C1565,Data!$AI:$AI)</f>
        <v>0</v>
      </c>
      <c r="I1565" s="13">
        <v>6504</v>
      </c>
      <c r="J1565" s="13" t="s">
        <v>10362</v>
      </c>
      <c r="K1565" s="13" t="s">
        <v>137</v>
      </c>
      <c r="L1565" s="13" t="s">
        <v>8066</v>
      </c>
      <c r="M1565" s="13" t="s">
        <v>10363</v>
      </c>
      <c r="N1565" s="13">
        <v>43.8</v>
      </c>
      <c r="O1565" s="13" t="s">
        <v>10364</v>
      </c>
      <c r="P1565" s="13" t="s">
        <v>10365</v>
      </c>
      <c r="Q1565" s="13" t="s">
        <v>416</v>
      </c>
      <c r="R1565" s="13" t="s">
        <v>10366</v>
      </c>
      <c r="S1565" s="13" t="s">
        <v>441</v>
      </c>
      <c r="T1565" s="13" t="s">
        <v>442</v>
      </c>
      <c r="U1565" s="13" t="s">
        <v>443</v>
      </c>
      <c r="V1565" s="47">
        <f>SUMIF(Data!$E:$E,$I1565,Data!$AI:$AI)</f>
        <v>0</v>
      </c>
    </row>
    <row r="1566" spans="1:22" x14ac:dyDescent="0.25">
      <c r="A1566" s="46" t="s">
        <v>10297</v>
      </c>
      <c r="B1566" s="46" t="s">
        <v>120</v>
      </c>
      <c r="C1566" s="46" t="s">
        <v>5345</v>
      </c>
      <c r="D1566" s="46">
        <v>3.2927658173902801</v>
      </c>
      <c r="E1566" s="47">
        <f>SUMIF(Data!$E:$E,$C1566,Data!$AI:$AI)</f>
        <v>0</v>
      </c>
      <c r="I1566" s="13" t="s">
        <v>10367</v>
      </c>
      <c r="J1566" s="13" t="s">
        <v>10368</v>
      </c>
      <c r="K1566" s="13" t="s">
        <v>137</v>
      </c>
      <c r="L1566" s="13" t="s">
        <v>8066</v>
      </c>
      <c r="M1566" s="13" t="s">
        <v>10369</v>
      </c>
      <c r="N1566" s="13">
        <v>44.877000000000002</v>
      </c>
      <c r="O1566" s="13" t="s">
        <v>10370</v>
      </c>
      <c r="P1566" s="13" t="s">
        <v>10371</v>
      </c>
      <c r="Q1566" s="13" t="s">
        <v>172</v>
      </c>
      <c r="R1566" s="13" t="s">
        <v>10372</v>
      </c>
      <c r="S1566" s="13" t="s">
        <v>560</v>
      </c>
      <c r="T1566" s="13" t="s">
        <v>561</v>
      </c>
      <c r="U1566" s="13" t="s">
        <v>525</v>
      </c>
      <c r="V1566" s="47">
        <f>SUMIF(Data!$E:$E,$I1566,Data!$AI:$AI)</f>
        <v>0</v>
      </c>
    </row>
    <row r="1567" spans="1:22" x14ac:dyDescent="0.25">
      <c r="A1567" s="46" t="s">
        <v>10297</v>
      </c>
      <c r="B1567" s="46" t="s">
        <v>120</v>
      </c>
      <c r="C1567" s="46" t="s">
        <v>5729</v>
      </c>
      <c r="D1567" s="46">
        <v>0.88036809040861397</v>
      </c>
      <c r="E1567" s="47">
        <f>SUMIF(Data!$E:$E,$C1567,Data!$AI:$AI)</f>
        <v>0</v>
      </c>
      <c r="I1567" s="13">
        <v>7956</v>
      </c>
      <c r="J1567" s="13" t="s">
        <v>10373</v>
      </c>
      <c r="K1567" s="13" t="s">
        <v>137</v>
      </c>
      <c r="L1567" s="13" t="s">
        <v>8066</v>
      </c>
      <c r="M1567" s="13" t="s">
        <v>10374</v>
      </c>
      <c r="N1567" s="13">
        <v>34.799999999999997</v>
      </c>
      <c r="O1567" s="13" t="s">
        <v>10375</v>
      </c>
      <c r="P1567" s="13" t="s">
        <v>10376</v>
      </c>
      <c r="Q1567" s="13" t="s">
        <v>224</v>
      </c>
      <c r="R1567" s="13" t="s">
        <v>10377</v>
      </c>
      <c r="S1567" s="13" t="s">
        <v>441</v>
      </c>
      <c r="T1567" s="13" t="s">
        <v>442</v>
      </c>
      <c r="U1567" s="13" t="s">
        <v>443</v>
      </c>
      <c r="V1567" s="47">
        <f>SUMIF(Data!$E:$E,$I1567,Data!$AI:$AI)</f>
        <v>0</v>
      </c>
    </row>
    <row r="1568" spans="1:22" x14ac:dyDescent="0.25">
      <c r="A1568" s="46" t="s">
        <v>10297</v>
      </c>
      <c r="B1568" s="46" t="s">
        <v>120</v>
      </c>
      <c r="C1568" s="46" t="s">
        <v>5752</v>
      </c>
      <c r="D1568" s="46">
        <v>2.3663128556163402</v>
      </c>
      <c r="E1568" s="47">
        <f>SUMIF(Data!$E:$E,$C1568,Data!$AI:$AI)</f>
        <v>0</v>
      </c>
      <c r="I1568" s="13" t="s">
        <v>10378</v>
      </c>
      <c r="J1568" s="13" t="s">
        <v>10379</v>
      </c>
      <c r="K1568" s="13" t="s">
        <v>137</v>
      </c>
      <c r="L1568" s="13" t="s">
        <v>8066</v>
      </c>
      <c r="M1568" s="13" t="s">
        <v>10380</v>
      </c>
      <c r="N1568" s="13">
        <v>74.587000000000003</v>
      </c>
      <c r="O1568" s="13" t="s">
        <v>10381</v>
      </c>
      <c r="P1568" s="13" t="s">
        <v>10382</v>
      </c>
      <c r="Q1568" s="13" t="s">
        <v>143</v>
      </c>
      <c r="R1568" s="13" t="s">
        <v>10383</v>
      </c>
      <c r="S1568" s="13" t="s">
        <v>145</v>
      </c>
      <c r="T1568" s="13" t="s">
        <v>146</v>
      </c>
      <c r="U1568" s="13" t="s">
        <v>110</v>
      </c>
      <c r="V1568" s="47">
        <f>SUMIF(Data!$E:$E,$I1568,Data!$AI:$AI)</f>
        <v>0</v>
      </c>
    </row>
    <row r="1569" spans="1:22" x14ac:dyDescent="0.25">
      <c r="A1569" s="46" t="s">
        <v>10297</v>
      </c>
      <c r="B1569" s="46" t="s">
        <v>120</v>
      </c>
      <c r="C1569" s="46" t="s">
        <v>5779</v>
      </c>
      <c r="D1569" s="46">
        <v>0.60419479439419099</v>
      </c>
      <c r="E1569" s="47">
        <f>SUMIF(Data!$E:$E,$C1569,Data!$AI:$AI)</f>
        <v>0</v>
      </c>
      <c r="I1569" s="13">
        <v>4751</v>
      </c>
      <c r="J1569" s="13" t="s">
        <v>10384</v>
      </c>
      <c r="K1569" s="13" t="s">
        <v>137</v>
      </c>
      <c r="L1569" s="13" t="s">
        <v>8066</v>
      </c>
      <c r="M1569" s="13" t="s">
        <v>10385</v>
      </c>
      <c r="N1569" s="13">
        <v>37</v>
      </c>
      <c r="O1569" s="13" t="s">
        <v>10386</v>
      </c>
      <c r="P1569" s="13" t="s">
        <v>10387</v>
      </c>
      <c r="Q1569" s="13" t="s">
        <v>172</v>
      </c>
      <c r="R1569" s="13" t="s">
        <v>10388</v>
      </c>
      <c r="S1569" s="13" t="s">
        <v>441</v>
      </c>
      <c r="T1569" s="13" t="s">
        <v>442</v>
      </c>
      <c r="U1569" s="13" t="s">
        <v>443</v>
      </c>
      <c r="V1569" s="47">
        <f>SUMIF(Data!$E:$E,$I1569,Data!$AI:$AI)</f>
        <v>0</v>
      </c>
    </row>
    <row r="1570" spans="1:22" x14ac:dyDescent="0.25">
      <c r="A1570" s="46" t="s">
        <v>10297</v>
      </c>
      <c r="B1570" s="46" t="s">
        <v>120</v>
      </c>
      <c r="C1570" s="46" t="s">
        <v>1777</v>
      </c>
      <c r="D1570" s="46">
        <v>1.4578363818847899</v>
      </c>
      <c r="E1570" s="47">
        <f>SUMIF(Data!$E:$E,$C1570,Data!$AI:$AI)</f>
        <v>0</v>
      </c>
      <c r="I1570" s="13">
        <v>6417</v>
      </c>
      <c r="J1570" s="13" t="s">
        <v>10389</v>
      </c>
      <c r="K1570" s="13" t="s">
        <v>137</v>
      </c>
      <c r="L1570" s="13" t="s">
        <v>8066</v>
      </c>
      <c r="M1570" s="13" t="s">
        <v>10390</v>
      </c>
      <c r="N1570" s="13">
        <v>39.045999999999999</v>
      </c>
      <c r="O1570" s="13" t="s">
        <v>10391</v>
      </c>
      <c r="P1570" s="13" t="s">
        <v>10392</v>
      </c>
      <c r="Q1570" s="13" t="s">
        <v>162</v>
      </c>
      <c r="R1570" s="13" t="s">
        <v>10393</v>
      </c>
      <c r="S1570" s="13" t="s">
        <v>441</v>
      </c>
      <c r="T1570" s="13" t="s">
        <v>442</v>
      </c>
      <c r="U1570" s="13" t="s">
        <v>443</v>
      </c>
      <c r="V1570" s="47">
        <f>SUMIF(Data!$E:$E,$I1570,Data!$AI:$AI)</f>
        <v>0</v>
      </c>
    </row>
    <row r="1571" spans="1:22" x14ac:dyDescent="0.25">
      <c r="A1571" s="46" t="s">
        <v>10297</v>
      </c>
      <c r="B1571" s="46" t="s">
        <v>120</v>
      </c>
      <c r="C1571" s="46" t="s">
        <v>5379</v>
      </c>
      <c r="D1571" s="46">
        <v>2.0625576427389198</v>
      </c>
      <c r="E1571" s="47">
        <f>SUMIF(Data!$E:$E,$C1571,Data!$AI:$AI)</f>
        <v>0</v>
      </c>
      <c r="I1571" s="13">
        <v>9364</v>
      </c>
      <c r="J1571" s="13" t="s">
        <v>10394</v>
      </c>
      <c r="K1571" s="13" t="s">
        <v>137</v>
      </c>
      <c r="L1571" s="13" t="s">
        <v>8066</v>
      </c>
      <c r="M1571" s="13" t="s">
        <v>10395</v>
      </c>
      <c r="N1571" s="13">
        <v>59.4</v>
      </c>
      <c r="O1571" s="13" t="s">
        <v>10396</v>
      </c>
      <c r="P1571" s="13" t="s">
        <v>10397</v>
      </c>
      <c r="Q1571" s="13" t="s">
        <v>416</v>
      </c>
      <c r="R1571" s="13" t="s">
        <v>10398</v>
      </c>
      <c r="S1571" s="13" t="s">
        <v>441</v>
      </c>
      <c r="T1571" s="13" t="s">
        <v>442</v>
      </c>
      <c r="U1571" s="13" t="s">
        <v>443</v>
      </c>
      <c r="V1571" s="47">
        <f>SUMIF(Data!$E:$E,$I1571,Data!$AI:$AI)</f>
        <v>0</v>
      </c>
    </row>
    <row r="1572" spans="1:22" x14ac:dyDescent="0.25">
      <c r="A1572" s="46" t="s">
        <v>10297</v>
      </c>
      <c r="B1572" s="46" t="s">
        <v>120</v>
      </c>
      <c r="C1572" s="46" t="s">
        <v>5806</v>
      </c>
      <c r="D1572" s="46">
        <v>0.77765239073418502</v>
      </c>
      <c r="E1572" s="47">
        <f>SUMIF(Data!$E:$E,$C1572,Data!$AI:$AI)</f>
        <v>0</v>
      </c>
      <c r="I1572" s="13">
        <v>4004</v>
      </c>
      <c r="J1572" s="13" t="s">
        <v>10399</v>
      </c>
      <c r="K1572" s="13" t="s">
        <v>137</v>
      </c>
      <c r="L1572" s="13" t="s">
        <v>8066</v>
      </c>
      <c r="M1572" s="13" t="s">
        <v>10400</v>
      </c>
      <c r="N1572" s="13">
        <v>51.5</v>
      </c>
      <c r="O1572" s="13" t="s">
        <v>10401</v>
      </c>
      <c r="P1572" s="13" t="s">
        <v>10402</v>
      </c>
      <c r="Q1572" s="13" t="s">
        <v>734</v>
      </c>
      <c r="R1572" s="13" t="s">
        <v>10403</v>
      </c>
      <c r="S1572" s="13" t="s">
        <v>441</v>
      </c>
      <c r="T1572" s="13" t="s">
        <v>442</v>
      </c>
      <c r="U1572" s="13" t="s">
        <v>443</v>
      </c>
      <c r="V1572" s="47">
        <f>SUMIF(Data!$E:$E,$I1572,Data!$AI:$AI)</f>
        <v>0</v>
      </c>
    </row>
    <row r="1573" spans="1:22" x14ac:dyDescent="0.25">
      <c r="A1573" s="46" t="s">
        <v>10297</v>
      </c>
      <c r="B1573" s="46" t="s">
        <v>120</v>
      </c>
      <c r="C1573" s="46" t="s">
        <v>5002</v>
      </c>
      <c r="D1573" s="46">
        <v>13.2938755141892</v>
      </c>
      <c r="E1573" s="47">
        <f>SUMIF(Data!$E:$E,$C1573,Data!$AI:$AI)</f>
        <v>0</v>
      </c>
      <c r="I1573" s="13" t="s">
        <v>10404</v>
      </c>
      <c r="J1573" s="13" t="s">
        <v>10405</v>
      </c>
      <c r="K1573" s="13" t="s">
        <v>137</v>
      </c>
      <c r="L1573" s="13" t="s">
        <v>8066</v>
      </c>
      <c r="M1573" s="13" t="s">
        <v>10406</v>
      </c>
      <c r="N1573" s="13">
        <v>15.429</v>
      </c>
      <c r="O1573" s="13" t="s">
        <v>10407</v>
      </c>
      <c r="P1573" s="13" t="s">
        <v>10408</v>
      </c>
      <c r="Q1573" s="13" t="s">
        <v>190</v>
      </c>
      <c r="R1573" s="13" t="s">
        <v>10409</v>
      </c>
      <c r="S1573" s="13" t="s">
        <v>6414</v>
      </c>
      <c r="T1573" s="13" t="s">
        <v>227</v>
      </c>
      <c r="U1573" s="13" t="s">
        <v>228</v>
      </c>
      <c r="V1573" s="47">
        <f>SUMIF(Data!$E:$E,$I1573,Data!$AI:$AI)</f>
        <v>0</v>
      </c>
    </row>
    <row r="1574" spans="1:22" x14ac:dyDescent="0.25">
      <c r="A1574" s="46" t="s">
        <v>10410</v>
      </c>
      <c r="B1574" s="46" t="s">
        <v>120</v>
      </c>
      <c r="C1574" s="46" t="s">
        <v>5474</v>
      </c>
      <c r="D1574" s="46">
        <v>1.95433282808654</v>
      </c>
      <c r="E1574" s="47">
        <f>SUMIF(Data!$E:$E,$C1574,Data!$AI:$AI)</f>
        <v>0</v>
      </c>
      <c r="I1574" s="13">
        <v>2651</v>
      </c>
      <c r="J1574" s="13" t="s">
        <v>10411</v>
      </c>
      <c r="K1574" s="13" t="s">
        <v>137</v>
      </c>
      <c r="L1574" s="13" t="s">
        <v>8066</v>
      </c>
      <c r="M1574" s="13" t="s">
        <v>10412</v>
      </c>
      <c r="N1574" s="13">
        <v>21.05</v>
      </c>
      <c r="O1574" s="13" t="s">
        <v>10413</v>
      </c>
      <c r="P1574" s="13" t="s">
        <v>10414</v>
      </c>
      <c r="Q1574" s="13" t="s">
        <v>224</v>
      </c>
      <c r="R1574" s="13" t="s">
        <v>10415</v>
      </c>
      <c r="S1574" s="13" t="s">
        <v>441</v>
      </c>
      <c r="T1574" s="13" t="s">
        <v>442</v>
      </c>
      <c r="U1574" s="13" t="s">
        <v>443</v>
      </c>
      <c r="V1574" s="47">
        <f>SUMIF(Data!$E:$E,$I1574,Data!$AI:$AI)</f>
        <v>0</v>
      </c>
    </row>
    <row r="1575" spans="1:22" x14ac:dyDescent="0.25">
      <c r="A1575" s="46" t="s">
        <v>10410</v>
      </c>
      <c r="B1575" s="46" t="s">
        <v>120</v>
      </c>
      <c r="C1575" s="46" t="s">
        <v>3142</v>
      </c>
      <c r="D1575" s="46">
        <v>18.244810492059099</v>
      </c>
      <c r="E1575" s="47">
        <f>SUMIF(Data!$E:$E,$C1575,Data!$AI:$AI)</f>
        <v>0</v>
      </c>
      <c r="I1575" s="13">
        <v>3141</v>
      </c>
      <c r="J1575" s="13" t="s">
        <v>10416</v>
      </c>
      <c r="K1575" s="13" t="s">
        <v>137</v>
      </c>
      <c r="L1575" s="13" t="s">
        <v>8066</v>
      </c>
      <c r="M1575" s="13" t="s">
        <v>10417</v>
      </c>
      <c r="N1575" s="13">
        <v>19.8</v>
      </c>
      <c r="O1575" s="13" t="s">
        <v>10418</v>
      </c>
      <c r="P1575" s="13" t="s">
        <v>10419</v>
      </c>
      <c r="Q1575" s="13" t="s">
        <v>224</v>
      </c>
      <c r="R1575" s="13" t="s">
        <v>10420</v>
      </c>
      <c r="S1575" s="13" t="s">
        <v>441</v>
      </c>
      <c r="T1575" s="13" t="s">
        <v>442</v>
      </c>
      <c r="U1575" s="13" t="s">
        <v>443</v>
      </c>
      <c r="V1575" s="47">
        <f>SUMIF(Data!$E:$E,$I1575,Data!$AI:$AI)</f>
        <v>0</v>
      </c>
    </row>
    <row r="1576" spans="1:22" x14ac:dyDescent="0.25">
      <c r="A1576" s="46" t="s">
        <v>10410</v>
      </c>
      <c r="B1576" s="46" t="s">
        <v>120</v>
      </c>
      <c r="C1576" s="46" t="s">
        <v>3149</v>
      </c>
      <c r="D1576" s="46">
        <v>6.2811442360619099</v>
      </c>
      <c r="E1576" s="47">
        <f>SUMIF(Data!$E:$E,$C1576,Data!$AI:$AI)</f>
        <v>0</v>
      </c>
      <c r="I1576" s="13" t="s">
        <v>10421</v>
      </c>
      <c r="J1576" s="13" t="s">
        <v>7472</v>
      </c>
      <c r="K1576" s="13" t="s">
        <v>137</v>
      </c>
      <c r="L1576" s="13" t="s">
        <v>8066</v>
      </c>
      <c r="M1576" s="13" t="s">
        <v>10422</v>
      </c>
      <c r="N1576" s="13">
        <v>23.771999999999998</v>
      </c>
      <c r="O1576" s="13" t="s">
        <v>10423</v>
      </c>
      <c r="P1576" s="13" t="s">
        <v>10424</v>
      </c>
      <c r="Q1576" s="13" t="s">
        <v>162</v>
      </c>
      <c r="R1576" s="13" t="s">
        <v>10425</v>
      </c>
      <c r="S1576" s="13" t="s">
        <v>6414</v>
      </c>
      <c r="T1576" s="13" t="s">
        <v>227</v>
      </c>
      <c r="U1576" s="13" t="s">
        <v>228</v>
      </c>
      <c r="V1576" s="47">
        <f>SUMIF(Data!$E:$E,$I1576,Data!$AI:$AI)</f>
        <v>0</v>
      </c>
    </row>
    <row r="1577" spans="1:22" x14ac:dyDescent="0.25">
      <c r="A1577" s="46" t="s">
        <v>10410</v>
      </c>
      <c r="B1577" s="46" t="s">
        <v>120</v>
      </c>
      <c r="C1577" s="46" t="s">
        <v>3157</v>
      </c>
      <c r="D1577" s="46">
        <v>13.745127649198301</v>
      </c>
      <c r="E1577" s="47">
        <f>SUMIF(Data!$E:$E,$C1577,Data!$AI:$AI)</f>
        <v>0</v>
      </c>
      <c r="I1577" s="13" t="s">
        <v>10426</v>
      </c>
      <c r="J1577" s="13" t="s">
        <v>10427</v>
      </c>
      <c r="K1577" s="13" t="s">
        <v>137</v>
      </c>
      <c r="L1577" s="13" t="s">
        <v>8066</v>
      </c>
      <c r="M1577" s="13" t="s">
        <v>10428</v>
      </c>
      <c r="N1577" s="13">
        <v>210.74299999999999</v>
      </c>
      <c r="O1577" s="13" t="s">
        <v>10429</v>
      </c>
      <c r="P1577" s="13" t="s">
        <v>10430</v>
      </c>
      <c r="Q1577" s="13" t="s">
        <v>162</v>
      </c>
      <c r="R1577" s="13" t="s">
        <v>10431</v>
      </c>
      <c r="S1577" s="13" t="s">
        <v>1127</v>
      </c>
      <c r="T1577" s="13" t="s">
        <v>1128</v>
      </c>
      <c r="U1577" s="13" t="s">
        <v>525</v>
      </c>
      <c r="V1577" s="47">
        <f>SUMIF(Data!$E:$E,$I1577,Data!$AI:$AI)</f>
        <v>0</v>
      </c>
    </row>
    <row r="1578" spans="1:22" x14ac:dyDescent="0.25">
      <c r="A1578" s="46" t="s">
        <v>10410</v>
      </c>
      <c r="B1578" s="46" t="s">
        <v>120</v>
      </c>
      <c r="C1578" s="46" t="s">
        <v>3164</v>
      </c>
      <c r="D1578" s="46">
        <v>3.9046246821202799</v>
      </c>
      <c r="E1578" s="47">
        <f>SUMIF(Data!$E:$E,$C1578,Data!$AI:$AI)</f>
        <v>0</v>
      </c>
      <c r="I1578" s="13">
        <v>8439</v>
      </c>
      <c r="J1578" s="13" t="s">
        <v>10432</v>
      </c>
      <c r="K1578" s="13" t="s">
        <v>137</v>
      </c>
      <c r="L1578" s="13" t="s">
        <v>8066</v>
      </c>
      <c r="M1578" s="13" t="s">
        <v>10433</v>
      </c>
      <c r="N1578" s="13">
        <v>23.4</v>
      </c>
      <c r="O1578" s="13" t="s">
        <v>10434</v>
      </c>
      <c r="P1578" s="13" t="s">
        <v>10435</v>
      </c>
      <c r="Q1578" s="13" t="s">
        <v>190</v>
      </c>
      <c r="R1578" s="13" t="s">
        <v>10436</v>
      </c>
      <c r="S1578" s="13" t="s">
        <v>441</v>
      </c>
      <c r="T1578" s="13" t="s">
        <v>442</v>
      </c>
      <c r="U1578" s="13" t="s">
        <v>443</v>
      </c>
      <c r="V1578" s="47">
        <f>SUMIF(Data!$E:$E,$I1578,Data!$AI:$AI)</f>
        <v>0</v>
      </c>
    </row>
    <row r="1579" spans="1:22" x14ac:dyDescent="0.25">
      <c r="A1579" s="46" t="s">
        <v>10410</v>
      </c>
      <c r="B1579" s="46" t="s">
        <v>120</v>
      </c>
      <c r="C1579" s="46" t="s">
        <v>5189</v>
      </c>
      <c r="D1579" s="46">
        <v>2.6732696535062699</v>
      </c>
      <c r="E1579" s="47">
        <f>SUMIF(Data!$E:$E,$C1579,Data!$AI:$AI)</f>
        <v>0</v>
      </c>
      <c r="I1579" s="13">
        <v>9987</v>
      </c>
      <c r="J1579" s="13" t="s">
        <v>10437</v>
      </c>
      <c r="K1579" s="13" t="s">
        <v>137</v>
      </c>
      <c r="L1579" s="13" t="s">
        <v>8066</v>
      </c>
      <c r="M1579" s="13" t="s">
        <v>10438</v>
      </c>
      <c r="N1579" s="13">
        <v>30.331</v>
      </c>
      <c r="O1579" s="13" t="s">
        <v>10439</v>
      </c>
      <c r="P1579" s="13" t="s">
        <v>10440</v>
      </c>
      <c r="Q1579" s="13" t="s">
        <v>208</v>
      </c>
      <c r="R1579" s="13" t="s">
        <v>10441</v>
      </c>
      <c r="S1579" s="13" t="s">
        <v>441</v>
      </c>
      <c r="T1579" s="13" t="s">
        <v>442</v>
      </c>
      <c r="U1579" s="13" t="s">
        <v>443</v>
      </c>
      <c r="V1579" s="47">
        <f>SUMIF(Data!$E:$E,$I1579,Data!$AI:$AI)</f>
        <v>0</v>
      </c>
    </row>
    <row r="1580" spans="1:22" x14ac:dyDescent="0.25">
      <c r="A1580" s="46" t="s">
        <v>10410</v>
      </c>
      <c r="B1580" s="46" t="s">
        <v>120</v>
      </c>
      <c r="C1580" s="46" t="s">
        <v>5238</v>
      </c>
      <c r="D1580" s="46">
        <v>4.0878082472322399</v>
      </c>
      <c r="E1580" s="47">
        <f>SUMIF(Data!$E:$E,$C1580,Data!$AI:$AI)</f>
        <v>0</v>
      </c>
      <c r="I1580" s="13">
        <v>6806</v>
      </c>
      <c r="J1580" s="13" t="s">
        <v>10442</v>
      </c>
      <c r="K1580" s="13" t="s">
        <v>137</v>
      </c>
      <c r="L1580" s="13" t="s">
        <v>8066</v>
      </c>
      <c r="M1580" s="13" t="s">
        <v>10443</v>
      </c>
      <c r="N1580" s="13">
        <v>9.4499999999999993</v>
      </c>
      <c r="O1580" s="13" t="s">
        <v>10444</v>
      </c>
      <c r="P1580" s="13" t="s">
        <v>10445</v>
      </c>
      <c r="Q1580" s="13" t="s">
        <v>143</v>
      </c>
      <c r="R1580" s="13" t="s">
        <v>10446</v>
      </c>
      <c r="S1580" s="13" t="s">
        <v>441</v>
      </c>
      <c r="T1580" s="13" t="s">
        <v>442</v>
      </c>
      <c r="U1580" s="13" t="s">
        <v>443</v>
      </c>
      <c r="V1580" s="47">
        <f>SUMIF(Data!$E:$E,$I1580,Data!$AI:$AI)</f>
        <v>0</v>
      </c>
    </row>
    <row r="1581" spans="1:22" x14ac:dyDescent="0.25">
      <c r="A1581" s="46" t="s">
        <v>10410</v>
      </c>
      <c r="B1581" s="46" t="s">
        <v>120</v>
      </c>
      <c r="C1581" s="46" t="s">
        <v>5274</v>
      </c>
      <c r="D1581" s="46">
        <v>4.8799132989502203</v>
      </c>
      <c r="E1581" s="47">
        <f>SUMIF(Data!$E:$E,$C1581,Data!$AI:$AI)</f>
        <v>0</v>
      </c>
      <c r="I1581" s="13">
        <v>9989</v>
      </c>
      <c r="J1581" s="13" t="s">
        <v>10447</v>
      </c>
      <c r="K1581" s="13" t="s">
        <v>137</v>
      </c>
      <c r="L1581" s="13" t="s">
        <v>8066</v>
      </c>
      <c r="M1581" s="13" t="s">
        <v>10448</v>
      </c>
      <c r="N1581" s="13">
        <v>33.5</v>
      </c>
      <c r="O1581" s="13" t="s">
        <v>10449</v>
      </c>
      <c r="P1581" s="13" t="s">
        <v>10450</v>
      </c>
      <c r="Q1581" s="13" t="s">
        <v>224</v>
      </c>
      <c r="R1581" s="13" t="s">
        <v>10451</v>
      </c>
      <c r="S1581" s="13" t="s">
        <v>441</v>
      </c>
      <c r="T1581" s="13" t="s">
        <v>442</v>
      </c>
      <c r="U1581" s="13" t="s">
        <v>443</v>
      </c>
      <c r="V1581" s="47">
        <f>SUMIF(Data!$E:$E,$I1581,Data!$AI:$AI)</f>
        <v>0</v>
      </c>
    </row>
    <row r="1582" spans="1:22" x14ac:dyDescent="0.25">
      <c r="A1582" s="46" t="s">
        <v>10410</v>
      </c>
      <c r="B1582" s="46" t="s">
        <v>120</v>
      </c>
      <c r="C1582" s="46" t="s">
        <v>5281</v>
      </c>
      <c r="D1582" s="46">
        <v>4.4185636961507297</v>
      </c>
      <c r="E1582" s="47">
        <f>SUMIF(Data!$E:$E,$C1582,Data!$AI:$AI)</f>
        <v>0</v>
      </c>
      <c r="I1582" s="13" t="s">
        <v>10452</v>
      </c>
      <c r="J1582" s="13" t="s">
        <v>10453</v>
      </c>
      <c r="K1582" s="13" t="s">
        <v>137</v>
      </c>
      <c r="L1582" s="13" t="s">
        <v>10454</v>
      </c>
      <c r="M1582" s="13" t="s">
        <v>10455</v>
      </c>
      <c r="N1582" s="13">
        <v>48.046999999999997</v>
      </c>
      <c r="O1582" s="13" t="s">
        <v>10456</v>
      </c>
      <c r="P1582" s="13" t="s">
        <v>10457</v>
      </c>
      <c r="Q1582" s="13" t="s">
        <v>190</v>
      </c>
      <c r="R1582" s="13" t="s">
        <v>10458</v>
      </c>
      <c r="S1582" s="13" t="s">
        <v>5888</v>
      </c>
      <c r="T1582" s="13" t="s">
        <v>5889</v>
      </c>
      <c r="U1582" s="13" t="s">
        <v>525</v>
      </c>
      <c r="V1582" s="47">
        <f>SUMIF(Data!$E:$E,$I1582,Data!$AI:$AI)</f>
        <v>0</v>
      </c>
    </row>
    <row r="1583" spans="1:22" x14ac:dyDescent="0.25">
      <c r="A1583" s="46" t="s">
        <v>10410</v>
      </c>
      <c r="B1583" s="46" t="s">
        <v>120</v>
      </c>
      <c r="C1583" s="46" t="s">
        <v>5668</v>
      </c>
      <c r="D1583" s="46">
        <v>2.0727779709735099</v>
      </c>
      <c r="E1583" s="47">
        <f>SUMIF(Data!$E:$E,$C1583,Data!$AI:$AI)</f>
        <v>0</v>
      </c>
      <c r="I1583" s="13" t="s">
        <v>10459</v>
      </c>
      <c r="J1583" s="13" t="s">
        <v>10460</v>
      </c>
      <c r="K1583" s="13" t="s">
        <v>137</v>
      </c>
      <c r="L1583" s="13" t="s">
        <v>10454</v>
      </c>
      <c r="M1583" s="13" t="s">
        <v>10461</v>
      </c>
      <c r="N1583" s="13">
        <v>230.798</v>
      </c>
      <c r="O1583" s="13" t="s">
        <v>10462</v>
      </c>
      <c r="P1583" s="13" t="s">
        <v>10463</v>
      </c>
      <c r="Q1583" s="13" t="s">
        <v>734</v>
      </c>
      <c r="R1583" s="13" t="s">
        <v>10464</v>
      </c>
      <c r="S1583" s="13" t="s">
        <v>476</v>
      </c>
      <c r="T1583" s="13" t="s">
        <v>477</v>
      </c>
      <c r="U1583" s="13" t="s">
        <v>478</v>
      </c>
      <c r="V1583" s="47">
        <f>SUMIF(Data!$E:$E,$I1583,Data!$AI:$AI)</f>
        <v>0</v>
      </c>
    </row>
    <row r="1584" spans="1:22" x14ac:dyDescent="0.25">
      <c r="A1584" s="46" t="s">
        <v>10410</v>
      </c>
      <c r="B1584" s="46" t="s">
        <v>120</v>
      </c>
      <c r="C1584" s="46" t="s">
        <v>5675</v>
      </c>
      <c r="D1584" s="46">
        <v>0.81151127688728097</v>
      </c>
      <c r="E1584" s="47">
        <f>SUMIF(Data!$E:$E,$C1584,Data!$AI:$AI)</f>
        <v>0</v>
      </c>
      <c r="I1584" s="13" t="s">
        <v>10465</v>
      </c>
      <c r="J1584" s="13" t="s">
        <v>10466</v>
      </c>
      <c r="K1584" s="13" t="s">
        <v>137</v>
      </c>
      <c r="L1584" s="13" t="s">
        <v>10454</v>
      </c>
      <c r="M1584" s="13" t="s">
        <v>10467</v>
      </c>
      <c r="N1584" s="13">
        <v>74.483000000000004</v>
      </c>
      <c r="O1584" s="13" t="s">
        <v>10468</v>
      </c>
      <c r="P1584" s="13" t="s">
        <v>10469</v>
      </c>
      <c r="Q1584" s="13" t="s">
        <v>172</v>
      </c>
      <c r="R1584" s="13" t="s">
        <v>10470</v>
      </c>
      <c r="S1584" s="13" t="s">
        <v>560</v>
      </c>
      <c r="T1584" s="13" t="s">
        <v>561</v>
      </c>
      <c r="U1584" s="13" t="s">
        <v>525</v>
      </c>
      <c r="V1584" s="47">
        <f>SUMIF(Data!$E:$E,$I1584,Data!$AI:$AI)</f>
        <v>0</v>
      </c>
    </row>
    <row r="1585" spans="1:22" x14ac:dyDescent="0.25">
      <c r="A1585" s="46" t="s">
        <v>10410</v>
      </c>
      <c r="B1585" s="46" t="s">
        <v>120</v>
      </c>
      <c r="C1585" s="46" t="s">
        <v>5689</v>
      </c>
      <c r="D1585" s="46">
        <v>1.52581692148236</v>
      </c>
      <c r="E1585" s="47">
        <f>SUMIF(Data!$E:$E,$C1585,Data!$AI:$AI)</f>
        <v>0</v>
      </c>
      <c r="I1585" s="13" t="s">
        <v>10471</v>
      </c>
      <c r="J1585" s="13" t="s">
        <v>10472</v>
      </c>
      <c r="K1585" s="13" t="s">
        <v>137</v>
      </c>
      <c r="L1585" s="13" t="s">
        <v>10454</v>
      </c>
      <c r="M1585" s="13" t="s">
        <v>10473</v>
      </c>
      <c r="N1585" s="13">
        <v>205</v>
      </c>
      <c r="O1585" s="13" t="s">
        <v>10474</v>
      </c>
      <c r="P1585" s="13" t="s">
        <v>10475</v>
      </c>
      <c r="Q1585" s="13" t="s">
        <v>224</v>
      </c>
      <c r="R1585" s="13" t="s">
        <v>10476</v>
      </c>
      <c r="S1585" s="13" t="s">
        <v>2365</v>
      </c>
      <c r="T1585" s="13" t="s">
        <v>550</v>
      </c>
      <c r="U1585" s="13" t="s">
        <v>110</v>
      </c>
      <c r="V1585" s="47">
        <f>SUMIF(Data!$E:$E,$I1585,Data!$AI:$AI)</f>
        <v>0</v>
      </c>
    </row>
    <row r="1586" spans="1:22" x14ac:dyDescent="0.25">
      <c r="A1586" s="46" t="s">
        <v>10410</v>
      </c>
      <c r="B1586" s="46" t="s">
        <v>120</v>
      </c>
      <c r="C1586" s="46" t="s">
        <v>5696</v>
      </c>
      <c r="D1586" s="46">
        <v>2.00915686856044</v>
      </c>
      <c r="E1586" s="47">
        <f>SUMIF(Data!$E:$E,$C1586,Data!$AI:$AI)</f>
        <v>0</v>
      </c>
      <c r="I1586" s="13" t="s">
        <v>10477</v>
      </c>
      <c r="J1586" s="13" t="s">
        <v>10478</v>
      </c>
      <c r="K1586" s="13" t="s">
        <v>137</v>
      </c>
      <c r="L1586" s="13" t="s">
        <v>10454</v>
      </c>
      <c r="M1586" s="13" t="s">
        <v>10479</v>
      </c>
      <c r="N1586" s="13">
        <v>27.62</v>
      </c>
      <c r="O1586" s="13" t="s">
        <v>10480</v>
      </c>
      <c r="P1586" s="13" t="s">
        <v>10481</v>
      </c>
      <c r="Q1586" s="13" t="s">
        <v>224</v>
      </c>
      <c r="R1586" s="13" t="s">
        <v>10482</v>
      </c>
      <c r="S1586" s="13" t="s">
        <v>560</v>
      </c>
      <c r="T1586" s="13" t="s">
        <v>561</v>
      </c>
      <c r="U1586" s="13" t="s">
        <v>525</v>
      </c>
      <c r="V1586" s="47">
        <f>SUMIF(Data!$E:$E,$I1586,Data!$AI:$AI)</f>
        <v>0</v>
      </c>
    </row>
    <row r="1587" spans="1:22" x14ac:dyDescent="0.25">
      <c r="A1587" s="46" t="s">
        <v>10410</v>
      </c>
      <c r="B1587" s="46" t="s">
        <v>120</v>
      </c>
      <c r="C1587" s="46" t="s">
        <v>3171</v>
      </c>
      <c r="D1587" s="46">
        <v>3.4748673269366299</v>
      </c>
      <c r="E1587" s="47">
        <f>SUMIF(Data!$E:$E,$C1587,Data!$AI:$AI)</f>
        <v>0</v>
      </c>
      <c r="I1587" s="13">
        <v>5463</v>
      </c>
      <c r="J1587" s="13" t="s">
        <v>10483</v>
      </c>
      <c r="K1587" s="13" t="s">
        <v>137</v>
      </c>
      <c r="L1587" s="13" t="s">
        <v>10454</v>
      </c>
      <c r="M1587" s="13" t="s">
        <v>10484</v>
      </c>
      <c r="N1587" s="13">
        <v>41.1</v>
      </c>
      <c r="O1587" s="13" t="s">
        <v>10485</v>
      </c>
      <c r="P1587" s="13" t="s">
        <v>10486</v>
      </c>
      <c r="Q1587" s="13" t="s">
        <v>734</v>
      </c>
      <c r="R1587" s="13" t="s">
        <v>10487</v>
      </c>
      <c r="S1587" s="13" t="s">
        <v>441</v>
      </c>
      <c r="T1587" s="13" t="s">
        <v>442</v>
      </c>
      <c r="U1587" s="13" t="s">
        <v>443</v>
      </c>
      <c r="V1587" s="47">
        <f>SUMIF(Data!$E:$E,$I1587,Data!$AI:$AI)</f>
        <v>0</v>
      </c>
    </row>
    <row r="1588" spans="1:22" x14ac:dyDescent="0.25">
      <c r="A1588" s="46" t="s">
        <v>10410</v>
      </c>
      <c r="B1588" s="46" t="s">
        <v>120</v>
      </c>
      <c r="C1588" s="46" t="s">
        <v>5332</v>
      </c>
      <c r="D1588" s="46">
        <v>8.1291983366504503</v>
      </c>
      <c r="E1588" s="47">
        <f>SUMIF(Data!$E:$E,$C1588,Data!$AI:$AI)</f>
        <v>0</v>
      </c>
      <c r="I1588" s="13" t="s">
        <v>10488</v>
      </c>
      <c r="J1588" s="13" t="s">
        <v>10489</v>
      </c>
      <c r="K1588" s="13" t="s">
        <v>137</v>
      </c>
      <c r="L1588" s="13" t="s">
        <v>10454</v>
      </c>
      <c r="M1588" s="13" t="s">
        <v>10490</v>
      </c>
      <c r="N1588" s="13">
        <v>91.546000000000006</v>
      </c>
      <c r="O1588" s="13" t="s">
        <v>10491</v>
      </c>
      <c r="P1588" s="13" t="s">
        <v>10492</v>
      </c>
      <c r="Q1588" s="13" t="s">
        <v>416</v>
      </c>
      <c r="R1588" s="13" t="s">
        <v>10493</v>
      </c>
      <c r="S1588" s="13" t="s">
        <v>1127</v>
      </c>
      <c r="T1588" s="13" t="s">
        <v>1128</v>
      </c>
      <c r="U1588" s="13" t="s">
        <v>525</v>
      </c>
      <c r="V1588" s="47">
        <f>SUMIF(Data!$E:$E,$I1588,Data!$AI:$AI)</f>
        <v>0</v>
      </c>
    </row>
    <row r="1589" spans="1:22" x14ac:dyDescent="0.25">
      <c r="A1589" s="46" t="s">
        <v>10410</v>
      </c>
      <c r="B1589" s="46" t="s">
        <v>120</v>
      </c>
      <c r="C1589" s="46" t="s">
        <v>5345</v>
      </c>
      <c r="D1589" s="46">
        <v>2.8728043288601399</v>
      </c>
      <c r="E1589" s="47">
        <f>SUMIF(Data!$E:$E,$C1589,Data!$AI:$AI)</f>
        <v>0</v>
      </c>
      <c r="I1589" s="13">
        <v>3231</v>
      </c>
      <c r="J1589" s="13" t="s">
        <v>10494</v>
      </c>
      <c r="K1589" s="13" t="s">
        <v>137</v>
      </c>
      <c r="L1589" s="13" t="s">
        <v>10454</v>
      </c>
      <c r="M1589" s="13" t="s">
        <v>10495</v>
      </c>
      <c r="N1589" s="13">
        <v>47.8</v>
      </c>
      <c r="O1589" s="13" t="s">
        <v>10496</v>
      </c>
      <c r="P1589" s="13" t="s">
        <v>10497</v>
      </c>
      <c r="Q1589" s="13" t="s">
        <v>806</v>
      </c>
      <c r="R1589" s="13" t="s">
        <v>10498</v>
      </c>
      <c r="S1589" s="13" t="s">
        <v>441</v>
      </c>
      <c r="T1589" s="13" t="s">
        <v>442</v>
      </c>
      <c r="U1589" s="13" t="s">
        <v>443</v>
      </c>
      <c r="V1589" s="47">
        <f>SUMIF(Data!$E:$E,$I1589,Data!$AI:$AI)</f>
        <v>0</v>
      </c>
    </row>
    <row r="1590" spans="1:22" x14ac:dyDescent="0.25">
      <c r="A1590" s="46" t="s">
        <v>10410</v>
      </c>
      <c r="B1590" s="46" t="s">
        <v>120</v>
      </c>
      <c r="C1590" s="46" t="s">
        <v>5351</v>
      </c>
      <c r="D1590" s="46">
        <v>1.5443456684716199</v>
      </c>
      <c r="E1590" s="47">
        <f>SUMIF(Data!$E:$E,$C1590,Data!$AI:$AI)</f>
        <v>0</v>
      </c>
      <c r="I1590" s="13">
        <v>6481</v>
      </c>
      <c r="J1590" s="13" t="s">
        <v>10499</v>
      </c>
      <c r="K1590" s="13" t="s">
        <v>137</v>
      </c>
      <c r="L1590" s="13" t="s">
        <v>10454</v>
      </c>
      <c r="M1590" s="13" t="s">
        <v>10484</v>
      </c>
      <c r="N1590" s="13">
        <v>40.856000000000002</v>
      </c>
      <c r="O1590" s="13" t="s">
        <v>10500</v>
      </c>
      <c r="P1590" s="13" t="s">
        <v>10501</v>
      </c>
      <c r="Q1590" s="13" t="s">
        <v>416</v>
      </c>
      <c r="R1590" s="13" t="s">
        <v>10502</v>
      </c>
      <c r="S1590" s="13" t="s">
        <v>441</v>
      </c>
      <c r="T1590" s="13" t="s">
        <v>442</v>
      </c>
      <c r="U1590" s="13" t="s">
        <v>443</v>
      </c>
      <c r="V1590" s="47">
        <f>SUMIF(Data!$E:$E,$I1590,Data!$AI:$AI)</f>
        <v>0</v>
      </c>
    </row>
    <row r="1591" spans="1:22" x14ac:dyDescent="0.25">
      <c r="A1591" s="46" t="s">
        <v>10410</v>
      </c>
      <c r="B1591" s="46" t="s">
        <v>120</v>
      </c>
      <c r="C1591" s="46" t="s">
        <v>1777</v>
      </c>
      <c r="D1591" s="46">
        <v>1.27190298396858</v>
      </c>
      <c r="E1591" s="47">
        <f>SUMIF(Data!$E:$E,$C1591,Data!$AI:$AI)</f>
        <v>0</v>
      </c>
      <c r="I1591" s="13">
        <v>4385</v>
      </c>
      <c r="J1591" s="13" t="s">
        <v>10503</v>
      </c>
      <c r="K1591" s="13" t="s">
        <v>137</v>
      </c>
      <c r="L1591" s="13" t="s">
        <v>10454</v>
      </c>
      <c r="M1591" s="13" t="s">
        <v>10504</v>
      </c>
      <c r="N1591" s="13">
        <v>56.3</v>
      </c>
      <c r="O1591" s="13" t="s">
        <v>10505</v>
      </c>
      <c r="P1591" s="13" t="s">
        <v>10506</v>
      </c>
      <c r="Q1591" s="13" t="s">
        <v>162</v>
      </c>
      <c r="R1591" s="13" t="s">
        <v>10507</v>
      </c>
      <c r="S1591" s="13" t="s">
        <v>441</v>
      </c>
      <c r="T1591" s="13" t="s">
        <v>442</v>
      </c>
      <c r="U1591" s="13" t="s">
        <v>443</v>
      </c>
      <c r="V1591" s="47">
        <f>SUMIF(Data!$E:$E,$I1591,Data!$AI:$AI)</f>
        <v>0</v>
      </c>
    </row>
    <row r="1592" spans="1:22" x14ac:dyDescent="0.25">
      <c r="A1592" s="46" t="s">
        <v>10410</v>
      </c>
      <c r="B1592" s="46" t="s">
        <v>120</v>
      </c>
      <c r="C1592" s="46" t="s">
        <v>6335</v>
      </c>
      <c r="D1592" s="46">
        <v>2.7001598242281699</v>
      </c>
      <c r="E1592" s="47">
        <f>SUMIF(Data!$E:$E,$C1592,Data!$AI:$AI)</f>
        <v>0</v>
      </c>
      <c r="I1592" s="13" t="s">
        <v>10508</v>
      </c>
      <c r="J1592" s="13" t="s">
        <v>10509</v>
      </c>
      <c r="K1592" s="13" t="s">
        <v>137</v>
      </c>
      <c r="L1592" s="13" t="s">
        <v>10454</v>
      </c>
      <c r="M1592" s="13" t="s">
        <v>10510</v>
      </c>
      <c r="N1592" s="13">
        <v>946.048</v>
      </c>
      <c r="O1592" s="13" t="s">
        <v>10511</v>
      </c>
      <c r="P1592" s="13" t="s">
        <v>10512</v>
      </c>
      <c r="Q1592" s="13" t="s">
        <v>694</v>
      </c>
      <c r="R1592" s="13" t="s">
        <v>10513</v>
      </c>
      <c r="S1592" s="13" t="s">
        <v>847</v>
      </c>
      <c r="T1592" s="13" t="s">
        <v>848</v>
      </c>
      <c r="U1592" s="13" t="s">
        <v>849</v>
      </c>
      <c r="V1592" s="47">
        <f>SUMIF(Data!$E:$E,$I1592,Data!$AI:$AI)</f>
        <v>0</v>
      </c>
    </row>
    <row r="1593" spans="1:22" x14ac:dyDescent="0.25">
      <c r="A1593" s="46" t="s">
        <v>10410</v>
      </c>
      <c r="B1593" s="46" t="s">
        <v>120</v>
      </c>
      <c r="C1593" s="46" t="s">
        <v>5379</v>
      </c>
      <c r="D1593" s="46">
        <v>1.79949770290075</v>
      </c>
      <c r="E1593" s="47">
        <f>SUMIF(Data!$E:$E,$C1593,Data!$AI:$AI)</f>
        <v>0</v>
      </c>
      <c r="I1593" s="13">
        <v>2181</v>
      </c>
      <c r="J1593" s="13" t="s">
        <v>10514</v>
      </c>
      <c r="K1593" s="13" t="s">
        <v>137</v>
      </c>
      <c r="L1593" s="13" t="s">
        <v>10454</v>
      </c>
      <c r="M1593" s="13" t="s">
        <v>8631</v>
      </c>
      <c r="N1593" s="13">
        <v>58.9</v>
      </c>
      <c r="O1593" s="13" t="s">
        <v>10515</v>
      </c>
      <c r="P1593" s="13" t="s">
        <v>10516</v>
      </c>
      <c r="Q1593" s="13" t="s">
        <v>416</v>
      </c>
      <c r="R1593" s="13" t="s">
        <v>10517</v>
      </c>
      <c r="S1593" s="13" t="s">
        <v>441</v>
      </c>
      <c r="T1593" s="13" t="s">
        <v>442</v>
      </c>
      <c r="U1593" s="13" t="s">
        <v>443</v>
      </c>
      <c r="V1593" s="47">
        <f>SUMIF(Data!$E:$E,$I1593,Data!$AI:$AI)</f>
        <v>0</v>
      </c>
    </row>
    <row r="1594" spans="1:22" x14ac:dyDescent="0.25">
      <c r="A1594" s="46" t="s">
        <v>10410</v>
      </c>
      <c r="B1594" s="46" t="s">
        <v>120</v>
      </c>
      <c r="C1594" s="46" t="s">
        <v>5002</v>
      </c>
      <c r="D1594" s="46">
        <v>11.5983660067144</v>
      </c>
      <c r="E1594" s="47">
        <f>SUMIF(Data!$E:$E,$C1594,Data!$AI:$AI)</f>
        <v>0</v>
      </c>
      <c r="I1594" s="13" t="s">
        <v>10518</v>
      </c>
      <c r="J1594" s="13" t="s">
        <v>10519</v>
      </c>
      <c r="K1594" s="13" t="s">
        <v>137</v>
      </c>
      <c r="L1594" s="13" t="s">
        <v>10454</v>
      </c>
      <c r="M1594" s="13" t="s">
        <v>10520</v>
      </c>
      <c r="N1594" s="13">
        <v>237.71899999999999</v>
      </c>
      <c r="O1594" s="13" t="s">
        <v>10521</v>
      </c>
      <c r="P1594" s="13" t="s">
        <v>10522</v>
      </c>
      <c r="Q1594" s="13" t="s">
        <v>734</v>
      </c>
      <c r="R1594" s="13" t="s">
        <v>10523</v>
      </c>
      <c r="S1594" s="13" t="s">
        <v>5736</v>
      </c>
      <c r="T1594" s="13" t="s">
        <v>4831</v>
      </c>
      <c r="U1594" s="13" t="s">
        <v>5737</v>
      </c>
      <c r="V1594" s="47">
        <f>SUMIF(Data!$E:$E,$I1594,Data!$AI:$AI)</f>
        <v>0</v>
      </c>
    </row>
    <row r="1595" spans="1:22" x14ac:dyDescent="0.25">
      <c r="A1595" s="46" t="s">
        <v>10524</v>
      </c>
      <c r="B1595" s="46" t="s">
        <v>120</v>
      </c>
      <c r="C1595" s="46" t="s">
        <v>5474</v>
      </c>
      <c r="D1595" s="46">
        <v>17.8300017139502</v>
      </c>
      <c r="E1595" s="47">
        <f>SUMIF(Data!$E:$E,$C1595,Data!$AI:$AI)</f>
        <v>0</v>
      </c>
      <c r="I1595" s="13">
        <v>4613</v>
      </c>
      <c r="J1595" s="13" t="s">
        <v>10525</v>
      </c>
      <c r="K1595" s="13" t="s">
        <v>137</v>
      </c>
      <c r="L1595" s="13" t="s">
        <v>10454</v>
      </c>
      <c r="M1595" s="13" t="s">
        <v>10526</v>
      </c>
      <c r="N1595" s="13">
        <v>45.5</v>
      </c>
      <c r="O1595" s="13" t="s">
        <v>10527</v>
      </c>
      <c r="P1595" s="13" t="s">
        <v>10528</v>
      </c>
      <c r="Q1595" s="13" t="s">
        <v>734</v>
      </c>
      <c r="R1595" s="13" t="s">
        <v>10529</v>
      </c>
      <c r="S1595" s="13" t="s">
        <v>441</v>
      </c>
      <c r="T1595" s="13" t="s">
        <v>442</v>
      </c>
      <c r="U1595" s="13" t="s">
        <v>443</v>
      </c>
      <c r="V1595" s="47">
        <f>SUMIF(Data!$E:$E,$I1595,Data!$AI:$AI)</f>
        <v>0</v>
      </c>
    </row>
    <row r="1596" spans="1:22" x14ac:dyDescent="0.25">
      <c r="A1596" s="46" t="s">
        <v>10524</v>
      </c>
      <c r="B1596" s="46" t="s">
        <v>120</v>
      </c>
      <c r="C1596" s="46" t="s">
        <v>5189</v>
      </c>
      <c r="D1596" s="46">
        <v>22.915846188511701</v>
      </c>
      <c r="E1596" s="47">
        <f>SUMIF(Data!$E:$E,$C1596,Data!$AI:$AI)</f>
        <v>0</v>
      </c>
      <c r="I1596" s="13">
        <v>5711</v>
      </c>
      <c r="J1596" s="13" t="s">
        <v>10530</v>
      </c>
      <c r="K1596" s="13" t="s">
        <v>137</v>
      </c>
      <c r="L1596" s="13" t="s">
        <v>10454</v>
      </c>
      <c r="M1596" s="13" t="s">
        <v>10531</v>
      </c>
      <c r="N1596" s="13">
        <v>41.8</v>
      </c>
      <c r="O1596" s="13" t="s">
        <v>10532</v>
      </c>
      <c r="P1596" s="13" t="s">
        <v>10533</v>
      </c>
      <c r="Q1596" s="13" t="s">
        <v>734</v>
      </c>
      <c r="R1596" s="13" t="s">
        <v>10534</v>
      </c>
      <c r="S1596" s="13" t="s">
        <v>441</v>
      </c>
      <c r="T1596" s="13" t="s">
        <v>442</v>
      </c>
      <c r="U1596" s="13" t="s">
        <v>443</v>
      </c>
      <c r="V1596" s="47">
        <f>SUMIF(Data!$E:$E,$I1596,Data!$AI:$AI)</f>
        <v>0</v>
      </c>
    </row>
    <row r="1597" spans="1:22" x14ac:dyDescent="0.25">
      <c r="A1597" s="46" t="s">
        <v>10524</v>
      </c>
      <c r="B1597" s="46" t="s">
        <v>120</v>
      </c>
      <c r="C1597" s="46" t="s">
        <v>10535</v>
      </c>
      <c r="D1597" s="46">
        <v>49.023381381095497</v>
      </c>
      <c r="E1597" s="47">
        <f>SUMIF(Data!$E:$E,$C1597,Data!$AI:$AI)</f>
        <v>0</v>
      </c>
      <c r="I1597" s="13">
        <v>6305</v>
      </c>
      <c r="J1597" s="13" t="s">
        <v>10536</v>
      </c>
      <c r="K1597" s="13" t="s">
        <v>137</v>
      </c>
      <c r="L1597" s="13" t="s">
        <v>10454</v>
      </c>
      <c r="M1597" s="13" t="s">
        <v>10537</v>
      </c>
      <c r="N1597" s="13">
        <v>34.799999999999997</v>
      </c>
      <c r="O1597" s="13" t="s">
        <v>10538</v>
      </c>
      <c r="P1597" s="13" t="s">
        <v>10539</v>
      </c>
      <c r="Q1597" s="13" t="s">
        <v>416</v>
      </c>
      <c r="R1597" s="13" t="s">
        <v>10540</v>
      </c>
      <c r="S1597" s="13" t="s">
        <v>441</v>
      </c>
      <c r="T1597" s="13" t="s">
        <v>442</v>
      </c>
      <c r="U1597" s="13" t="s">
        <v>443</v>
      </c>
      <c r="V1597" s="47">
        <f>SUMIF(Data!$E:$E,$I1597,Data!$AI:$AI)</f>
        <v>0</v>
      </c>
    </row>
    <row r="1598" spans="1:22" x14ac:dyDescent="0.25">
      <c r="A1598" s="46" t="s">
        <v>10524</v>
      </c>
      <c r="B1598" s="46" t="s">
        <v>120</v>
      </c>
      <c r="C1598" s="46" t="s">
        <v>10541</v>
      </c>
      <c r="D1598" s="46">
        <v>10.230770716442599</v>
      </c>
      <c r="E1598" s="47">
        <f>SUMIF(Data!$E:$E,$C1598,Data!$AI:$AI)</f>
        <v>0</v>
      </c>
      <c r="I1598" s="13">
        <v>4666</v>
      </c>
      <c r="J1598" s="13" t="s">
        <v>10542</v>
      </c>
      <c r="K1598" s="13" t="s">
        <v>137</v>
      </c>
      <c r="L1598" s="13" t="s">
        <v>10454</v>
      </c>
      <c r="M1598" s="13" t="s">
        <v>10543</v>
      </c>
      <c r="N1598" s="13">
        <v>44.3</v>
      </c>
      <c r="O1598" s="13" t="s">
        <v>10544</v>
      </c>
      <c r="P1598" s="13" t="s">
        <v>10545</v>
      </c>
      <c r="Q1598" s="13" t="s">
        <v>416</v>
      </c>
      <c r="R1598" s="13" t="s">
        <v>10546</v>
      </c>
      <c r="S1598" s="13" t="s">
        <v>441</v>
      </c>
      <c r="T1598" s="13" t="s">
        <v>442</v>
      </c>
      <c r="U1598" s="13" t="s">
        <v>443</v>
      </c>
      <c r="V1598" s="47">
        <f>SUMIF(Data!$E:$E,$I1598,Data!$AI:$AI)</f>
        <v>0</v>
      </c>
    </row>
    <row r="1599" spans="1:22" x14ac:dyDescent="0.25">
      <c r="A1599" s="46" t="s">
        <v>10547</v>
      </c>
      <c r="B1599" s="46" t="s">
        <v>120</v>
      </c>
      <c r="C1599" s="46" t="s">
        <v>5709</v>
      </c>
      <c r="D1599" s="46">
        <v>66.036413273288403</v>
      </c>
      <c r="E1599" s="47">
        <f>SUMIF(Data!$E:$E,$C1599,Data!$AI:$AI)</f>
        <v>0</v>
      </c>
      <c r="I1599" s="13">
        <v>2282</v>
      </c>
      <c r="J1599" s="13" t="s">
        <v>10548</v>
      </c>
      <c r="K1599" s="13" t="s">
        <v>137</v>
      </c>
      <c r="L1599" s="13" t="s">
        <v>10454</v>
      </c>
      <c r="M1599" s="13" t="s">
        <v>10549</v>
      </c>
      <c r="N1599" s="13">
        <v>24</v>
      </c>
      <c r="O1599" s="13" t="s">
        <v>10550</v>
      </c>
      <c r="P1599" s="13" t="s">
        <v>10551</v>
      </c>
      <c r="Q1599" s="13" t="s">
        <v>224</v>
      </c>
      <c r="R1599" s="13" t="s">
        <v>10552</v>
      </c>
      <c r="S1599" s="13" t="s">
        <v>441</v>
      </c>
      <c r="T1599" s="13" t="s">
        <v>442</v>
      </c>
      <c r="U1599" s="13" t="s">
        <v>443</v>
      </c>
      <c r="V1599" s="47">
        <f>SUMIF(Data!$E:$E,$I1599,Data!$AI:$AI)</f>
        <v>0</v>
      </c>
    </row>
    <row r="1600" spans="1:22" x14ac:dyDescent="0.25">
      <c r="A1600" s="46" t="s">
        <v>10547</v>
      </c>
      <c r="B1600" s="46" t="s">
        <v>120</v>
      </c>
      <c r="C1600" s="46" t="s">
        <v>10553</v>
      </c>
      <c r="D1600" s="46">
        <v>33.963586726711597</v>
      </c>
      <c r="E1600" s="47">
        <f>SUMIF(Data!$E:$E,$C1600,Data!$AI:$AI)</f>
        <v>0</v>
      </c>
      <c r="I1600" s="13" t="s">
        <v>10554</v>
      </c>
      <c r="J1600" s="13" t="s">
        <v>10555</v>
      </c>
      <c r="K1600" s="13" t="s">
        <v>137</v>
      </c>
      <c r="L1600" s="13" t="s">
        <v>10454</v>
      </c>
      <c r="M1600" s="13" t="s">
        <v>7194</v>
      </c>
      <c r="N1600" s="13">
        <v>747.41300000000001</v>
      </c>
      <c r="O1600" s="13" t="s">
        <v>10556</v>
      </c>
      <c r="P1600" s="13" t="s">
        <v>10557</v>
      </c>
      <c r="Q1600" s="13" t="s">
        <v>416</v>
      </c>
      <c r="R1600" s="13" t="s">
        <v>10558</v>
      </c>
      <c r="S1600" s="13" t="s">
        <v>725</v>
      </c>
      <c r="T1600" s="13" t="s">
        <v>726</v>
      </c>
      <c r="U1600" s="13" t="s">
        <v>727</v>
      </c>
      <c r="V1600" s="47">
        <f>SUMIF(Data!$E:$E,$I1600,Data!$AI:$AI)</f>
        <v>0</v>
      </c>
    </row>
    <row r="1601" spans="1:22" x14ac:dyDescent="0.25">
      <c r="A1601" s="46" t="s">
        <v>10559</v>
      </c>
      <c r="B1601" s="46" t="s">
        <v>120</v>
      </c>
      <c r="C1601" s="46" t="s">
        <v>5414</v>
      </c>
      <c r="D1601" s="46">
        <v>3.3718692453556999E-2</v>
      </c>
      <c r="E1601" s="47">
        <f>SUMIF(Data!$E:$E,$C1601,Data!$AI:$AI)</f>
        <v>0</v>
      </c>
      <c r="I1601" s="13">
        <v>6302</v>
      </c>
      <c r="J1601" s="13" t="s">
        <v>10560</v>
      </c>
      <c r="K1601" s="13" t="s">
        <v>137</v>
      </c>
      <c r="L1601" s="13" t="s">
        <v>10454</v>
      </c>
      <c r="M1601" s="13" t="s">
        <v>10561</v>
      </c>
      <c r="N1601" s="13">
        <v>35.6</v>
      </c>
      <c r="O1601" s="13" t="s">
        <v>10562</v>
      </c>
      <c r="P1601" s="13" t="s">
        <v>10563</v>
      </c>
      <c r="Q1601" s="13" t="s">
        <v>416</v>
      </c>
      <c r="R1601" s="13" t="s">
        <v>10564</v>
      </c>
      <c r="S1601" s="13" t="s">
        <v>441</v>
      </c>
      <c r="T1601" s="13" t="s">
        <v>442</v>
      </c>
      <c r="U1601" s="13" t="s">
        <v>443</v>
      </c>
      <c r="V1601" s="47">
        <f>SUMIF(Data!$E:$E,$I1601,Data!$AI:$AI)</f>
        <v>0</v>
      </c>
    </row>
    <row r="1602" spans="1:22" x14ac:dyDescent="0.25">
      <c r="A1602" s="46" t="s">
        <v>10559</v>
      </c>
      <c r="B1602" s="46" t="s">
        <v>120</v>
      </c>
      <c r="C1602" s="46" t="s">
        <v>5421</v>
      </c>
      <c r="D1602" s="46">
        <v>0.23161376747351101</v>
      </c>
      <c r="E1602" s="47">
        <f>SUMIF(Data!$E:$E,$C1602,Data!$AI:$AI)</f>
        <v>0</v>
      </c>
      <c r="I1602" s="13" t="s">
        <v>3713</v>
      </c>
      <c r="J1602" s="13" t="s">
        <v>10565</v>
      </c>
      <c r="K1602" s="13" t="s">
        <v>755</v>
      </c>
      <c r="L1602" s="13" t="s">
        <v>10454</v>
      </c>
      <c r="M1602" s="13" t="s">
        <v>10566</v>
      </c>
      <c r="N1602" s="13" t="s">
        <v>10567</v>
      </c>
      <c r="O1602" s="13" t="s">
        <v>10568</v>
      </c>
      <c r="P1602" s="13" t="s">
        <v>10569</v>
      </c>
      <c r="Q1602" s="13" t="s">
        <v>759</v>
      </c>
      <c r="R1602" s="13" t="s">
        <v>760</v>
      </c>
      <c r="S1602" s="13" t="s">
        <v>760</v>
      </c>
      <c r="T1602" s="13" t="s">
        <v>3712</v>
      </c>
      <c r="U1602" s="13" t="s">
        <v>3713</v>
      </c>
      <c r="V1602" s="47">
        <f>SUMIF(Data!$E:$E,$I1602,Data!$AI:$AI)</f>
        <v>0</v>
      </c>
    </row>
    <row r="1603" spans="1:22" x14ac:dyDescent="0.25">
      <c r="A1603" s="46" t="s">
        <v>10559</v>
      </c>
      <c r="B1603" s="46" t="s">
        <v>120</v>
      </c>
      <c r="C1603" s="46" t="s">
        <v>5428</v>
      </c>
      <c r="D1603" s="46">
        <v>6.4407303581535999E-2</v>
      </c>
      <c r="E1603" s="47">
        <f>SUMIF(Data!$E:$E,$C1603,Data!$AI:$AI)</f>
        <v>0</v>
      </c>
      <c r="I1603" s="13" t="s">
        <v>10570</v>
      </c>
      <c r="J1603" s="13" t="s">
        <v>10571</v>
      </c>
      <c r="K1603" s="13" t="s">
        <v>137</v>
      </c>
      <c r="L1603" s="13" t="s">
        <v>10454</v>
      </c>
      <c r="M1603" s="13" t="s">
        <v>10572</v>
      </c>
      <c r="N1603" s="13">
        <v>67.028000000000006</v>
      </c>
      <c r="O1603" s="13" t="s">
        <v>10573</v>
      </c>
      <c r="P1603" s="13" t="s">
        <v>10574</v>
      </c>
      <c r="Q1603" s="13" t="s">
        <v>224</v>
      </c>
      <c r="R1603" s="13" t="s">
        <v>10575</v>
      </c>
      <c r="S1603" s="13" t="s">
        <v>523</v>
      </c>
      <c r="T1603" s="13" t="s">
        <v>524</v>
      </c>
      <c r="U1603" s="13" t="s">
        <v>525</v>
      </c>
      <c r="V1603" s="47">
        <f>SUMIF(Data!$E:$E,$I1603,Data!$AI:$AI)</f>
        <v>0</v>
      </c>
    </row>
    <row r="1604" spans="1:22" x14ac:dyDescent="0.25">
      <c r="A1604" s="46" t="s">
        <v>10559</v>
      </c>
      <c r="B1604" s="46" t="s">
        <v>120</v>
      </c>
      <c r="C1604" s="46" t="s">
        <v>4765</v>
      </c>
      <c r="D1604" s="46">
        <v>1.8498505338657301</v>
      </c>
      <c r="E1604" s="47">
        <f>SUMIF(Data!$E:$E,$C1604,Data!$AI:$AI)</f>
        <v>0</v>
      </c>
      <c r="I1604" s="13" t="s">
        <v>10576</v>
      </c>
      <c r="J1604" s="13" t="s">
        <v>10576</v>
      </c>
      <c r="K1604" s="13" t="s">
        <v>137</v>
      </c>
      <c r="L1604" s="13" t="s">
        <v>10454</v>
      </c>
      <c r="M1604" s="13" t="s">
        <v>10577</v>
      </c>
      <c r="N1604" s="13">
        <v>25.41</v>
      </c>
      <c r="O1604" s="13">
        <v>966.07</v>
      </c>
      <c r="P1604" s="13" t="s">
        <v>10578</v>
      </c>
      <c r="Q1604" s="13" t="s">
        <v>416</v>
      </c>
      <c r="R1604" s="13" t="s">
        <v>10579</v>
      </c>
      <c r="S1604" s="13" t="s">
        <v>3139</v>
      </c>
      <c r="T1604" s="13" t="s">
        <v>3140</v>
      </c>
      <c r="U1604" s="13" t="s">
        <v>525</v>
      </c>
      <c r="V1604" s="47">
        <f>SUMIF(Data!$E:$E,$I1604,Data!$AI:$AI)</f>
        <v>0</v>
      </c>
    </row>
    <row r="1605" spans="1:22" x14ac:dyDescent="0.25">
      <c r="A1605" s="46" t="s">
        <v>10559</v>
      </c>
      <c r="B1605" s="46" t="s">
        <v>120</v>
      </c>
      <c r="C1605" s="46" t="s">
        <v>5441</v>
      </c>
      <c r="D1605" s="46">
        <v>0.25934200096012999</v>
      </c>
      <c r="E1605" s="47">
        <f>SUMIF(Data!$E:$E,$C1605,Data!$AI:$AI)</f>
        <v>0</v>
      </c>
      <c r="I1605" s="13">
        <v>7012</v>
      </c>
      <c r="J1605" s="13" t="s">
        <v>10580</v>
      </c>
      <c r="K1605" s="13" t="s">
        <v>137</v>
      </c>
      <c r="L1605" s="13" t="s">
        <v>10454</v>
      </c>
      <c r="M1605" s="13" t="s">
        <v>10581</v>
      </c>
      <c r="N1605" s="13">
        <v>44.4</v>
      </c>
      <c r="O1605" s="13">
        <v>965.72799999999995</v>
      </c>
      <c r="P1605" s="13" t="s">
        <v>10582</v>
      </c>
      <c r="Q1605" s="13" t="s">
        <v>416</v>
      </c>
      <c r="R1605" s="13" t="s">
        <v>10583</v>
      </c>
      <c r="S1605" s="13" t="s">
        <v>441</v>
      </c>
      <c r="T1605" s="13" t="s">
        <v>442</v>
      </c>
      <c r="U1605" s="13" t="s">
        <v>443</v>
      </c>
      <c r="V1605" s="47">
        <f>SUMIF(Data!$E:$E,$I1605,Data!$AI:$AI)</f>
        <v>0</v>
      </c>
    </row>
    <row r="1606" spans="1:22" x14ac:dyDescent="0.25">
      <c r="A1606" s="46" t="s">
        <v>10559</v>
      </c>
      <c r="B1606" s="46" t="s">
        <v>120</v>
      </c>
      <c r="C1606" s="46" t="s">
        <v>5048</v>
      </c>
      <c r="D1606" s="46">
        <v>0.99131226780391501</v>
      </c>
      <c r="E1606" s="47">
        <f>SUMIF(Data!$E:$E,$C1606,Data!$AI:$AI)</f>
        <v>0</v>
      </c>
      <c r="I1606" s="13" t="s">
        <v>10584</v>
      </c>
      <c r="J1606" s="13" t="s">
        <v>10585</v>
      </c>
      <c r="K1606" s="13" t="s">
        <v>137</v>
      </c>
      <c r="L1606" s="13" t="s">
        <v>10454</v>
      </c>
      <c r="M1606" s="13" t="s">
        <v>8398</v>
      </c>
      <c r="N1606" s="13">
        <v>54.259</v>
      </c>
      <c r="O1606" s="13">
        <v>956.32299999999998</v>
      </c>
      <c r="P1606" s="13" t="s">
        <v>10586</v>
      </c>
      <c r="Q1606" s="13" t="s">
        <v>208</v>
      </c>
      <c r="R1606" s="13" t="s">
        <v>10587</v>
      </c>
      <c r="S1606" s="13" t="s">
        <v>476</v>
      </c>
      <c r="T1606" s="13" t="s">
        <v>477</v>
      </c>
      <c r="U1606" s="13" t="s">
        <v>478</v>
      </c>
      <c r="V1606" s="47">
        <f>SUMIF(Data!$E:$E,$I1606,Data!$AI:$AI)</f>
        <v>0</v>
      </c>
    </row>
    <row r="1607" spans="1:22" x14ac:dyDescent="0.25">
      <c r="A1607" s="46" t="s">
        <v>10559</v>
      </c>
      <c r="B1607" s="46" t="s">
        <v>120</v>
      </c>
      <c r="C1607" s="46" t="s">
        <v>5062</v>
      </c>
      <c r="D1607" s="46">
        <v>0.77129059140070599</v>
      </c>
      <c r="E1607" s="47">
        <f>SUMIF(Data!$E:$E,$C1607,Data!$AI:$AI)</f>
        <v>0</v>
      </c>
      <c r="I1607" s="13">
        <v>683</v>
      </c>
      <c r="J1607" s="13" t="s">
        <v>10588</v>
      </c>
      <c r="K1607" s="13" t="s">
        <v>137</v>
      </c>
      <c r="L1607" s="13" t="s">
        <v>10454</v>
      </c>
      <c r="M1607" s="13" t="s">
        <v>10589</v>
      </c>
      <c r="N1607" s="13">
        <v>300</v>
      </c>
      <c r="O1607" s="13">
        <v>952.16</v>
      </c>
      <c r="P1607" s="13" t="s">
        <v>10590</v>
      </c>
      <c r="Q1607" s="13" t="s">
        <v>806</v>
      </c>
      <c r="R1607" s="13" t="s">
        <v>10591</v>
      </c>
      <c r="S1607" s="13" t="s">
        <v>549</v>
      </c>
      <c r="T1607" s="13" t="s">
        <v>550</v>
      </c>
      <c r="U1607" s="13" t="s">
        <v>551</v>
      </c>
      <c r="V1607" s="47">
        <f>SUMIF(Data!$E:$E,$I1607,Data!$AI:$AI)</f>
        <v>0</v>
      </c>
    </row>
    <row r="1608" spans="1:22" x14ac:dyDescent="0.25">
      <c r="A1608" s="46" t="s">
        <v>10559</v>
      </c>
      <c r="B1608" s="46" t="s">
        <v>120</v>
      </c>
      <c r="C1608" s="46" t="s">
        <v>4779</v>
      </c>
      <c r="D1608" s="46">
        <v>1.93783371205669</v>
      </c>
      <c r="E1608" s="47">
        <f>SUMIF(Data!$E:$E,$C1608,Data!$AI:$AI)</f>
        <v>0</v>
      </c>
      <c r="I1608" s="13">
        <v>8572</v>
      </c>
      <c r="J1608" s="13" t="s">
        <v>10592</v>
      </c>
      <c r="K1608" s="13" t="s">
        <v>137</v>
      </c>
      <c r="L1608" s="13" t="s">
        <v>10454</v>
      </c>
      <c r="M1608" s="13" t="s">
        <v>10593</v>
      </c>
      <c r="N1608" s="13">
        <v>202.416</v>
      </c>
      <c r="O1608" s="13">
        <v>934.85299999999995</v>
      </c>
      <c r="P1608" s="13" t="s">
        <v>10594</v>
      </c>
      <c r="Q1608" s="13" t="s">
        <v>190</v>
      </c>
      <c r="R1608" s="13" t="s">
        <v>10595</v>
      </c>
      <c r="S1608" s="13" t="s">
        <v>441</v>
      </c>
      <c r="T1608" s="13" t="s">
        <v>442</v>
      </c>
      <c r="U1608" s="13" t="s">
        <v>443</v>
      </c>
      <c r="V1608" s="47">
        <f>SUMIF(Data!$E:$E,$I1608,Data!$AI:$AI)</f>
        <v>0</v>
      </c>
    </row>
    <row r="1609" spans="1:22" x14ac:dyDescent="0.25">
      <c r="A1609" s="46" t="s">
        <v>10559</v>
      </c>
      <c r="B1609" s="46" t="s">
        <v>120</v>
      </c>
      <c r="C1609" s="46" t="s">
        <v>5454</v>
      </c>
      <c r="D1609" s="46">
        <v>0.133554654646972</v>
      </c>
      <c r="E1609" s="47">
        <f>SUMIF(Data!$E:$E,$C1609,Data!$AI:$AI)</f>
        <v>0</v>
      </c>
      <c r="I1609" s="13">
        <v>4182</v>
      </c>
      <c r="J1609" s="13" t="s">
        <v>10596</v>
      </c>
      <c r="K1609" s="13" t="s">
        <v>137</v>
      </c>
      <c r="L1609" s="13" t="s">
        <v>10454</v>
      </c>
      <c r="M1609" s="13" t="s">
        <v>10597</v>
      </c>
      <c r="N1609" s="13">
        <v>61.5</v>
      </c>
      <c r="O1609" s="13">
        <v>926.20500000000004</v>
      </c>
      <c r="P1609" s="13" t="s">
        <v>10598</v>
      </c>
      <c r="Q1609" s="13" t="s">
        <v>734</v>
      </c>
      <c r="R1609" s="13" t="s">
        <v>10599</v>
      </c>
      <c r="S1609" s="13" t="s">
        <v>441</v>
      </c>
      <c r="T1609" s="13" t="s">
        <v>442</v>
      </c>
      <c r="U1609" s="13" t="s">
        <v>443</v>
      </c>
      <c r="V1609" s="47">
        <f>SUMIF(Data!$E:$E,$I1609,Data!$AI:$AI)</f>
        <v>0</v>
      </c>
    </row>
    <row r="1610" spans="1:22" x14ac:dyDescent="0.25">
      <c r="A1610" s="46" t="s">
        <v>10559</v>
      </c>
      <c r="B1610" s="46" t="s">
        <v>120</v>
      </c>
      <c r="C1610" s="46" t="s">
        <v>5460</v>
      </c>
      <c r="D1610" s="46">
        <v>0.180802015223329</v>
      </c>
      <c r="E1610" s="47">
        <f>SUMIF(Data!$E:$E,$C1610,Data!$AI:$AI)</f>
        <v>0</v>
      </c>
      <c r="I1610" s="13">
        <v>9143</v>
      </c>
      <c r="J1610" s="13" t="s">
        <v>10600</v>
      </c>
      <c r="K1610" s="13" t="s">
        <v>137</v>
      </c>
      <c r="L1610" s="13" t="s">
        <v>10454</v>
      </c>
      <c r="M1610" s="13" t="s">
        <v>10601</v>
      </c>
      <c r="N1610" s="13">
        <v>40.299999999999997</v>
      </c>
      <c r="O1610" s="13">
        <v>911.495</v>
      </c>
      <c r="P1610" s="13" t="s">
        <v>10602</v>
      </c>
      <c r="Q1610" s="13" t="s">
        <v>416</v>
      </c>
      <c r="R1610" s="13" t="s">
        <v>10603</v>
      </c>
      <c r="S1610" s="13" t="s">
        <v>441</v>
      </c>
      <c r="T1610" s="13" t="s">
        <v>442</v>
      </c>
      <c r="U1610" s="13" t="s">
        <v>443</v>
      </c>
      <c r="V1610" s="47">
        <f>SUMIF(Data!$E:$E,$I1610,Data!$AI:$AI)</f>
        <v>0</v>
      </c>
    </row>
    <row r="1611" spans="1:22" x14ac:dyDescent="0.25">
      <c r="A1611" s="46" t="s">
        <v>10559</v>
      </c>
      <c r="B1611" s="46" t="s">
        <v>120</v>
      </c>
      <c r="C1611" s="46" t="s">
        <v>5467</v>
      </c>
      <c r="D1611" s="46">
        <v>0.151059749640473</v>
      </c>
      <c r="E1611" s="47">
        <f>SUMIF(Data!$E:$E,$C1611,Data!$AI:$AI)</f>
        <v>0</v>
      </c>
      <c r="I1611" s="13" t="s">
        <v>4481</v>
      </c>
      <c r="J1611" s="13" t="s">
        <v>10604</v>
      </c>
      <c r="K1611" s="13" t="s">
        <v>137</v>
      </c>
      <c r="L1611" s="13" t="s">
        <v>10454</v>
      </c>
      <c r="M1611" s="13" t="s">
        <v>10605</v>
      </c>
      <c r="N1611" s="13">
        <v>57.488</v>
      </c>
      <c r="O1611" s="13">
        <v>874.95100000000002</v>
      </c>
      <c r="P1611" s="13" t="s">
        <v>10606</v>
      </c>
      <c r="Q1611" s="13" t="s">
        <v>260</v>
      </c>
      <c r="R1611" s="13" t="s">
        <v>10607</v>
      </c>
      <c r="S1611" s="13" t="s">
        <v>847</v>
      </c>
      <c r="T1611" s="13" t="s">
        <v>848</v>
      </c>
      <c r="U1611" s="13" t="s">
        <v>849</v>
      </c>
      <c r="V1611" s="47">
        <f>SUMIF(Data!$E:$E,$I1611,Data!$AI:$AI)</f>
        <v>0</v>
      </c>
    </row>
    <row r="1612" spans="1:22" x14ac:dyDescent="0.25">
      <c r="A1612" s="46" t="s">
        <v>10559</v>
      </c>
      <c r="B1612" s="46" t="s">
        <v>120</v>
      </c>
      <c r="C1612" s="46" t="s">
        <v>5481</v>
      </c>
      <c r="D1612" s="46">
        <v>0.12393676318434201</v>
      </c>
      <c r="E1612" s="47">
        <f>SUMIF(Data!$E:$E,$C1612,Data!$AI:$AI)</f>
        <v>0</v>
      </c>
      <c r="I1612" s="13" t="s">
        <v>10608</v>
      </c>
      <c r="J1612" s="13" t="s">
        <v>10609</v>
      </c>
      <c r="K1612" s="13" t="s">
        <v>137</v>
      </c>
      <c r="L1612" s="13" t="s">
        <v>10454</v>
      </c>
      <c r="M1612" s="13" t="s">
        <v>10610</v>
      </c>
      <c r="N1612" s="13">
        <v>289.07900000000001</v>
      </c>
      <c r="O1612" s="13">
        <v>875.13400000000001</v>
      </c>
      <c r="P1612" s="13" t="s">
        <v>10611</v>
      </c>
      <c r="Q1612" s="13" t="s">
        <v>172</v>
      </c>
      <c r="R1612" s="13" t="s">
        <v>10612</v>
      </c>
      <c r="S1612" s="13" t="s">
        <v>523</v>
      </c>
      <c r="T1612" s="13" t="s">
        <v>524</v>
      </c>
      <c r="U1612" s="13" t="s">
        <v>525</v>
      </c>
      <c r="V1612" s="47">
        <f>SUMIF(Data!$E:$E,$I1612,Data!$AI:$AI)</f>
        <v>0</v>
      </c>
    </row>
    <row r="1613" spans="1:22" x14ac:dyDescent="0.25">
      <c r="A1613" s="46" t="s">
        <v>10559</v>
      </c>
      <c r="B1613" s="46" t="s">
        <v>120</v>
      </c>
      <c r="C1613" s="46" t="s">
        <v>5082</v>
      </c>
      <c r="D1613" s="46">
        <v>0.25554900342453901</v>
      </c>
      <c r="E1613" s="47">
        <f>SUMIF(Data!$E:$E,$C1613,Data!$AI:$AI)</f>
        <v>0</v>
      </c>
      <c r="I1613" s="13">
        <v>2579</v>
      </c>
      <c r="J1613" s="13" t="s">
        <v>10613</v>
      </c>
      <c r="K1613" s="13" t="s">
        <v>137</v>
      </c>
      <c r="L1613" s="13" t="s">
        <v>10454</v>
      </c>
      <c r="M1613" s="13" t="s">
        <v>8073</v>
      </c>
      <c r="N1613" s="13">
        <v>33.700000000000003</v>
      </c>
      <c r="O1613" s="13">
        <v>876.95100000000002</v>
      </c>
      <c r="P1613" s="13" t="s">
        <v>10614</v>
      </c>
      <c r="Q1613" s="13" t="s">
        <v>224</v>
      </c>
      <c r="R1613" s="13" t="s">
        <v>10615</v>
      </c>
      <c r="S1613" s="13" t="s">
        <v>441</v>
      </c>
      <c r="T1613" s="13" t="s">
        <v>442</v>
      </c>
      <c r="U1613" s="13" t="s">
        <v>443</v>
      </c>
      <c r="V1613" s="47">
        <f>SUMIF(Data!$E:$E,$I1613,Data!$AI:$AI)</f>
        <v>0</v>
      </c>
    </row>
    <row r="1614" spans="1:22" x14ac:dyDescent="0.25">
      <c r="A1614" s="46" t="s">
        <v>10559</v>
      </c>
      <c r="B1614" s="46" t="s">
        <v>120</v>
      </c>
      <c r="C1614" s="46" t="s">
        <v>5488</v>
      </c>
      <c r="D1614" s="46">
        <v>9.5596935742731995E-2</v>
      </c>
      <c r="E1614" s="47">
        <f>SUMIF(Data!$E:$E,$C1614,Data!$AI:$AI)</f>
        <v>0</v>
      </c>
      <c r="I1614" s="13">
        <v>4506</v>
      </c>
      <c r="J1614" s="13" t="s">
        <v>10616</v>
      </c>
      <c r="K1614" s="13" t="s">
        <v>137</v>
      </c>
      <c r="L1614" s="13" t="s">
        <v>10454</v>
      </c>
      <c r="M1614" s="13" t="s">
        <v>3042</v>
      </c>
      <c r="N1614" s="13">
        <v>43.86</v>
      </c>
      <c r="O1614" s="13">
        <v>870.71500000000003</v>
      </c>
      <c r="P1614" s="13" t="s">
        <v>10617</v>
      </c>
      <c r="Q1614" s="13" t="s">
        <v>208</v>
      </c>
      <c r="R1614" s="13" t="s">
        <v>10618</v>
      </c>
      <c r="S1614" s="13" t="s">
        <v>441</v>
      </c>
      <c r="T1614" s="13" t="s">
        <v>442</v>
      </c>
      <c r="U1614" s="13" t="s">
        <v>443</v>
      </c>
      <c r="V1614" s="47">
        <f>SUMIF(Data!$E:$E,$I1614,Data!$AI:$AI)</f>
        <v>0</v>
      </c>
    </row>
    <row r="1615" spans="1:22" x14ac:dyDescent="0.25">
      <c r="A1615" s="46" t="s">
        <v>10559</v>
      </c>
      <c r="B1615" s="46" t="s">
        <v>120</v>
      </c>
      <c r="C1615" s="46" t="s">
        <v>5495</v>
      </c>
      <c r="D1615" s="46">
        <v>0.12875621022432801</v>
      </c>
      <c r="E1615" s="47">
        <f>SUMIF(Data!$E:$E,$C1615,Data!$AI:$AI)</f>
        <v>0</v>
      </c>
      <c r="I1615" s="13" t="s">
        <v>10619</v>
      </c>
      <c r="J1615" s="13" t="s">
        <v>10620</v>
      </c>
      <c r="K1615" s="13" t="s">
        <v>137</v>
      </c>
      <c r="L1615" s="13" t="s">
        <v>10454</v>
      </c>
      <c r="M1615" s="13" t="s">
        <v>10621</v>
      </c>
      <c r="N1615" s="13">
        <v>176.12200000000001</v>
      </c>
      <c r="O1615" s="13">
        <v>848.91499999999996</v>
      </c>
      <c r="P1615" s="13" t="s">
        <v>10622</v>
      </c>
      <c r="Q1615" s="13" t="s">
        <v>172</v>
      </c>
      <c r="R1615" s="13" t="s">
        <v>10623</v>
      </c>
      <c r="S1615" s="13" t="s">
        <v>847</v>
      </c>
      <c r="T1615" s="13" t="s">
        <v>848</v>
      </c>
      <c r="U1615" s="13" t="s">
        <v>849</v>
      </c>
      <c r="V1615" s="47">
        <f>SUMIF(Data!$E:$E,$I1615,Data!$AI:$AI)</f>
        <v>0</v>
      </c>
    </row>
    <row r="1616" spans="1:22" x14ac:dyDescent="0.25">
      <c r="A1616" s="46" t="s">
        <v>10559</v>
      </c>
      <c r="B1616" s="46" t="s">
        <v>120</v>
      </c>
      <c r="C1616" s="46" t="s">
        <v>5112</v>
      </c>
      <c r="D1616" s="46">
        <v>0.79148841397526404</v>
      </c>
      <c r="E1616" s="47">
        <f>SUMIF(Data!$E:$E,$C1616,Data!$AI:$AI)</f>
        <v>0</v>
      </c>
      <c r="I1616" s="13">
        <v>7013</v>
      </c>
      <c r="J1616" s="13" t="s">
        <v>10624</v>
      </c>
      <c r="K1616" s="13" t="s">
        <v>137</v>
      </c>
      <c r="L1616" s="13" t="s">
        <v>10454</v>
      </c>
      <c r="M1616" s="13" t="s">
        <v>10625</v>
      </c>
      <c r="N1616" s="13">
        <v>33.11</v>
      </c>
      <c r="O1616" s="13">
        <v>840.745</v>
      </c>
      <c r="P1616" s="13" t="s">
        <v>10626</v>
      </c>
      <c r="Q1616" s="13" t="s">
        <v>416</v>
      </c>
      <c r="R1616" s="13" t="s">
        <v>10627</v>
      </c>
      <c r="S1616" s="13" t="s">
        <v>441</v>
      </c>
      <c r="T1616" s="13" t="s">
        <v>442</v>
      </c>
      <c r="U1616" s="13" t="s">
        <v>443</v>
      </c>
      <c r="V1616" s="47">
        <f>SUMIF(Data!$E:$E,$I1616,Data!$AI:$AI)</f>
        <v>0</v>
      </c>
    </row>
    <row r="1617" spans="1:22" x14ac:dyDescent="0.25">
      <c r="A1617" s="46" t="s">
        <v>10559</v>
      </c>
      <c r="B1617" s="46" t="s">
        <v>120</v>
      </c>
      <c r="C1617" s="46" t="s">
        <v>5508</v>
      </c>
      <c r="D1617" s="46">
        <v>4.9213272533629997E-2</v>
      </c>
      <c r="E1617" s="47">
        <f>SUMIF(Data!$E:$E,$C1617,Data!$AI:$AI)</f>
        <v>0</v>
      </c>
      <c r="I1617" s="13" t="s">
        <v>10628</v>
      </c>
      <c r="J1617" s="13" t="s">
        <v>10629</v>
      </c>
      <c r="K1617" s="13" t="s">
        <v>137</v>
      </c>
      <c r="L1617" s="13" t="s">
        <v>10454</v>
      </c>
      <c r="M1617" s="13" t="s">
        <v>10630</v>
      </c>
      <c r="N1617" s="13">
        <v>36.985999999999997</v>
      </c>
      <c r="O1617" s="13">
        <v>834.67</v>
      </c>
      <c r="P1617" s="13" t="s">
        <v>10631</v>
      </c>
      <c r="Q1617" s="13" t="s">
        <v>416</v>
      </c>
      <c r="R1617" s="13" t="s">
        <v>10632</v>
      </c>
      <c r="S1617" s="13" t="s">
        <v>847</v>
      </c>
      <c r="T1617" s="13" t="s">
        <v>848</v>
      </c>
      <c r="U1617" s="13" t="s">
        <v>849</v>
      </c>
      <c r="V1617" s="47">
        <f>SUMIF(Data!$E:$E,$I1617,Data!$AI:$AI)</f>
        <v>0</v>
      </c>
    </row>
    <row r="1618" spans="1:22" x14ac:dyDescent="0.25">
      <c r="A1618" s="46" t="s">
        <v>10559</v>
      </c>
      <c r="B1618" s="46" t="s">
        <v>120</v>
      </c>
      <c r="C1618" s="46" t="s">
        <v>5124</v>
      </c>
      <c r="D1618" s="46">
        <v>0.429000537527435</v>
      </c>
      <c r="E1618" s="47">
        <f>SUMIF(Data!$E:$E,$C1618,Data!$AI:$AI)</f>
        <v>0</v>
      </c>
      <c r="I1618" s="13">
        <v>9513</v>
      </c>
      <c r="J1618" s="13" t="s">
        <v>10633</v>
      </c>
      <c r="K1618" s="13" t="s">
        <v>137</v>
      </c>
      <c r="L1618" s="13" t="s">
        <v>10454</v>
      </c>
      <c r="M1618" s="13" t="s">
        <v>10634</v>
      </c>
      <c r="N1618" s="13">
        <v>35.6</v>
      </c>
      <c r="O1618" s="13">
        <v>830.21199999999999</v>
      </c>
      <c r="P1618" s="13" t="s">
        <v>10635</v>
      </c>
      <c r="Q1618" s="13" t="s">
        <v>694</v>
      </c>
      <c r="R1618" s="13" t="s">
        <v>10636</v>
      </c>
      <c r="S1618" s="13" t="s">
        <v>441</v>
      </c>
      <c r="T1618" s="13" t="s">
        <v>442</v>
      </c>
      <c r="U1618" s="13" t="s">
        <v>443</v>
      </c>
      <c r="V1618" s="47">
        <f>SUMIF(Data!$E:$E,$I1618,Data!$AI:$AI)</f>
        <v>0</v>
      </c>
    </row>
    <row r="1619" spans="1:22" x14ac:dyDescent="0.25">
      <c r="A1619" s="46" t="s">
        <v>10559</v>
      </c>
      <c r="B1619" s="46" t="s">
        <v>120</v>
      </c>
      <c r="C1619" s="46" t="s">
        <v>5515</v>
      </c>
      <c r="D1619" s="46">
        <v>7.3729751442053001E-2</v>
      </c>
      <c r="E1619" s="47">
        <f>SUMIF(Data!$E:$E,$C1619,Data!$AI:$AI)</f>
        <v>0</v>
      </c>
      <c r="I1619" s="13">
        <v>2371</v>
      </c>
      <c r="J1619" s="13" t="s">
        <v>10637</v>
      </c>
      <c r="K1619" s="13" t="s">
        <v>137</v>
      </c>
      <c r="L1619" s="13" t="s">
        <v>10454</v>
      </c>
      <c r="M1619" s="13" t="s">
        <v>10638</v>
      </c>
      <c r="N1619" s="13">
        <v>30.366</v>
      </c>
      <c r="O1619" s="13">
        <v>821.23500000000001</v>
      </c>
      <c r="P1619" s="13" t="s">
        <v>10639</v>
      </c>
      <c r="Q1619" s="13" t="s">
        <v>172</v>
      </c>
      <c r="R1619" s="13" t="s">
        <v>10640</v>
      </c>
      <c r="S1619" s="13" t="s">
        <v>441</v>
      </c>
      <c r="T1619" s="13" t="s">
        <v>442</v>
      </c>
      <c r="U1619" s="13" t="s">
        <v>443</v>
      </c>
      <c r="V1619" s="47">
        <f>SUMIF(Data!$E:$E,$I1619,Data!$AI:$AI)</f>
        <v>0</v>
      </c>
    </row>
    <row r="1620" spans="1:22" x14ac:dyDescent="0.25">
      <c r="A1620" s="46" t="s">
        <v>10559</v>
      </c>
      <c r="B1620" s="46" t="s">
        <v>120</v>
      </c>
      <c r="C1620" s="46" t="s">
        <v>5138</v>
      </c>
      <c r="D1620" s="46">
        <v>0.29090853370817799</v>
      </c>
      <c r="E1620" s="47">
        <f>SUMIF(Data!$E:$E,$C1620,Data!$AI:$AI)</f>
        <v>0</v>
      </c>
      <c r="I1620" s="13">
        <v>8410</v>
      </c>
      <c r="J1620" s="13" t="s">
        <v>10641</v>
      </c>
      <c r="K1620" s="13" t="s">
        <v>137</v>
      </c>
      <c r="L1620" s="13" t="s">
        <v>10454</v>
      </c>
      <c r="M1620" s="13" t="s">
        <v>2088</v>
      </c>
      <c r="N1620" s="13">
        <v>255.7</v>
      </c>
      <c r="O1620" s="13">
        <v>802.85500000000002</v>
      </c>
      <c r="P1620" s="13" t="s">
        <v>10642</v>
      </c>
      <c r="Q1620" s="13" t="s">
        <v>190</v>
      </c>
      <c r="R1620" s="13" t="s">
        <v>10643</v>
      </c>
      <c r="S1620" s="13" t="s">
        <v>441</v>
      </c>
      <c r="T1620" s="13" t="s">
        <v>442</v>
      </c>
      <c r="U1620" s="13" t="s">
        <v>443</v>
      </c>
      <c r="V1620" s="47">
        <f>SUMIF(Data!$E:$E,$I1620,Data!$AI:$AI)</f>
        <v>0</v>
      </c>
    </row>
    <row r="1621" spans="1:22" x14ac:dyDescent="0.25">
      <c r="A1621" s="46" t="s">
        <v>10559</v>
      </c>
      <c r="B1621" s="46" t="s">
        <v>120</v>
      </c>
      <c r="C1621" s="46" t="s">
        <v>5528</v>
      </c>
      <c r="D1621" s="46">
        <v>9.7007606984842995E-2</v>
      </c>
      <c r="E1621" s="47">
        <f>SUMIF(Data!$E:$E,$C1621,Data!$AI:$AI)</f>
        <v>0</v>
      </c>
      <c r="I1621" s="13">
        <v>9533</v>
      </c>
      <c r="J1621" s="13" t="s">
        <v>10644</v>
      </c>
      <c r="K1621" s="13" t="s">
        <v>137</v>
      </c>
      <c r="L1621" s="13" t="s">
        <v>10454</v>
      </c>
      <c r="M1621" s="13" t="s">
        <v>10645</v>
      </c>
      <c r="N1621" s="13">
        <v>19.544</v>
      </c>
      <c r="O1621" s="13">
        <v>783.11599999999999</v>
      </c>
      <c r="P1621" s="13" t="s">
        <v>10646</v>
      </c>
      <c r="Q1621" s="13" t="s">
        <v>694</v>
      </c>
      <c r="R1621" s="13" t="s">
        <v>10647</v>
      </c>
      <c r="S1621" s="13" t="s">
        <v>441</v>
      </c>
      <c r="T1621" s="13" t="s">
        <v>442</v>
      </c>
      <c r="U1621" s="13" t="s">
        <v>443</v>
      </c>
      <c r="V1621" s="47">
        <f>SUMIF(Data!$E:$E,$I1621,Data!$AI:$AI)</f>
        <v>0</v>
      </c>
    </row>
    <row r="1622" spans="1:22" x14ac:dyDescent="0.25">
      <c r="A1622" s="46" t="s">
        <v>10559</v>
      </c>
      <c r="B1622" s="46" t="s">
        <v>120</v>
      </c>
      <c r="C1622" s="46" t="s">
        <v>4838</v>
      </c>
      <c r="D1622" s="46">
        <v>4.6071659806939502</v>
      </c>
      <c r="E1622" s="47">
        <f>SUMIF(Data!$E:$E,$C1622,Data!$AI:$AI)</f>
        <v>0</v>
      </c>
      <c r="I1622" s="13">
        <v>6923</v>
      </c>
      <c r="J1622" s="13" t="s">
        <v>10648</v>
      </c>
      <c r="K1622" s="13" t="s">
        <v>137</v>
      </c>
      <c r="L1622" s="13" t="s">
        <v>10454</v>
      </c>
      <c r="M1622" s="13" t="s">
        <v>10649</v>
      </c>
      <c r="N1622" s="13">
        <v>27.4</v>
      </c>
      <c r="O1622" s="13">
        <v>779.03399999999999</v>
      </c>
      <c r="P1622" s="13" t="s">
        <v>10650</v>
      </c>
      <c r="Q1622" s="13" t="s">
        <v>162</v>
      </c>
      <c r="R1622" s="13" t="s">
        <v>10651</v>
      </c>
      <c r="S1622" s="13" t="s">
        <v>441</v>
      </c>
      <c r="T1622" s="13" t="s">
        <v>442</v>
      </c>
      <c r="U1622" s="13" t="s">
        <v>443</v>
      </c>
      <c r="V1622" s="47">
        <f>SUMIF(Data!$E:$E,$I1622,Data!$AI:$AI)</f>
        <v>0</v>
      </c>
    </row>
    <row r="1623" spans="1:22" x14ac:dyDescent="0.25">
      <c r="A1623" s="46" t="s">
        <v>10559</v>
      </c>
      <c r="B1623" s="46" t="s">
        <v>120</v>
      </c>
      <c r="C1623" s="46" t="s">
        <v>5535</v>
      </c>
      <c r="D1623" s="46">
        <v>0.19669772604222699</v>
      </c>
      <c r="E1623" s="47">
        <f>SUMIF(Data!$E:$E,$C1623,Data!$AI:$AI)</f>
        <v>0</v>
      </c>
      <c r="I1623" s="13">
        <v>9104</v>
      </c>
      <c r="J1623" s="13" t="s">
        <v>10652</v>
      </c>
      <c r="K1623" s="13" t="s">
        <v>137</v>
      </c>
      <c r="L1623" s="13" t="s">
        <v>10454</v>
      </c>
      <c r="M1623" s="13" t="s">
        <v>10653</v>
      </c>
      <c r="N1623" s="13">
        <v>28.573</v>
      </c>
      <c r="O1623" s="13">
        <v>759.18200000000002</v>
      </c>
      <c r="P1623" s="13" t="s">
        <v>10654</v>
      </c>
      <c r="Q1623" s="13" t="s">
        <v>416</v>
      </c>
      <c r="R1623" s="13" t="s">
        <v>10655</v>
      </c>
      <c r="S1623" s="13" t="s">
        <v>441</v>
      </c>
      <c r="T1623" s="13" t="s">
        <v>442</v>
      </c>
      <c r="U1623" s="13" t="s">
        <v>443</v>
      </c>
      <c r="V1623" s="47">
        <f>SUMIF(Data!$E:$E,$I1623,Data!$AI:$AI)</f>
        <v>0</v>
      </c>
    </row>
    <row r="1624" spans="1:22" x14ac:dyDescent="0.25">
      <c r="A1624" s="46" t="s">
        <v>10559</v>
      </c>
      <c r="B1624" s="46" t="s">
        <v>120</v>
      </c>
      <c r="C1624" s="46" t="s">
        <v>5150</v>
      </c>
      <c r="D1624" s="46">
        <v>0.28579699817027598</v>
      </c>
      <c r="E1624" s="47">
        <f>SUMIF(Data!$E:$E,$C1624,Data!$AI:$AI)</f>
        <v>0</v>
      </c>
      <c r="I1624" s="13">
        <v>2331</v>
      </c>
      <c r="J1624" s="13" t="s">
        <v>10656</v>
      </c>
      <c r="K1624" s="13" t="s">
        <v>137</v>
      </c>
      <c r="L1624" s="13" t="s">
        <v>10454</v>
      </c>
      <c r="M1624" s="13" t="s">
        <v>10657</v>
      </c>
      <c r="N1624" s="13">
        <v>13.426</v>
      </c>
      <c r="O1624" s="13">
        <v>734.04300000000001</v>
      </c>
      <c r="P1624" s="13" t="s">
        <v>10658</v>
      </c>
      <c r="Q1624" s="13" t="s">
        <v>416</v>
      </c>
      <c r="R1624" s="13" t="s">
        <v>10659</v>
      </c>
      <c r="S1624" s="13" t="s">
        <v>441</v>
      </c>
      <c r="T1624" s="13" t="s">
        <v>442</v>
      </c>
      <c r="U1624" s="13" t="s">
        <v>443</v>
      </c>
      <c r="V1624" s="47">
        <f>SUMIF(Data!$E:$E,$I1624,Data!$AI:$AI)</f>
        <v>0</v>
      </c>
    </row>
    <row r="1625" spans="1:22" x14ac:dyDescent="0.25">
      <c r="A1625" s="46" t="s">
        <v>10559</v>
      </c>
      <c r="B1625" s="46" t="s">
        <v>120</v>
      </c>
      <c r="C1625" s="46" t="s">
        <v>4852</v>
      </c>
      <c r="D1625" s="46">
        <v>36.034509390145402</v>
      </c>
      <c r="E1625" s="47">
        <f>SUMIF(Data!$E:$E,$C1625,Data!$AI:$AI)</f>
        <v>0</v>
      </c>
      <c r="I1625" s="13">
        <v>4530</v>
      </c>
      <c r="J1625" s="13" t="s">
        <v>10660</v>
      </c>
      <c r="K1625" s="13" t="s">
        <v>137</v>
      </c>
      <c r="L1625" s="13" t="s">
        <v>10454</v>
      </c>
      <c r="M1625" s="13" t="s">
        <v>10661</v>
      </c>
      <c r="N1625" s="13">
        <v>13.545999999999999</v>
      </c>
      <c r="O1625" s="13">
        <v>692.38400000000001</v>
      </c>
      <c r="P1625" s="13" t="s">
        <v>10662</v>
      </c>
      <c r="Q1625" s="13" t="s">
        <v>208</v>
      </c>
      <c r="R1625" s="13" t="s">
        <v>10663</v>
      </c>
      <c r="S1625" s="13" t="s">
        <v>441</v>
      </c>
      <c r="T1625" s="13" t="s">
        <v>442</v>
      </c>
      <c r="U1625" s="13" t="s">
        <v>443</v>
      </c>
      <c r="V1625" s="47">
        <f>SUMIF(Data!$E:$E,$I1625,Data!$AI:$AI)</f>
        <v>0</v>
      </c>
    </row>
    <row r="1626" spans="1:22" x14ac:dyDescent="0.25">
      <c r="A1626" s="46" t="s">
        <v>10559</v>
      </c>
      <c r="B1626" s="46" t="s">
        <v>120</v>
      </c>
      <c r="C1626" s="46" t="s">
        <v>4859</v>
      </c>
      <c r="D1626" s="46">
        <v>1.07764492082014</v>
      </c>
      <c r="E1626" s="47">
        <f>SUMIF(Data!$E:$E,$C1626,Data!$AI:$AI)</f>
        <v>0</v>
      </c>
      <c r="I1626" s="13">
        <v>8905</v>
      </c>
      <c r="J1626" s="13" t="s">
        <v>10664</v>
      </c>
      <c r="K1626" s="13" t="s">
        <v>137</v>
      </c>
      <c r="L1626" s="13" t="s">
        <v>10454</v>
      </c>
      <c r="M1626" s="13" t="s">
        <v>10665</v>
      </c>
      <c r="N1626" s="13">
        <v>39.944000000000003</v>
      </c>
      <c r="O1626" s="13">
        <v>690.16099999999994</v>
      </c>
      <c r="P1626" s="13" t="s">
        <v>10666</v>
      </c>
      <c r="Q1626" s="13" t="s">
        <v>806</v>
      </c>
      <c r="R1626" s="13" t="s">
        <v>10667</v>
      </c>
      <c r="S1626" s="13" t="s">
        <v>441</v>
      </c>
      <c r="T1626" s="13" t="s">
        <v>442</v>
      </c>
      <c r="U1626" s="13" t="s">
        <v>443</v>
      </c>
      <c r="V1626" s="47">
        <f>SUMIF(Data!$E:$E,$I1626,Data!$AI:$AI)</f>
        <v>0</v>
      </c>
    </row>
    <row r="1627" spans="1:22" x14ac:dyDescent="0.25">
      <c r="A1627" s="46" t="s">
        <v>10559</v>
      </c>
      <c r="B1627" s="46" t="s">
        <v>120</v>
      </c>
      <c r="C1627" s="46" t="s">
        <v>5163</v>
      </c>
      <c r="D1627" s="46">
        <v>9.3921391879722996E-2</v>
      </c>
      <c r="E1627" s="47">
        <f>SUMIF(Data!$E:$E,$C1627,Data!$AI:$AI)</f>
        <v>0</v>
      </c>
      <c r="I1627" s="13">
        <v>8570</v>
      </c>
      <c r="J1627" s="13" t="s">
        <v>10668</v>
      </c>
      <c r="K1627" s="13" t="s">
        <v>137</v>
      </c>
      <c r="L1627" s="13" t="s">
        <v>10454</v>
      </c>
      <c r="M1627" s="13" t="s">
        <v>10669</v>
      </c>
      <c r="N1627" s="13">
        <v>43.1</v>
      </c>
      <c r="O1627" s="13">
        <v>684.89499999999998</v>
      </c>
      <c r="P1627" s="13" t="s">
        <v>10670</v>
      </c>
      <c r="Q1627" s="13" t="s">
        <v>190</v>
      </c>
      <c r="R1627" s="13" t="s">
        <v>10671</v>
      </c>
      <c r="S1627" s="13" t="s">
        <v>441</v>
      </c>
      <c r="T1627" s="13" t="s">
        <v>442</v>
      </c>
      <c r="U1627" s="13" t="s">
        <v>443</v>
      </c>
      <c r="V1627" s="47">
        <f>SUMIF(Data!$E:$E,$I1627,Data!$AI:$AI)</f>
        <v>0</v>
      </c>
    </row>
    <row r="1628" spans="1:22" x14ac:dyDescent="0.25">
      <c r="A1628" s="46" t="s">
        <v>10559</v>
      </c>
      <c r="B1628" s="46" t="s">
        <v>120</v>
      </c>
      <c r="C1628" s="46" t="s">
        <v>5170</v>
      </c>
      <c r="D1628" s="46">
        <v>0.69163337970084504</v>
      </c>
      <c r="E1628" s="47">
        <f>SUMIF(Data!$E:$E,$C1628,Data!$AI:$AI)</f>
        <v>0</v>
      </c>
      <c r="I1628" s="13">
        <v>8303</v>
      </c>
      <c r="J1628" s="13" t="s">
        <v>10672</v>
      </c>
      <c r="K1628" s="13" t="s">
        <v>137</v>
      </c>
      <c r="L1628" s="13" t="s">
        <v>10454</v>
      </c>
      <c r="M1628" s="13" t="s">
        <v>10673</v>
      </c>
      <c r="N1628" s="13">
        <v>44.374000000000002</v>
      </c>
      <c r="O1628" s="13">
        <v>678.00400000000002</v>
      </c>
      <c r="P1628" s="13" t="s">
        <v>10674</v>
      </c>
      <c r="Q1628" s="13" t="s">
        <v>190</v>
      </c>
      <c r="R1628" s="13" t="s">
        <v>10675</v>
      </c>
      <c r="S1628" s="13" t="s">
        <v>441</v>
      </c>
      <c r="T1628" s="13" t="s">
        <v>442</v>
      </c>
      <c r="U1628" s="13" t="s">
        <v>443</v>
      </c>
      <c r="V1628" s="47">
        <f>SUMIF(Data!$E:$E,$I1628,Data!$AI:$AI)</f>
        <v>0</v>
      </c>
    </row>
    <row r="1629" spans="1:22" x14ac:dyDescent="0.25">
      <c r="A1629" s="46" t="s">
        <v>10559</v>
      </c>
      <c r="B1629" s="46" t="s">
        <v>120</v>
      </c>
      <c r="C1629" s="46" t="s">
        <v>5560</v>
      </c>
      <c r="D1629" s="46">
        <v>0.25797260118143001</v>
      </c>
      <c r="E1629" s="47">
        <f>SUMIF(Data!$E:$E,$C1629,Data!$AI:$AI)</f>
        <v>0</v>
      </c>
      <c r="I1629" s="13" t="s">
        <v>10676</v>
      </c>
      <c r="J1629" s="13" t="s">
        <v>10677</v>
      </c>
      <c r="K1629" s="13" t="s">
        <v>137</v>
      </c>
      <c r="L1629" s="13" t="s">
        <v>10454</v>
      </c>
      <c r="M1629" s="13" t="s">
        <v>917</v>
      </c>
      <c r="N1629" s="13" t="s">
        <v>1286</v>
      </c>
      <c r="O1629" s="13">
        <v>629.62699999999995</v>
      </c>
      <c r="P1629" s="13" t="s">
        <v>10678</v>
      </c>
      <c r="Q1629" s="13" t="s">
        <v>694</v>
      </c>
      <c r="R1629" s="13" t="s">
        <v>10679</v>
      </c>
      <c r="S1629" s="13" t="s">
        <v>1164</v>
      </c>
      <c r="T1629" s="13" t="s">
        <v>1165</v>
      </c>
      <c r="U1629" s="13" t="s">
        <v>525</v>
      </c>
      <c r="V1629" s="47">
        <f>SUMIF(Data!$E:$E,$I1629,Data!$AI:$AI)</f>
        <v>0</v>
      </c>
    </row>
    <row r="1630" spans="1:22" x14ac:dyDescent="0.25">
      <c r="A1630" s="46" t="s">
        <v>10559</v>
      </c>
      <c r="B1630" s="46" t="s">
        <v>120</v>
      </c>
      <c r="C1630" s="46" t="s">
        <v>5567</v>
      </c>
      <c r="D1630" s="46">
        <v>8.7863563345261006E-2</v>
      </c>
      <c r="E1630" s="47">
        <f>SUMIF(Data!$E:$E,$C1630,Data!$AI:$AI)</f>
        <v>0</v>
      </c>
      <c r="I1630" s="13">
        <v>2702</v>
      </c>
      <c r="J1630" s="13" t="s">
        <v>10680</v>
      </c>
      <c r="K1630" s="13" t="s">
        <v>137</v>
      </c>
      <c r="L1630" s="13" t="s">
        <v>10454</v>
      </c>
      <c r="M1630" s="13" t="s">
        <v>10681</v>
      </c>
      <c r="N1630" s="13">
        <v>13.14</v>
      </c>
      <c r="O1630" s="13">
        <v>627.25599999999997</v>
      </c>
      <c r="P1630" s="13" t="s">
        <v>10682</v>
      </c>
      <c r="Q1630" s="13" t="s">
        <v>162</v>
      </c>
      <c r="R1630" s="13" t="s">
        <v>10683</v>
      </c>
      <c r="S1630" s="13" t="s">
        <v>441</v>
      </c>
      <c r="T1630" s="13" t="s">
        <v>442</v>
      </c>
      <c r="U1630" s="13" t="s">
        <v>443</v>
      </c>
      <c r="V1630" s="47">
        <f>SUMIF(Data!$E:$E,$I1630,Data!$AI:$AI)</f>
        <v>0</v>
      </c>
    </row>
    <row r="1631" spans="1:22" x14ac:dyDescent="0.25">
      <c r="A1631" s="46" t="s">
        <v>10559</v>
      </c>
      <c r="B1631" s="46" t="s">
        <v>120</v>
      </c>
      <c r="C1631" s="46" t="s">
        <v>4870</v>
      </c>
      <c r="D1631" s="46">
        <v>2.9735918217214001</v>
      </c>
      <c r="E1631" s="47">
        <f>SUMIF(Data!$E:$E,$C1631,Data!$AI:$AI)</f>
        <v>0</v>
      </c>
      <c r="I1631" s="13">
        <v>659</v>
      </c>
      <c r="J1631" s="13" t="s">
        <v>10684</v>
      </c>
      <c r="K1631" s="13" t="s">
        <v>137</v>
      </c>
      <c r="L1631" s="13" t="s">
        <v>10454</v>
      </c>
      <c r="M1631" s="13" t="s">
        <v>9118</v>
      </c>
      <c r="N1631" s="13">
        <v>426.20100000000002</v>
      </c>
      <c r="O1631" s="13">
        <v>625.59199999999998</v>
      </c>
      <c r="P1631" s="13" t="s">
        <v>10685</v>
      </c>
      <c r="Q1631" s="13" t="s">
        <v>416</v>
      </c>
      <c r="R1631" s="13" t="s">
        <v>10686</v>
      </c>
      <c r="S1631" s="13" t="s">
        <v>549</v>
      </c>
      <c r="T1631" s="13" t="s">
        <v>550</v>
      </c>
      <c r="U1631" s="13" t="s">
        <v>551</v>
      </c>
      <c r="V1631" s="47">
        <f>SUMIF(Data!$E:$E,$I1631,Data!$AI:$AI)</f>
        <v>0</v>
      </c>
    </row>
    <row r="1632" spans="1:22" x14ac:dyDescent="0.25">
      <c r="A1632" s="46" t="s">
        <v>10559</v>
      </c>
      <c r="B1632" s="46" t="s">
        <v>120</v>
      </c>
      <c r="C1632" s="46" t="s">
        <v>5183</v>
      </c>
      <c r="D1632" s="46">
        <v>0.349500171407642</v>
      </c>
      <c r="E1632" s="47">
        <f>SUMIF(Data!$E:$E,$C1632,Data!$AI:$AI)</f>
        <v>0</v>
      </c>
      <c r="I1632" s="13">
        <v>7167</v>
      </c>
      <c r="J1632" s="13" t="s">
        <v>10687</v>
      </c>
      <c r="K1632" s="13" t="s">
        <v>137</v>
      </c>
      <c r="L1632" s="13" t="s">
        <v>10454</v>
      </c>
      <c r="M1632" s="13" t="s">
        <v>8467</v>
      </c>
      <c r="N1632" s="13">
        <v>248.14400000000001</v>
      </c>
      <c r="O1632" s="13">
        <v>606.99699999999996</v>
      </c>
      <c r="P1632" s="13" t="s">
        <v>10688</v>
      </c>
      <c r="Q1632" s="13" t="s">
        <v>190</v>
      </c>
      <c r="R1632" s="13" t="s">
        <v>10689</v>
      </c>
      <c r="S1632" s="13" t="s">
        <v>441</v>
      </c>
      <c r="T1632" s="13" t="s">
        <v>442</v>
      </c>
      <c r="U1632" s="13" t="s">
        <v>443</v>
      </c>
      <c r="V1632" s="47">
        <f>SUMIF(Data!$E:$E,$I1632,Data!$AI:$AI)</f>
        <v>0</v>
      </c>
    </row>
    <row r="1633" spans="1:22" x14ac:dyDescent="0.25">
      <c r="A1633" s="46" t="s">
        <v>10559</v>
      </c>
      <c r="B1633" s="46" t="s">
        <v>120</v>
      </c>
      <c r="C1633" s="46" t="s">
        <v>4897</v>
      </c>
      <c r="D1633" s="46">
        <v>2.5384496315882399</v>
      </c>
      <c r="E1633" s="47">
        <f>SUMIF(Data!$E:$E,$C1633,Data!$AI:$AI)</f>
        <v>0</v>
      </c>
      <c r="I1633" s="13">
        <v>8354</v>
      </c>
      <c r="J1633" s="13" t="s">
        <v>10690</v>
      </c>
      <c r="K1633" s="13" t="s">
        <v>137</v>
      </c>
      <c r="L1633" s="13" t="s">
        <v>10454</v>
      </c>
      <c r="M1633" s="13" t="s">
        <v>10691</v>
      </c>
      <c r="N1633" s="13">
        <v>31.814</v>
      </c>
      <c r="O1633" s="13">
        <v>599.053</v>
      </c>
      <c r="P1633" s="13" t="s">
        <v>10692</v>
      </c>
      <c r="Q1633" s="13" t="s">
        <v>190</v>
      </c>
      <c r="R1633" s="13" t="s">
        <v>10693</v>
      </c>
      <c r="S1633" s="13" t="s">
        <v>441</v>
      </c>
      <c r="T1633" s="13" t="s">
        <v>442</v>
      </c>
      <c r="U1633" s="13" t="s">
        <v>443</v>
      </c>
      <c r="V1633" s="47">
        <f>SUMIF(Data!$E:$E,$I1633,Data!$AI:$AI)</f>
        <v>0</v>
      </c>
    </row>
    <row r="1634" spans="1:22" x14ac:dyDescent="0.25">
      <c r="A1634" s="46" t="s">
        <v>10559</v>
      </c>
      <c r="B1634" s="46" t="s">
        <v>120</v>
      </c>
      <c r="C1634" s="46" t="s">
        <v>1783</v>
      </c>
      <c r="D1634" s="46">
        <v>0.41146660420846698</v>
      </c>
      <c r="E1634" s="47">
        <f>SUMIF(Data!$E:$E,$C1634,Data!$AI:$AI)</f>
        <v>0</v>
      </c>
      <c r="I1634" s="13">
        <v>2212</v>
      </c>
      <c r="J1634" s="13" t="s">
        <v>10694</v>
      </c>
      <c r="K1634" s="13" t="s">
        <v>137</v>
      </c>
      <c r="L1634" s="13" t="s">
        <v>10454</v>
      </c>
      <c r="M1634" s="13" t="s">
        <v>10695</v>
      </c>
      <c r="N1634" s="13">
        <v>32.9</v>
      </c>
      <c r="O1634" s="13">
        <v>599.68299999999999</v>
      </c>
      <c r="P1634" s="13" t="s">
        <v>10696</v>
      </c>
      <c r="Q1634" s="13" t="s">
        <v>224</v>
      </c>
      <c r="R1634" s="13" t="s">
        <v>10697</v>
      </c>
      <c r="S1634" s="13" t="s">
        <v>441</v>
      </c>
      <c r="T1634" s="13" t="s">
        <v>442</v>
      </c>
      <c r="U1634" s="13" t="s">
        <v>443</v>
      </c>
      <c r="V1634" s="47">
        <f>SUMIF(Data!$E:$E,$I1634,Data!$AI:$AI)</f>
        <v>0</v>
      </c>
    </row>
    <row r="1635" spans="1:22" x14ac:dyDescent="0.25">
      <c r="A1635" s="46" t="s">
        <v>10559</v>
      </c>
      <c r="B1635" s="46" t="s">
        <v>120</v>
      </c>
      <c r="C1635" s="46" t="s">
        <v>4916</v>
      </c>
      <c r="D1635" s="46">
        <v>1.0054642961115701</v>
      </c>
      <c r="E1635" s="47">
        <f>SUMIF(Data!$E:$E,$C1635,Data!$AI:$AI)</f>
        <v>0</v>
      </c>
      <c r="I1635" s="13">
        <v>5334</v>
      </c>
      <c r="J1635" s="13" t="s">
        <v>10698</v>
      </c>
      <c r="K1635" s="13" t="s">
        <v>137</v>
      </c>
      <c r="L1635" s="13" t="s">
        <v>10454</v>
      </c>
      <c r="M1635" s="13" t="s">
        <v>10699</v>
      </c>
      <c r="N1635" s="13">
        <v>30.7</v>
      </c>
      <c r="O1635" s="13">
        <v>592.36800000000005</v>
      </c>
      <c r="P1635" s="13" t="s">
        <v>10700</v>
      </c>
      <c r="Q1635" s="13" t="s">
        <v>162</v>
      </c>
      <c r="R1635" s="13" t="s">
        <v>10701</v>
      </c>
      <c r="S1635" s="13" t="s">
        <v>441</v>
      </c>
      <c r="T1635" s="13" t="s">
        <v>442</v>
      </c>
      <c r="U1635" s="13" t="s">
        <v>443</v>
      </c>
      <c r="V1635" s="47">
        <f>SUMIF(Data!$E:$E,$I1635,Data!$AI:$AI)</f>
        <v>0</v>
      </c>
    </row>
    <row r="1636" spans="1:22" x14ac:dyDescent="0.25">
      <c r="A1636" s="46" t="s">
        <v>10559</v>
      </c>
      <c r="B1636" s="46" t="s">
        <v>120</v>
      </c>
      <c r="C1636" s="46" t="s">
        <v>4365</v>
      </c>
      <c r="D1636" s="46">
        <v>0.22366402539515401</v>
      </c>
      <c r="E1636" s="47">
        <f>SUMIF(Data!$E:$E,$C1636,Data!$AI:$AI)</f>
        <v>0</v>
      </c>
      <c r="I1636" s="13" t="s">
        <v>5737</v>
      </c>
      <c r="J1636" s="13" t="s">
        <v>10702</v>
      </c>
      <c r="K1636" s="13" t="s">
        <v>755</v>
      </c>
      <c r="L1636" s="13" t="s">
        <v>10454</v>
      </c>
      <c r="M1636" s="13" t="s">
        <v>10703</v>
      </c>
      <c r="N1636" s="13" t="s">
        <v>10704</v>
      </c>
      <c r="O1636" s="13">
        <v>585.4</v>
      </c>
      <c r="P1636" s="13" t="s">
        <v>10705</v>
      </c>
      <c r="Q1636" s="13" t="s">
        <v>759</v>
      </c>
      <c r="R1636" s="13" t="s">
        <v>760</v>
      </c>
      <c r="S1636" s="13" t="s">
        <v>760</v>
      </c>
      <c r="T1636" s="13" t="s">
        <v>4831</v>
      </c>
      <c r="U1636" s="13" t="s">
        <v>5737</v>
      </c>
      <c r="V1636" s="47">
        <f>SUMIF(Data!$E:$E,$I1636,Data!$AI:$AI)</f>
        <v>0</v>
      </c>
    </row>
    <row r="1637" spans="1:22" x14ac:dyDescent="0.25">
      <c r="A1637" s="46" t="s">
        <v>10559</v>
      </c>
      <c r="B1637" s="46" t="s">
        <v>120</v>
      </c>
      <c r="C1637" s="46" t="s">
        <v>5580</v>
      </c>
      <c r="D1637" s="46">
        <v>5.4854257385183E-2</v>
      </c>
      <c r="E1637" s="47">
        <f>SUMIF(Data!$E:$E,$C1637,Data!$AI:$AI)</f>
        <v>0</v>
      </c>
      <c r="I1637" s="13" t="s">
        <v>10706</v>
      </c>
      <c r="J1637" s="13" t="s">
        <v>10707</v>
      </c>
      <c r="K1637" s="13" t="s">
        <v>137</v>
      </c>
      <c r="L1637" s="13" t="s">
        <v>10454</v>
      </c>
      <c r="M1637" s="13" t="s">
        <v>10708</v>
      </c>
      <c r="N1637" s="13">
        <v>339.7</v>
      </c>
      <c r="O1637" s="13">
        <v>584.47299999999996</v>
      </c>
      <c r="P1637" s="13" t="s">
        <v>10709</v>
      </c>
      <c r="Q1637" s="13" t="s">
        <v>416</v>
      </c>
      <c r="R1637" s="13" t="s">
        <v>10710</v>
      </c>
      <c r="S1637" s="13" t="s">
        <v>2365</v>
      </c>
      <c r="T1637" s="13" t="s">
        <v>2366</v>
      </c>
      <c r="U1637" s="13" t="s">
        <v>2367</v>
      </c>
      <c r="V1637" s="47">
        <f>SUMIF(Data!$E:$E,$I1637,Data!$AI:$AI)</f>
        <v>0</v>
      </c>
    </row>
    <row r="1638" spans="1:22" x14ac:dyDescent="0.25">
      <c r="A1638" s="46" t="s">
        <v>10559</v>
      </c>
      <c r="B1638" s="46" t="s">
        <v>120</v>
      </c>
      <c r="C1638" s="46" t="s">
        <v>4923</v>
      </c>
      <c r="D1638" s="46">
        <v>1.24867216479957</v>
      </c>
      <c r="E1638" s="47">
        <f>SUMIF(Data!$E:$E,$C1638,Data!$AI:$AI)</f>
        <v>0</v>
      </c>
      <c r="I1638" s="13">
        <v>9101</v>
      </c>
      <c r="J1638" s="13" t="s">
        <v>10711</v>
      </c>
      <c r="K1638" s="13" t="s">
        <v>137</v>
      </c>
      <c r="L1638" s="13" t="s">
        <v>10454</v>
      </c>
      <c r="M1638" s="13" t="s">
        <v>10712</v>
      </c>
      <c r="N1638" s="13">
        <v>33</v>
      </c>
      <c r="O1638" s="13">
        <v>578.91600000000005</v>
      </c>
      <c r="P1638" s="13" t="s">
        <v>10713</v>
      </c>
      <c r="Q1638" s="13" t="s">
        <v>416</v>
      </c>
      <c r="R1638" s="13" t="s">
        <v>10714</v>
      </c>
      <c r="S1638" s="13" t="s">
        <v>441</v>
      </c>
      <c r="T1638" s="13" t="s">
        <v>442</v>
      </c>
      <c r="U1638" s="13" t="s">
        <v>443</v>
      </c>
      <c r="V1638" s="47">
        <f>SUMIF(Data!$E:$E,$I1638,Data!$AI:$AI)</f>
        <v>0</v>
      </c>
    </row>
    <row r="1639" spans="1:22" x14ac:dyDescent="0.25">
      <c r="A1639" s="46" t="s">
        <v>10559</v>
      </c>
      <c r="B1639" s="46" t="s">
        <v>120</v>
      </c>
      <c r="C1639" s="46" t="s">
        <v>5218</v>
      </c>
      <c r="D1639" s="46">
        <v>0.46496763581341999</v>
      </c>
      <c r="E1639" s="47">
        <f>SUMIF(Data!$E:$E,$C1639,Data!$AI:$AI)</f>
        <v>0</v>
      </c>
      <c r="I1639" s="13">
        <v>1963</v>
      </c>
      <c r="J1639" s="13" t="s">
        <v>10715</v>
      </c>
      <c r="K1639" s="13" t="s">
        <v>137</v>
      </c>
      <c r="L1639" s="13" t="s">
        <v>10454</v>
      </c>
      <c r="M1639" s="13" t="s">
        <v>10716</v>
      </c>
      <c r="N1639" s="13">
        <v>36</v>
      </c>
      <c r="O1639" s="13">
        <v>567.47</v>
      </c>
      <c r="P1639" s="13" t="s">
        <v>10717</v>
      </c>
      <c r="Q1639" s="13" t="s">
        <v>416</v>
      </c>
      <c r="R1639" s="13" t="s">
        <v>10718</v>
      </c>
      <c r="S1639" s="13" t="s">
        <v>441</v>
      </c>
      <c r="T1639" s="13" t="s">
        <v>442</v>
      </c>
      <c r="U1639" s="13" t="s">
        <v>443</v>
      </c>
      <c r="V1639" s="47">
        <f>SUMIF(Data!$E:$E,$I1639,Data!$AI:$AI)</f>
        <v>0</v>
      </c>
    </row>
    <row r="1640" spans="1:22" x14ac:dyDescent="0.25">
      <c r="A1640" s="46" t="s">
        <v>10559</v>
      </c>
      <c r="B1640" s="46" t="s">
        <v>120</v>
      </c>
      <c r="C1640" s="46" t="s">
        <v>5225</v>
      </c>
      <c r="D1640" s="46">
        <v>0.190930952489026</v>
      </c>
      <c r="E1640" s="47">
        <f>SUMIF(Data!$E:$E,$C1640,Data!$AI:$AI)</f>
        <v>0</v>
      </c>
      <c r="I1640" s="13" t="s">
        <v>10719</v>
      </c>
      <c r="J1640" s="13" t="s">
        <v>10720</v>
      </c>
      <c r="K1640" s="13" t="s">
        <v>137</v>
      </c>
      <c r="L1640" s="13" t="s">
        <v>10454</v>
      </c>
      <c r="M1640" s="13" t="s">
        <v>10721</v>
      </c>
      <c r="N1640" s="13">
        <v>82.941000000000003</v>
      </c>
      <c r="O1640" s="13">
        <v>564.31500000000005</v>
      </c>
      <c r="P1640" s="13" t="s">
        <v>10722</v>
      </c>
      <c r="Q1640" s="13" t="s">
        <v>208</v>
      </c>
      <c r="R1640" s="13" t="s">
        <v>10723</v>
      </c>
      <c r="S1640" s="13" t="s">
        <v>725</v>
      </c>
      <c r="T1640" s="13" t="s">
        <v>726</v>
      </c>
      <c r="U1640" s="13" t="s">
        <v>727</v>
      </c>
      <c r="V1640" s="47">
        <f>SUMIF(Data!$E:$E,$I1640,Data!$AI:$AI)</f>
        <v>0</v>
      </c>
    </row>
    <row r="1641" spans="1:22" x14ac:dyDescent="0.25">
      <c r="A1641" s="46" t="s">
        <v>10559</v>
      </c>
      <c r="B1641" s="46" t="s">
        <v>120</v>
      </c>
      <c r="C1641" s="46" t="s">
        <v>5595</v>
      </c>
      <c r="D1641" s="46">
        <v>0.15462724592777399</v>
      </c>
      <c r="E1641" s="47">
        <f>SUMIF(Data!$E:$E,$C1641,Data!$AI:$AI)</f>
        <v>0</v>
      </c>
      <c r="I1641" s="13" t="s">
        <v>7566</v>
      </c>
      <c r="J1641" s="13" t="s">
        <v>10724</v>
      </c>
      <c r="K1641" s="13" t="s">
        <v>755</v>
      </c>
      <c r="L1641" s="13" t="s">
        <v>10454</v>
      </c>
      <c r="M1641" s="13" t="s">
        <v>10725</v>
      </c>
      <c r="N1641" s="13">
        <v>849.24400000000003</v>
      </c>
      <c r="O1641" s="13">
        <v>563.85599999999999</v>
      </c>
      <c r="P1641" s="13" t="s">
        <v>10726</v>
      </c>
      <c r="Q1641" s="13" t="s">
        <v>759</v>
      </c>
      <c r="R1641" s="13" t="s">
        <v>760</v>
      </c>
      <c r="S1641" s="13" t="s">
        <v>760</v>
      </c>
      <c r="T1641" s="13" t="s">
        <v>7565</v>
      </c>
      <c r="U1641" s="13" t="s">
        <v>7566</v>
      </c>
      <c r="V1641" s="47">
        <f>SUMIF(Data!$E:$E,$I1641,Data!$AI:$AI)</f>
        <v>0</v>
      </c>
    </row>
    <row r="1642" spans="1:22" x14ac:dyDescent="0.25">
      <c r="A1642" s="46" t="s">
        <v>10559</v>
      </c>
      <c r="B1642" s="46" t="s">
        <v>120</v>
      </c>
      <c r="C1642" s="46" t="s">
        <v>3898</v>
      </c>
      <c r="D1642" s="46">
        <v>1.0678813335544799</v>
      </c>
      <c r="E1642" s="47">
        <f>SUMIF(Data!$E:$E,$C1642,Data!$AI:$AI)</f>
        <v>0</v>
      </c>
      <c r="I1642" s="13">
        <v>2229</v>
      </c>
      <c r="J1642" s="13" t="s">
        <v>10727</v>
      </c>
      <c r="K1642" s="13" t="s">
        <v>137</v>
      </c>
      <c r="L1642" s="13" t="s">
        <v>10454</v>
      </c>
      <c r="M1642" s="13" t="s">
        <v>10728</v>
      </c>
      <c r="N1642" s="13">
        <v>16</v>
      </c>
      <c r="O1642" s="13">
        <v>530.851</v>
      </c>
      <c r="P1642" s="13" t="s">
        <v>10729</v>
      </c>
      <c r="Q1642" s="13" t="s">
        <v>224</v>
      </c>
      <c r="R1642" s="13" t="s">
        <v>10730</v>
      </c>
      <c r="S1642" s="13" t="s">
        <v>441</v>
      </c>
      <c r="T1642" s="13" t="s">
        <v>442</v>
      </c>
      <c r="U1642" s="13" t="s">
        <v>443</v>
      </c>
      <c r="V1642" s="47">
        <f>SUMIF(Data!$E:$E,$I1642,Data!$AI:$AI)</f>
        <v>0</v>
      </c>
    </row>
    <row r="1643" spans="1:22" x14ac:dyDescent="0.25">
      <c r="A1643" s="46" t="s">
        <v>10559</v>
      </c>
      <c r="B1643" s="46" t="s">
        <v>120</v>
      </c>
      <c r="C1643" s="46" t="s">
        <v>5602</v>
      </c>
      <c r="D1643" s="46">
        <v>0.23311112306647799</v>
      </c>
      <c r="E1643" s="47">
        <f>SUMIF(Data!$E:$E,$C1643,Data!$AI:$AI)</f>
        <v>0</v>
      </c>
      <c r="I1643" s="13" t="s">
        <v>10731</v>
      </c>
      <c r="J1643" s="13" t="s">
        <v>10732</v>
      </c>
      <c r="K1643" s="13" t="s">
        <v>137</v>
      </c>
      <c r="L1643" s="13" t="s">
        <v>10454</v>
      </c>
      <c r="M1643" s="13" t="s">
        <v>10733</v>
      </c>
      <c r="N1643" s="13">
        <v>266.60000000000002</v>
      </c>
      <c r="O1643" s="13">
        <v>482.42700000000002</v>
      </c>
      <c r="P1643" s="13" t="s">
        <v>10734</v>
      </c>
      <c r="Q1643" s="13" t="s">
        <v>806</v>
      </c>
      <c r="R1643" s="13" t="s">
        <v>10735</v>
      </c>
      <c r="S1643" s="13" t="s">
        <v>2365</v>
      </c>
      <c r="T1643" s="13" t="s">
        <v>2366</v>
      </c>
      <c r="U1643" s="13" t="s">
        <v>2367</v>
      </c>
      <c r="V1643" s="47">
        <f>SUMIF(Data!$E:$E,$I1643,Data!$AI:$AI)</f>
        <v>0</v>
      </c>
    </row>
    <row r="1644" spans="1:22" x14ac:dyDescent="0.25">
      <c r="A1644" s="46" t="s">
        <v>10559</v>
      </c>
      <c r="B1644" s="46" t="s">
        <v>120</v>
      </c>
      <c r="C1644" s="46" t="s">
        <v>4935</v>
      </c>
      <c r="D1644" s="46">
        <v>1.4233392842327801</v>
      </c>
      <c r="E1644" s="47">
        <f>SUMIF(Data!$E:$E,$C1644,Data!$AI:$AI)</f>
        <v>0</v>
      </c>
      <c r="I1644" s="13">
        <v>3291</v>
      </c>
      <c r="J1644" s="13" t="s">
        <v>10736</v>
      </c>
      <c r="K1644" s="13" t="s">
        <v>137</v>
      </c>
      <c r="L1644" s="13" t="s">
        <v>10454</v>
      </c>
      <c r="M1644" s="13" t="s">
        <v>10737</v>
      </c>
      <c r="N1644" s="13">
        <v>26.9</v>
      </c>
      <c r="O1644" s="13">
        <v>477.55099999999999</v>
      </c>
      <c r="P1644" s="13" t="s">
        <v>10738</v>
      </c>
      <c r="Q1644" s="13" t="s">
        <v>162</v>
      </c>
      <c r="R1644" s="13" t="s">
        <v>10739</v>
      </c>
      <c r="S1644" s="13" t="s">
        <v>441</v>
      </c>
      <c r="T1644" s="13" t="s">
        <v>442</v>
      </c>
      <c r="U1644" s="13" t="s">
        <v>443</v>
      </c>
      <c r="V1644" s="47">
        <f>SUMIF(Data!$E:$E,$I1644,Data!$AI:$AI)</f>
        <v>0</v>
      </c>
    </row>
    <row r="1645" spans="1:22" x14ac:dyDescent="0.25">
      <c r="A1645" s="46" t="s">
        <v>10559</v>
      </c>
      <c r="B1645" s="46" t="s">
        <v>120</v>
      </c>
      <c r="C1645" s="46" t="s">
        <v>5622</v>
      </c>
      <c r="D1645" s="46">
        <v>7.6554023501005999E-2</v>
      </c>
      <c r="E1645" s="47">
        <f>SUMIF(Data!$E:$E,$C1645,Data!$AI:$AI)</f>
        <v>0</v>
      </c>
      <c r="I1645" s="13" t="s">
        <v>3057</v>
      </c>
      <c r="J1645" s="13" t="s">
        <v>10740</v>
      </c>
      <c r="K1645" s="13" t="s">
        <v>137</v>
      </c>
      <c r="L1645" s="13" t="s">
        <v>10454</v>
      </c>
      <c r="M1645" s="13" t="s">
        <v>10741</v>
      </c>
      <c r="N1645" s="13">
        <v>15.178000000000001</v>
      </c>
      <c r="O1645" s="13">
        <v>464.10599999999999</v>
      </c>
      <c r="P1645" s="13" t="s">
        <v>10742</v>
      </c>
      <c r="Q1645" s="13" t="s">
        <v>162</v>
      </c>
      <c r="R1645" s="13" t="s">
        <v>10743</v>
      </c>
      <c r="S1645" s="13" t="s">
        <v>847</v>
      </c>
      <c r="T1645" s="13" t="s">
        <v>848</v>
      </c>
      <c r="U1645" s="13" t="s">
        <v>849</v>
      </c>
      <c r="V1645" s="47">
        <f>SUMIF(Data!$E:$E,$I1645,Data!$AI:$AI)</f>
        <v>0</v>
      </c>
    </row>
    <row r="1646" spans="1:22" x14ac:dyDescent="0.25">
      <c r="A1646" s="46" t="s">
        <v>10559</v>
      </c>
      <c r="B1646" s="46" t="s">
        <v>120</v>
      </c>
      <c r="C1646" s="46" t="s">
        <v>5629</v>
      </c>
      <c r="D1646" s="46">
        <v>9.1238850192818993E-2</v>
      </c>
      <c r="E1646" s="47">
        <f>SUMIF(Data!$E:$E,$C1646,Data!$AI:$AI)</f>
        <v>0</v>
      </c>
      <c r="I1646" s="13">
        <v>5901</v>
      </c>
      <c r="J1646" s="13" t="s">
        <v>10744</v>
      </c>
      <c r="K1646" s="13" t="s">
        <v>137</v>
      </c>
      <c r="L1646" s="13" t="s">
        <v>10454</v>
      </c>
      <c r="M1646" s="13" t="s">
        <v>10745</v>
      </c>
      <c r="N1646" s="13">
        <v>25.9</v>
      </c>
      <c r="O1646" s="13">
        <v>459.32499999999999</v>
      </c>
      <c r="P1646" s="13" t="s">
        <v>10746</v>
      </c>
      <c r="Q1646" s="13" t="s">
        <v>734</v>
      </c>
      <c r="R1646" s="13" t="s">
        <v>10747</v>
      </c>
      <c r="S1646" s="13" t="s">
        <v>441</v>
      </c>
      <c r="T1646" s="13" t="s">
        <v>442</v>
      </c>
      <c r="U1646" s="13" t="s">
        <v>443</v>
      </c>
      <c r="V1646" s="47">
        <f>SUMIF(Data!$E:$E,$I1646,Data!$AI:$AI)</f>
        <v>0</v>
      </c>
    </row>
    <row r="1647" spans="1:22" x14ac:dyDescent="0.25">
      <c r="A1647" s="46" t="s">
        <v>10559</v>
      </c>
      <c r="B1647" s="46" t="s">
        <v>120</v>
      </c>
      <c r="C1647" s="46" t="s">
        <v>4006</v>
      </c>
      <c r="D1647" s="46">
        <v>0.36350508260752901</v>
      </c>
      <c r="E1647" s="47">
        <f>SUMIF(Data!$E:$E,$C1647,Data!$AI:$AI)</f>
        <v>0</v>
      </c>
      <c r="I1647" s="13" t="s">
        <v>10748</v>
      </c>
      <c r="J1647" s="13" t="s">
        <v>10749</v>
      </c>
      <c r="K1647" s="13" t="s">
        <v>137</v>
      </c>
      <c r="L1647" s="13" t="s">
        <v>10454</v>
      </c>
      <c r="M1647" s="13" t="s">
        <v>10750</v>
      </c>
      <c r="N1647" s="13">
        <v>19.954999999999998</v>
      </c>
      <c r="O1647" s="13">
        <v>451.51799999999997</v>
      </c>
      <c r="P1647" s="13" t="s">
        <v>10751</v>
      </c>
      <c r="Q1647" s="13" t="s">
        <v>162</v>
      </c>
      <c r="R1647" s="13" t="s">
        <v>10752</v>
      </c>
      <c r="S1647" s="13" t="s">
        <v>2365</v>
      </c>
      <c r="T1647" s="13" t="s">
        <v>2366</v>
      </c>
      <c r="U1647" s="13" t="s">
        <v>2367</v>
      </c>
      <c r="V1647" s="47">
        <f>SUMIF(Data!$E:$E,$I1647,Data!$AI:$AI)</f>
        <v>0</v>
      </c>
    </row>
    <row r="1648" spans="1:22" x14ac:dyDescent="0.25">
      <c r="A1648" s="46" t="s">
        <v>10559</v>
      </c>
      <c r="B1648" s="46" t="s">
        <v>120</v>
      </c>
      <c r="C1648" s="46" t="s">
        <v>5636</v>
      </c>
      <c r="D1648" s="46">
        <v>0.139006240621946</v>
      </c>
      <c r="E1648" s="47">
        <f>SUMIF(Data!$E:$E,$C1648,Data!$AI:$AI)</f>
        <v>0</v>
      </c>
      <c r="I1648" s="13" t="s">
        <v>10753</v>
      </c>
      <c r="J1648" s="13" t="s">
        <v>10754</v>
      </c>
      <c r="K1648" s="13" t="s">
        <v>137</v>
      </c>
      <c r="L1648" s="13" t="s">
        <v>10454</v>
      </c>
      <c r="M1648" s="13" t="s">
        <v>10755</v>
      </c>
      <c r="N1648" s="13">
        <v>263.49299999999999</v>
      </c>
      <c r="O1648" s="13">
        <v>434.05700000000002</v>
      </c>
      <c r="P1648" s="13" t="s">
        <v>10756</v>
      </c>
      <c r="Q1648" s="13" t="s">
        <v>208</v>
      </c>
      <c r="R1648" s="13" t="s">
        <v>10757</v>
      </c>
      <c r="S1648" s="13" t="s">
        <v>725</v>
      </c>
      <c r="T1648" s="13" t="s">
        <v>726</v>
      </c>
      <c r="U1648" s="13" t="s">
        <v>727</v>
      </c>
      <c r="V1648" s="47">
        <f>SUMIF(Data!$E:$E,$I1648,Data!$AI:$AI)</f>
        <v>0</v>
      </c>
    </row>
    <row r="1649" spans="1:22" x14ac:dyDescent="0.25">
      <c r="A1649" s="46" t="s">
        <v>10559</v>
      </c>
      <c r="B1649" s="46" t="s">
        <v>120</v>
      </c>
      <c r="C1649" s="46" t="s">
        <v>1939</v>
      </c>
      <c r="D1649" s="46">
        <v>16.3309528043876</v>
      </c>
      <c r="E1649" s="47">
        <f>SUMIF(Data!$E:$E,$C1649,Data!$AI:$AI)</f>
        <v>0</v>
      </c>
      <c r="I1649" s="13">
        <v>5486</v>
      </c>
      <c r="J1649" s="13" t="s">
        <v>10758</v>
      </c>
      <c r="K1649" s="13" t="s">
        <v>137</v>
      </c>
      <c r="L1649" s="13" t="s">
        <v>10454</v>
      </c>
      <c r="M1649" s="13" t="s">
        <v>10759</v>
      </c>
      <c r="N1649" s="13">
        <v>27.1</v>
      </c>
      <c r="O1649" s="13">
        <v>406.89600000000002</v>
      </c>
      <c r="P1649" s="13" t="s">
        <v>10760</v>
      </c>
      <c r="Q1649" s="13" t="s">
        <v>734</v>
      </c>
      <c r="R1649" s="13" t="s">
        <v>10761</v>
      </c>
      <c r="S1649" s="13" t="s">
        <v>441</v>
      </c>
      <c r="T1649" s="13" t="s">
        <v>442</v>
      </c>
      <c r="U1649" s="13" t="s">
        <v>443</v>
      </c>
      <c r="V1649" s="47">
        <f>SUMIF(Data!$E:$E,$I1649,Data!$AI:$AI)</f>
        <v>0</v>
      </c>
    </row>
    <row r="1650" spans="1:22" x14ac:dyDescent="0.25">
      <c r="A1650" s="46" t="s">
        <v>10559</v>
      </c>
      <c r="B1650" s="46" t="s">
        <v>120</v>
      </c>
      <c r="C1650" s="46" t="s">
        <v>4948</v>
      </c>
      <c r="D1650" s="46">
        <v>4.8632461257914201</v>
      </c>
      <c r="E1650" s="47">
        <f>SUMIF(Data!$E:$E,$C1650,Data!$AI:$AI)</f>
        <v>0</v>
      </c>
      <c r="I1650" s="13">
        <v>8369</v>
      </c>
      <c r="J1650" s="13" t="s">
        <v>10762</v>
      </c>
      <c r="K1650" s="13" t="s">
        <v>137</v>
      </c>
      <c r="L1650" s="13" t="s">
        <v>10454</v>
      </c>
      <c r="M1650" s="13" t="s">
        <v>10763</v>
      </c>
      <c r="N1650" s="13">
        <v>9.3239999999999998</v>
      </c>
      <c r="O1650" s="13">
        <v>394.03199999999998</v>
      </c>
      <c r="P1650" s="13" t="s">
        <v>10764</v>
      </c>
      <c r="Q1650" s="13" t="s">
        <v>190</v>
      </c>
      <c r="R1650" s="13" t="s">
        <v>10765</v>
      </c>
      <c r="S1650" s="13" t="s">
        <v>441</v>
      </c>
      <c r="T1650" s="13" t="s">
        <v>442</v>
      </c>
      <c r="U1650" s="13" t="s">
        <v>443</v>
      </c>
      <c r="V1650" s="47">
        <f>SUMIF(Data!$E:$E,$I1650,Data!$AI:$AI)</f>
        <v>0</v>
      </c>
    </row>
    <row r="1651" spans="1:22" x14ac:dyDescent="0.25">
      <c r="A1651" s="46" t="s">
        <v>10559</v>
      </c>
      <c r="B1651" s="46" t="s">
        <v>120</v>
      </c>
      <c r="C1651" s="46" t="s">
        <v>1466</v>
      </c>
      <c r="D1651" s="46">
        <v>2.17976471901751</v>
      </c>
      <c r="E1651" s="47">
        <f>SUMIF(Data!$E:$E,$C1651,Data!$AI:$AI)</f>
        <v>0</v>
      </c>
      <c r="I1651" s="13">
        <v>4927</v>
      </c>
      <c r="J1651" s="13" t="s">
        <v>10766</v>
      </c>
      <c r="K1651" s="13" t="s">
        <v>137</v>
      </c>
      <c r="L1651" s="13" t="s">
        <v>10454</v>
      </c>
      <c r="M1651" s="13" t="s">
        <v>10767</v>
      </c>
      <c r="N1651" s="13">
        <v>15.6</v>
      </c>
      <c r="O1651" s="13">
        <v>376.61599999999999</v>
      </c>
      <c r="P1651" s="13" t="s">
        <v>10768</v>
      </c>
      <c r="Q1651" s="13" t="s">
        <v>224</v>
      </c>
      <c r="R1651" s="13" t="s">
        <v>10769</v>
      </c>
      <c r="S1651" s="13" t="s">
        <v>441</v>
      </c>
      <c r="T1651" s="13" t="s">
        <v>442</v>
      </c>
      <c r="U1651" s="13" t="s">
        <v>443</v>
      </c>
      <c r="V1651" s="47">
        <f>SUMIF(Data!$E:$E,$I1651,Data!$AI:$AI)</f>
        <v>0</v>
      </c>
    </row>
    <row r="1652" spans="1:22" x14ac:dyDescent="0.25">
      <c r="A1652" s="46" t="s">
        <v>10559</v>
      </c>
      <c r="B1652" s="46" t="s">
        <v>120</v>
      </c>
      <c r="C1652" s="46" t="s">
        <v>5644</v>
      </c>
      <c r="D1652" s="46">
        <v>1.6010042886989002E-2</v>
      </c>
      <c r="E1652" s="47">
        <f>SUMIF(Data!$E:$E,$C1652,Data!$AI:$AI)</f>
        <v>0</v>
      </c>
      <c r="I1652" s="13" t="s">
        <v>10770</v>
      </c>
      <c r="J1652" s="13" t="s">
        <v>3239</v>
      </c>
      <c r="K1652" s="13" t="s">
        <v>137</v>
      </c>
      <c r="L1652" s="13" t="s">
        <v>10454</v>
      </c>
      <c r="M1652" s="13" t="s">
        <v>3240</v>
      </c>
      <c r="N1652" s="13">
        <v>23.588000000000001</v>
      </c>
      <c r="O1652" s="13">
        <v>375.392</v>
      </c>
      <c r="P1652" s="13" t="s">
        <v>10771</v>
      </c>
      <c r="Q1652" s="13" t="s">
        <v>260</v>
      </c>
      <c r="R1652" s="13" t="s">
        <v>10772</v>
      </c>
      <c r="S1652" s="13" t="s">
        <v>1164</v>
      </c>
      <c r="T1652" s="13" t="s">
        <v>1165</v>
      </c>
      <c r="U1652" s="13" t="s">
        <v>525</v>
      </c>
      <c r="V1652" s="47">
        <f>SUMIF(Data!$E:$E,$I1652,Data!$AI:$AI)</f>
        <v>0</v>
      </c>
    </row>
    <row r="1653" spans="1:22" x14ac:dyDescent="0.25">
      <c r="A1653" s="46" t="s">
        <v>10559</v>
      </c>
      <c r="B1653" s="46" t="s">
        <v>120</v>
      </c>
      <c r="C1653" s="46" t="s">
        <v>4961</v>
      </c>
      <c r="D1653" s="46">
        <v>1.1805181915059499</v>
      </c>
      <c r="E1653" s="47">
        <f>SUMIF(Data!$E:$E,$C1653,Data!$AI:$AI)</f>
        <v>0</v>
      </c>
      <c r="I1653" s="13">
        <v>6460</v>
      </c>
      <c r="J1653" s="13" t="s">
        <v>10773</v>
      </c>
      <c r="K1653" s="13" t="s">
        <v>137</v>
      </c>
      <c r="L1653" s="13" t="s">
        <v>10454</v>
      </c>
      <c r="M1653" s="13" t="s">
        <v>10774</v>
      </c>
      <c r="N1653" s="13">
        <v>26.007000000000001</v>
      </c>
      <c r="O1653" s="13">
        <v>375.767</v>
      </c>
      <c r="P1653" s="13" t="s">
        <v>10775</v>
      </c>
      <c r="Q1653" s="13" t="s">
        <v>162</v>
      </c>
      <c r="R1653" s="13" t="s">
        <v>10776</v>
      </c>
      <c r="S1653" s="13" t="s">
        <v>441</v>
      </c>
      <c r="T1653" s="13" t="s">
        <v>442</v>
      </c>
      <c r="U1653" s="13" t="s">
        <v>443</v>
      </c>
      <c r="V1653" s="47">
        <f>SUMIF(Data!$E:$E,$I1653,Data!$AI:$AI)</f>
        <v>0</v>
      </c>
    </row>
    <row r="1654" spans="1:22" x14ac:dyDescent="0.25">
      <c r="A1654" s="46" t="s">
        <v>10559</v>
      </c>
      <c r="B1654" s="46" t="s">
        <v>120</v>
      </c>
      <c r="C1654" s="46" t="s">
        <v>5268</v>
      </c>
      <c r="D1654" s="46">
        <v>0.17218297406369801</v>
      </c>
      <c r="E1654" s="47">
        <f>SUMIF(Data!$E:$E,$C1654,Data!$AI:$AI)</f>
        <v>0</v>
      </c>
      <c r="I1654" s="13">
        <v>5947</v>
      </c>
      <c r="J1654" s="13" t="s">
        <v>10777</v>
      </c>
      <c r="K1654" s="13" t="s">
        <v>137</v>
      </c>
      <c r="L1654" s="13" t="s">
        <v>10454</v>
      </c>
      <c r="M1654" s="13" t="s">
        <v>10778</v>
      </c>
      <c r="N1654" s="13">
        <v>4.7430000000000003</v>
      </c>
      <c r="O1654" s="13">
        <v>368.40899999999999</v>
      </c>
      <c r="P1654" s="13" t="s">
        <v>10779</v>
      </c>
      <c r="Q1654" s="13" t="s">
        <v>162</v>
      </c>
      <c r="R1654" s="13" t="s">
        <v>10780</v>
      </c>
      <c r="S1654" s="13" t="s">
        <v>441</v>
      </c>
      <c r="T1654" s="13" t="s">
        <v>442</v>
      </c>
      <c r="U1654" s="13" t="s">
        <v>443</v>
      </c>
      <c r="V1654" s="47">
        <f>SUMIF(Data!$E:$E,$I1654,Data!$AI:$AI)</f>
        <v>0</v>
      </c>
    </row>
    <row r="1655" spans="1:22" x14ac:dyDescent="0.25">
      <c r="A1655" s="46" t="s">
        <v>10559</v>
      </c>
      <c r="B1655" s="46" t="s">
        <v>120</v>
      </c>
      <c r="C1655" s="46" t="s">
        <v>4968</v>
      </c>
      <c r="D1655" s="46">
        <v>1.0149831812778001</v>
      </c>
      <c r="E1655" s="47">
        <f>SUMIF(Data!$E:$E,$C1655,Data!$AI:$AI)</f>
        <v>0</v>
      </c>
      <c r="I1655" s="13">
        <v>4091</v>
      </c>
      <c r="J1655" s="13" t="s">
        <v>10781</v>
      </c>
      <c r="K1655" s="13" t="s">
        <v>137</v>
      </c>
      <c r="L1655" s="13" t="s">
        <v>10454</v>
      </c>
      <c r="M1655" s="13" t="s">
        <v>10395</v>
      </c>
      <c r="N1655" s="13">
        <v>14.7</v>
      </c>
      <c r="O1655" s="13">
        <v>323.49099999999999</v>
      </c>
      <c r="P1655" s="13" t="s">
        <v>10782</v>
      </c>
      <c r="Q1655" s="13" t="s">
        <v>734</v>
      </c>
      <c r="R1655" s="13" t="s">
        <v>10783</v>
      </c>
      <c r="S1655" s="13" t="s">
        <v>441</v>
      </c>
      <c r="T1655" s="13" t="s">
        <v>442</v>
      </c>
      <c r="U1655" s="13" t="s">
        <v>443</v>
      </c>
      <c r="V1655" s="47">
        <f>SUMIF(Data!$E:$E,$I1655,Data!$AI:$AI)</f>
        <v>0</v>
      </c>
    </row>
    <row r="1656" spans="1:22" x14ac:dyDescent="0.25">
      <c r="A1656" s="46" t="s">
        <v>10559</v>
      </c>
      <c r="B1656" s="46" t="s">
        <v>120</v>
      </c>
      <c r="C1656" s="46" t="s">
        <v>4975</v>
      </c>
      <c r="D1656" s="46">
        <v>1.17151436602805</v>
      </c>
      <c r="E1656" s="47">
        <f>SUMIF(Data!$E:$E,$C1656,Data!$AI:$AI)</f>
        <v>0</v>
      </c>
      <c r="I1656" s="13">
        <v>6370</v>
      </c>
      <c r="J1656" s="13" t="s">
        <v>10784</v>
      </c>
      <c r="K1656" s="13" t="s">
        <v>137</v>
      </c>
      <c r="L1656" s="13" t="s">
        <v>10454</v>
      </c>
      <c r="M1656" s="13" t="s">
        <v>4701</v>
      </c>
      <c r="N1656" s="13">
        <v>10.013999999999999</v>
      </c>
      <c r="O1656" s="13">
        <v>300.255</v>
      </c>
      <c r="P1656" s="13" t="s">
        <v>10785</v>
      </c>
      <c r="Q1656" s="13" t="s">
        <v>416</v>
      </c>
      <c r="R1656" s="13" t="s">
        <v>10786</v>
      </c>
      <c r="S1656" s="13" t="s">
        <v>441</v>
      </c>
      <c r="T1656" s="13" t="s">
        <v>442</v>
      </c>
      <c r="U1656" s="13" t="s">
        <v>443</v>
      </c>
      <c r="V1656" s="47">
        <f>SUMIF(Data!$E:$E,$I1656,Data!$AI:$AI)</f>
        <v>0</v>
      </c>
    </row>
    <row r="1657" spans="1:22" x14ac:dyDescent="0.25">
      <c r="A1657" s="46" t="s">
        <v>10559</v>
      </c>
      <c r="B1657" s="46" t="s">
        <v>120</v>
      </c>
      <c r="C1657" s="46" t="s">
        <v>5662</v>
      </c>
      <c r="D1657" s="46">
        <v>6.7978228824237E-2</v>
      </c>
      <c r="E1657" s="47">
        <f>SUMIF(Data!$E:$E,$C1657,Data!$AI:$AI)</f>
        <v>0</v>
      </c>
      <c r="I1657" s="13">
        <v>4088</v>
      </c>
      <c r="J1657" s="13" t="s">
        <v>10787</v>
      </c>
      <c r="K1657" s="13" t="s">
        <v>137</v>
      </c>
      <c r="L1657" s="13" t="s">
        <v>10454</v>
      </c>
      <c r="M1657" s="13" t="s">
        <v>10774</v>
      </c>
      <c r="N1657" s="13">
        <v>18.7</v>
      </c>
      <c r="O1657" s="13">
        <v>270.19099999999997</v>
      </c>
      <c r="P1657" s="13" t="s">
        <v>10788</v>
      </c>
      <c r="Q1657" s="13" t="s">
        <v>734</v>
      </c>
      <c r="R1657" s="13" t="s">
        <v>10789</v>
      </c>
      <c r="S1657" s="13" t="s">
        <v>441</v>
      </c>
      <c r="T1657" s="13" t="s">
        <v>442</v>
      </c>
      <c r="U1657" s="13" t="s">
        <v>443</v>
      </c>
      <c r="V1657" s="47">
        <f>SUMIF(Data!$E:$E,$I1657,Data!$AI:$AI)</f>
        <v>0</v>
      </c>
    </row>
    <row r="1658" spans="1:22" x14ac:dyDescent="0.25">
      <c r="A1658" s="46" t="s">
        <v>10559</v>
      </c>
      <c r="B1658" s="46" t="s">
        <v>120</v>
      </c>
      <c r="C1658" s="46" t="s">
        <v>5682</v>
      </c>
      <c r="D1658" s="46">
        <v>0.11114405844519901</v>
      </c>
      <c r="E1658" s="47">
        <f>SUMIF(Data!$E:$E,$C1658,Data!$AI:$AI)</f>
        <v>0</v>
      </c>
      <c r="I1658" s="13" t="s">
        <v>6463</v>
      </c>
      <c r="J1658" s="13" t="s">
        <v>10790</v>
      </c>
      <c r="K1658" s="13" t="s">
        <v>137</v>
      </c>
      <c r="L1658" s="13" t="s">
        <v>10454</v>
      </c>
      <c r="M1658" s="13" t="s">
        <v>10791</v>
      </c>
      <c r="N1658" s="13">
        <v>29.317</v>
      </c>
      <c r="O1658" s="13">
        <v>264.14600000000002</v>
      </c>
      <c r="P1658" s="13" t="s">
        <v>10792</v>
      </c>
      <c r="Q1658" s="13" t="s">
        <v>208</v>
      </c>
      <c r="R1658" s="13" t="s">
        <v>10793</v>
      </c>
      <c r="S1658" s="13" t="s">
        <v>192</v>
      </c>
      <c r="T1658" s="13" t="s">
        <v>4831</v>
      </c>
      <c r="U1658" s="13" t="s">
        <v>110</v>
      </c>
      <c r="V1658" s="47">
        <f>SUMIF(Data!$E:$E,$I1658,Data!$AI:$AI)</f>
        <v>0</v>
      </c>
    </row>
    <row r="1659" spans="1:22" x14ac:dyDescent="0.25">
      <c r="A1659" s="46" t="s">
        <v>10559</v>
      </c>
      <c r="B1659" s="46" t="s">
        <v>120</v>
      </c>
      <c r="C1659" s="46" t="s">
        <v>5306</v>
      </c>
      <c r="D1659" s="46">
        <v>0.32238218993284501</v>
      </c>
      <c r="E1659" s="47">
        <f>SUMIF(Data!$E:$E,$C1659,Data!$AI:$AI)</f>
        <v>0</v>
      </c>
      <c r="I1659" s="13">
        <v>9783</v>
      </c>
      <c r="J1659" s="13" t="s">
        <v>10794</v>
      </c>
      <c r="K1659" s="13" t="s">
        <v>137</v>
      </c>
      <c r="L1659" s="13" t="s">
        <v>10454</v>
      </c>
      <c r="M1659" s="13" t="s">
        <v>10795</v>
      </c>
      <c r="N1659" s="13">
        <v>8.4819999999999993</v>
      </c>
      <c r="O1659" s="13">
        <v>227.92099999999999</v>
      </c>
      <c r="P1659" s="13" t="s">
        <v>10796</v>
      </c>
      <c r="Q1659" s="13" t="s">
        <v>162</v>
      </c>
      <c r="R1659" s="13" t="s">
        <v>10797</v>
      </c>
      <c r="S1659" s="13" t="s">
        <v>441</v>
      </c>
      <c r="T1659" s="13" t="s">
        <v>442</v>
      </c>
      <c r="U1659" s="13" t="s">
        <v>443</v>
      </c>
      <c r="V1659" s="47">
        <f>SUMIF(Data!$E:$E,$I1659,Data!$AI:$AI)</f>
        <v>0</v>
      </c>
    </row>
    <row r="1660" spans="1:22" x14ac:dyDescent="0.25">
      <c r="A1660" s="46" t="s">
        <v>10559</v>
      </c>
      <c r="B1660" s="46" t="s">
        <v>120</v>
      </c>
      <c r="C1660" s="46" t="s">
        <v>5313</v>
      </c>
      <c r="D1660" s="46">
        <v>0.14224073130440401</v>
      </c>
      <c r="E1660" s="47">
        <f>SUMIF(Data!$E:$E,$C1660,Data!$AI:$AI)</f>
        <v>0</v>
      </c>
      <c r="I1660" s="13">
        <v>8227</v>
      </c>
      <c r="J1660" s="13" t="s">
        <v>10798</v>
      </c>
      <c r="K1660" s="13" t="s">
        <v>137</v>
      </c>
      <c r="L1660" s="13" t="s">
        <v>10454</v>
      </c>
      <c r="M1660" s="13" t="s">
        <v>10799</v>
      </c>
      <c r="N1660" s="13">
        <v>2.9590000000000001</v>
      </c>
      <c r="O1660" s="13">
        <v>224.167</v>
      </c>
      <c r="P1660" s="13" t="s">
        <v>10800</v>
      </c>
      <c r="Q1660" s="13" t="s">
        <v>162</v>
      </c>
      <c r="R1660" s="13" t="s">
        <v>10801</v>
      </c>
      <c r="S1660" s="13" t="s">
        <v>441</v>
      </c>
      <c r="T1660" s="13" t="s">
        <v>442</v>
      </c>
      <c r="U1660" s="13" t="s">
        <v>443</v>
      </c>
      <c r="V1660" s="47">
        <f>SUMIF(Data!$E:$E,$I1660,Data!$AI:$AI)</f>
        <v>0</v>
      </c>
    </row>
    <row r="1661" spans="1:22" x14ac:dyDescent="0.25">
      <c r="A1661" s="46" t="s">
        <v>10559</v>
      </c>
      <c r="B1661" s="46" t="s">
        <v>120</v>
      </c>
      <c r="C1661" s="46" t="s">
        <v>3578</v>
      </c>
      <c r="D1661" s="46">
        <v>0.113403020843867</v>
      </c>
      <c r="E1661" s="47">
        <f>SUMIF(Data!$E:$E,$C1661,Data!$AI:$AI)</f>
        <v>0</v>
      </c>
      <c r="I1661" s="13" t="s">
        <v>10802</v>
      </c>
      <c r="J1661" s="13" t="s">
        <v>2166</v>
      </c>
      <c r="K1661" s="13" t="s">
        <v>137</v>
      </c>
      <c r="L1661" s="13" t="s">
        <v>10454</v>
      </c>
      <c r="M1661" s="13" t="s">
        <v>10763</v>
      </c>
      <c r="N1661" s="13">
        <v>2.464</v>
      </c>
      <c r="O1661" s="13">
        <v>104.11799999999999</v>
      </c>
      <c r="P1661" s="13" t="s">
        <v>10803</v>
      </c>
      <c r="Q1661" s="13" t="s">
        <v>734</v>
      </c>
      <c r="R1661" s="13" t="s">
        <v>2170</v>
      </c>
      <c r="S1661" s="13" t="s">
        <v>725</v>
      </c>
      <c r="T1661" s="13" t="s">
        <v>146</v>
      </c>
      <c r="U1661" s="13" t="s">
        <v>727</v>
      </c>
      <c r="V1661" s="47">
        <f>SUMIF(Data!$E:$E,$I1661,Data!$AI:$AI)</f>
        <v>0</v>
      </c>
    </row>
    <row r="1662" spans="1:22" x14ac:dyDescent="0.25">
      <c r="A1662" s="46" t="s">
        <v>10559</v>
      </c>
      <c r="B1662" s="46" t="s">
        <v>120</v>
      </c>
      <c r="C1662" s="46" t="s">
        <v>5722</v>
      </c>
      <c r="D1662" s="46">
        <v>7.3891583963935997E-2</v>
      </c>
      <c r="E1662" s="47">
        <f>SUMIF(Data!$E:$E,$C1662,Data!$AI:$AI)</f>
        <v>0</v>
      </c>
      <c r="I1662" s="13" t="s">
        <v>4962</v>
      </c>
      <c r="J1662" s="13" t="s">
        <v>4963</v>
      </c>
      <c r="K1662" s="13" t="s">
        <v>137</v>
      </c>
      <c r="L1662" s="13" t="s">
        <v>10454</v>
      </c>
      <c r="M1662" s="13" t="s">
        <v>10804</v>
      </c>
      <c r="N1662" s="13">
        <v>0</v>
      </c>
      <c r="O1662" s="13">
        <v>23</v>
      </c>
      <c r="P1662" s="13" t="s">
        <v>10805</v>
      </c>
      <c r="Q1662" s="13" t="s">
        <v>734</v>
      </c>
      <c r="R1662" s="13" t="s">
        <v>4967</v>
      </c>
      <c r="S1662" s="13" t="s">
        <v>5736</v>
      </c>
      <c r="T1662" s="13" t="s">
        <v>146</v>
      </c>
      <c r="U1662" s="13" t="s">
        <v>5737</v>
      </c>
      <c r="V1662" s="47">
        <f>SUMIF(Data!$E:$E,$I1662,Data!$AI:$AI)</f>
        <v>0</v>
      </c>
    </row>
    <row r="1663" spans="1:22" x14ac:dyDescent="0.25">
      <c r="A1663" s="46" t="s">
        <v>10559</v>
      </c>
      <c r="B1663" s="46" t="s">
        <v>120</v>
      </c>
      <c r="C1663" s="46" t="s">
        <v>5759</v>
      </c>
      <c r="D1663" s="46">
        <v>0.12037166744595799</v>
      </c>
      <c r="E1663" s="47">
        <f>SUMIF(Data!$E:$E,$C1663,Data!$AI:$AI)</f>
        <v>0</v>
      </c>
      <c r="I1663" s="13" t="s">
        <v>10806</v>
      </c>
      <c r="J1663" s="13" t="s">
        <v>10807</v>
      </c>
      <c r="K1663" s="13" t="s">
        <v>10808</v>
      </c>
      <c r="L1663" s="13" t="s">
        <v>10454</v>
      </c>
      <c r="M1663" s="13" t="s">
        <v>10809</v>
      </c>
      <c r="N1663" s="13">
        <v>53</v>
      </c>
      <c r="O1663" s="13">
        <v>0</v>
      </c>
      <c r="P1663" s="13" t="s">
        <v>10810</v>
      </c>
      <c r="Q1663" s="13" t="s">
        <v>759</v>
      </c>
      <c r="R1663" s="13" t="s">
        <v>760</v>
      </c>
      <c r="S1663" s="13" t="s">
        <v>10811</v>
      </c>
      <c r="T1663" s="13" t="s">
        <v>760</v>
      </c>
      <c r="U1663" s="13" t="s">
        <v>443</v>
      </c>
      <c r="V1663" s="47">
        <f>SUMIF(Data!$E:$E,$I1663,Data!$AI:$AI)</f>
        <v>0</v>
      </c>
    </row>
    <row r="1664" spans="1:22" x14ac:dyDescent="0.25">
      <c r="A1664" s="46" t="s">
        <v>10559</v>
      </c>
      <c r="B1664" s="46" t="s">
        <v>120</v>
      </c>
      <c r="C1664" s="46" t="s">
        <v>5766</v>
      </c>
      <c r="D1664" s="46">
        <v>6.9349667745796997E-2</v>
      </c>
      <c r="E1664" s="47">
        <f>SUMIF(Data!$E:$E,$C1664,Data!$AI:$AI)</f>
        <v>0</v>
      </c>
      <c r="I1664" s="13" t="s">
        <v>10812</v>
      </c>
      <c r="J1664" s="13" t="s">
        <v>10813</v>
      </c>
      <c r="K1664" s="13" t="s">
        <v>10808</v>
      </c>
      <c r="L1664" s="13" t="s">
        <v>10454</v>
      </c>
      <c r="M1664" s="13" t="s">
        <v>10814</v>
      </c>
      <c r="N1664" s="13">
        <v>114</v>
      </c>
      <c r="O1664" s="13">
        <v>0</v>
      </c>
      <c r="P1664" s="13" t="s">
        <v>10815</v>
      </c>
      <c r="Q1664" s="13" t="s">
        <v>759</v>
      </c>
      <c r="R1664" s="13" t="s">
        <v>10816</v>
      </c>
      <c r="S1664" s="13" t="s">
        <v>10817</v>
      </c>
      <c r="T1664" s="13" t="s">
        <v>760</v>
      </c>
      <c r="U1664" s="13" t="s">
        <v>478</v>
      </c>
      <c r="V1664" s="47">
        <f>SUMIF(Data!$E:$E,$I1664,Data!$AI:$AI)</f>
        <v>0</v>
      </c>
    </row>
    <row r="1665" spans="1:22" x14ac:dyDescent="0.25">
      <c r="A1665" s="46" t="s">
        <v>10559</v>
      </c>
      <c r="B1665" s="46" t="s">
        <v>120</v>
      </c>
      <c r="C1665" s="46" t="s">
        <v>5799</v>
      </c>
      <c r="D1665" s="46">
        <v>2.5821754693751E-2</v>
      </c>
      <c r="E1665" s="47">
        <f>SUMIF(Data!$E:$E,$C1665,Data!$AI:$AI)</f>
        <v>0</v>
      </c>
      <c r="I1665" s="13" t="s">
        <v>10818</v>
      </c>
      <c r="J1665" s="13" t="s">
        <v>10819</v>
      </c>
      <c r="K1665" s="13" t="s">
        <v>10808</v>
      </c>
      <c r="L1665" s="13" t="s">
        <v>10454</v>
      </c>
      <c r="M1665" s="13" t="s">
        <v>10820</v>
      </c>
      <c r="N1665" s="13">
        <v>300</v>
      </c>
      <c r="O1665" s="13">
        <v>0</v>
      </c>
      <c r="P1665" s="13" t="s">
        <v>10821</v>
      </c>
      <c r="Q1665" s="13" t="s">
        <v>759</v>
      </c>
      <c r="R1665" s="13" t="s">
        <v>760</v>
      </c>
      <c r="S1665" s="13" t="s">
        <v>10822</v>
      </c>
      <c r="T1665" s="13" t="s">
        <v>760</v>
      </c>
      <c r="U1665" s="13" t="s">
        <v>110</v>
      </c>
      <c r="V1665" s="47">
        <f>SUMIF(Data!$E:$E,$I1665,Data!$AI:$AI)</f>
        <v>0</v>
      </c>
    </row>
    <row r="1666" spans="1:22" x14ac:dyDescent="0.25">
      <c r="A1666" s="46" t="s">
        <v>10559</v>
      </c>
      <c r="B1666" s="46" t="s">
        <v>120</v>
      </c>
      <c r="C1666" s="46" t="s">
        <v>4981</v>
      </c>
      <c r="D1666" s="46">
        <v>1.75884132471368</v>
      </c>
      <c r="E1666" s="47">
        <f>SUMIF(Data!$E:$E,$C1666,Data!$AI:$AI)</f>
        <v>0</v>
      </c>
      <c r="I1666" s="13" t="s">
        <v>10823</v>
      </c>
      <c r="J1666" s="13" t="s">
        <v>10824</v>
      </c>
      <c r="K1666" s="13" t="s">
        <v>10808</v>
      </c>
      <c r="L1666" s="13" t="s">
        <v>10454</v>
      </c>
      <c r="M1666" s="13" t="s">
        <v>10825</v>
      </c>
      <c r="N1666" s="13">
        <v>469</v>
      </c>
      <c r="O1666" s="13">
        <v>0</v>
      </c>
      <c r="P1666" s="13" t="s">
        <v>10826</v>
      </c>
      <c r="Q1666" s="13" t="s">
        <v>759</v>
      </c>
      <c r="R1666" s="13" t="s">
        <v>760</v>
      </c>
      <c r="S1666" s="13" t="s">
        <v>10827</v>
      </c>
      <c r="T1666" s="13" t="s">
        <v>760</v>
      </c>
      <c r="U1666" s="13" t="s">
        <v>110</v>
      </c>
      <c r="V1666" s="47">
        <f>SUMIF(Data!$E:$E,$I1666,Data!$AI:$AI)</f>
        <v>0</v>
      </c>
    </row>
    <row r="1667" spans="1:22" x14ac:dyDescent="0.25">
      <c r="A1667" s="46" t="s">
        <v>10559</v>
      </c>
      <c r="B1667" s="46" t="s">
        <v>120</v>
      </c>
      <c r="C1667" s="46" t="s">
        <v>5365</v>
      </c>
      <c r="D1667" s="46">
        <v>0.14713560618952401</v>
      </c>
      <c r="E1667" s="47">
        <f>SUMIF(Data!$E:$E,$C1667,Data!$AI:$AI)</f>
        <v>0</v>
      </c>
      <c r="I1667" s="13" t="s">
        <v>10828</v>
      </c>
      <c r="J1667" s="13" t="s">
        <v>10829</v>
      </c>
      <c r="K1667" s="13" t="s">
        <v>10808</v>
      </c>
      <c r="L1667" s="13" t="s">
        <v>10454</v>
      </c>
      <c r="M1667" s="13" t="s">
        <v>10830</v>
      </c>
      <c r="N1667" s="13">
        <v>345</v>
      </c>
      <c r="O1667" s="13">
        <v>0</v>
      </c>
      <c r="P1667" s="13" t="s">
        <v>10831</v>
      </c>
      <c r="Q1667" s="13" t="s">
        <v>759</v>
      </c>
      <c r="R1667" s="13" t="s">
        <v>10832</v>
      </c>
      <c r="S1667" s="13" t="s">
        <v>10833</v>
      </c>
      <c r="T1667" s="13" t="s">
        <v>3547</v>
      </c>
      <c r="U1667" s="13" t="s">
        <v>525</v>
      </c>
      <c r="V1667" s="47">
        <f>SUMIF(Data!$E:$E,$I1667,Data!$AI:$AI)</f>
        <v>0</v>
      </c>
    </row>
    <row r="1668" spans="1:22" x14ac:dyDescent="0.25">
      <c r="A1668" s="46" t="s">
        <v>10559</v>
      </c>
      <c r="B1668" s="46" t="s">
        <v>120</v>
      </c>
      <c r="C1668" s="46" t="s">
        <v>4988</v>
      </c>
      <c r="D1668" s="46">
        <v>1.0073053609623499</v>
      </c>
      <c r="E1668" s="47">
        <f>SUMIF(Data!$E:$E,$C1668,Data!$AI:$AI)</f>
        <v>0</v>
      </c>
      <c r="I1668" s="13" t="s">
        <v>121</v>
      </c>
      <c r="V1668" s="47">
        <f>SUMIF(Data!$E:$E,$I1668,Data!$AI:$AI)</f>
        <v>0</v>
      </c>
    </row>
    <row r="1669" spans="1:22" x14ac:dyDescent="0.25">
      <c r="A1669" s="46" t="s">
        <v>10559</v>
      </c>
      <c r="B1669" s="46" t="s">
        <v>120</v>
      </c>
      <c r="C1669" s="46" t="s">
        <v>4995</v>
      </c>
      <c r="D1669" s="46">
        <v>2.7640695555609498</v>
      </c>
      <c r="E1669" s="47">
        <f>SUMIF(Data!$E:$E,$C1669,Data!$AI:$AI)</f>
        <v>0</v>
      </c>
    </row>
    <row r="1670" spans="1:22" x14ac:dyDescent="0.25">
      <c r="A1670" s="46" t="s">
        <v>10559</v>
      </c>
      <c r="B1670" s="46" t="s">
        <v>120</v>
      </c>
      <c r="C1670" s="46" t="s">
        <v>5386</v>
      </c>
      <c r="D1670" s="46">
        <v>0.34984212901587403</v>
      </c>
      <c r="E1670" s="47">
        <f>SUMIF(Data!$E:$E,$C1670,Data!$AI:$AI)</f>
        <v>0</v>
      </c>
    </row>
    <row r="1671" spans="1:22" x14ac:dyDescent="0.25">
      <c r="A1671" s="46" t="s">
        <v>10559</v>
      </c>
      <c r="B1671" s="46" t="s">
        <v>120</v>
      </c>
      <c r="C1671" s="46" t="s">
        <v>5827</v>
      </c>
      <c r="D1671" s="46">
        <v>3.5125596884094001E-2</v>
      </c>
      <c r="E1671" s="47">
        <f>SUMIF(Data!$E:$E,$C1671,Data!$AI:$AI)</f>
        <v>0</v>
      </c>
    </row>
    <row r="1672" spans="1:22" x14ac:dyDescent="0.25">
      <c r="A1672" s="46" t="s">
        <v>10559</v>
      </c>
      <c r="B1672" s="46" t="s">
        <v>120</v>
      </c>
      <c r="C1672" s="46" t="s">
        <v>5833</v>
      </c>
      <c r="D1672" s="46">
        <v>5.7048071786130999E-2</v>
      </c>
      <c r="E1672" s="47">
        <f>SUMIF(Data!$E:$E,$C1672,Data!$AI:$AI)</f>
        <v>0</v>
      </c>
    </row>
    <row r="1673" spans="1:22" x14ac:dyDescent="0.25">
      <c r="A1673" s="46" t="s">
        <v>10559</v>
      </c>
      <c r="B1673" s="46" t="s">
        <v>120</v>
      </c>
      <c r="C1673" s="46" t="s">
        <v>5393</v>
      </c>
      <c r="D1673" s="46">
        <v>2.4125403169493999E-2</v>
      </c>
      <c r="E1673" s="47">
        <f>SUMIF(Data!$E:$E,$C1673,Data!$AI:$AI)</f>
        <v>0</v>
      </c>
    </row>
    <row r="1674" spans="1:22" x14ac:dyDescent="0.25">
      <c r="A1674" s="46" t="s">
        <v>10559</v>
      </c>
      <c r="B1674" s="46" t="s">
        <v>120</v>
      </c>
      <c r="C1674" s="46" t="s">
        <v>5399</v>
      </c>
      <c r="D1674" s="46">
        <v>0.25309100815358698</v>
      </c>
      <c r="E1674" s="47">
        <f>SUMIF(Data!$E:$E,$C1674,Data!$AI:$AI)</f>
        <v>0</v>
      </c>
    </row>
    <row r="1675" spans="1:22" x14ac:dyDescent="0.25">
      <c r="A1675" s="46" t="s">
        <v>10559</v>
      </c>
      <c r="B1675" s="46" t="s">
        <v>120</v>
      </c>
      <c r="C1675" s="46" t="s">
        <v>6747</v>
      </c>
      <c r="D1675" s="46">
        <v>0.34365762094769797</v>
      </c>
      <c r="E1675" s="47">
        <f>SUMIF(Data!$E:$E,$C1675,Data!$AI:$AI)</f>
        <v>0</v>
      </c>
    </row>
    <row r="1676" spans="1:22" x14ac:dyDescent="0.25">
      <c r="A1676" s="46" t="s">
        <v>10834</v>
      </c>
      <c r="B1676" s="46" t="s">
        <v>120</v>
      </c>
      <c r="C1676" s="46" t="s">
        <v>4461</v>
      </c>
      <c r="D1676" s="46">
        <v>0.60371139674838104</v>
      </c>
      <c r="E1676" s="47">
        <f>SUMIF(Data!$E:$E,$C1676,Data!$AI:$AI)</f>
        <v>0</v>
      </c>
    </row>
    <row r="1677" spans="1:22" x14ac:dyDescent="0.25">
      <c r="A1677" s="46" t="s">
        <v>10834</v>
      </c>
      <c r="B1677" s="46" t="s">
        <v>120</v>
      </c>
      <c r="C1677" s="46" t="s">
        <v>4468</v>
      </c>
      <c r="D1677" s="46">
        <v>0.227154426804341</v>
      </c>
      <c r="E1677" s="47">
        <f>SUMIF(Data!$E:$E,$C1677,Data!$AI:$AI)</f>
        <v>0</v>
      </c>
    </row>
    <row r="1678" spans="1:22" x14ac:dyDescent="0.25">
      <c r="A1678" s="46" t="s">
        <v>10834</v>
      </c>
      <c r="B1678" s="46" t="s">
        <v>120</v>
      </c>
      <c r="C1678" s="46" t="s">
        <v>4575</v>
      </c>
      <c r="D1678" s="46">
        <v>17.935747310465</v>
      </c>
      <c r="E1678" s="47">
        <f>SUMIF(Data!$E:$E,$C1678,Data!$AI:$AI)</f>
        <v>0</v>
      </c>
    </row>
    <row r="1679" spans="1:22" x14ac:dyDescent="0.25">
      <c r="A1679" s="46" t="s">
        <v>10834</v>
      </c>
      <c r="B1679" s="46" t="s">
        <v>120</v>
      </c>
      <c r="C1679" s="46" t="s">
        <v>2014</v>
      </c>
      <c r="D1679" s="46">
        <v>1.6577226826037601</v>
      </c>
      <c r="E1679" s="47">
        <f>SUMIF(Data!$E:$E,$C1679,Data!$AI:$AI)</f>
        <v>0</v>
      </c>
    </row>
    <row r="1680" spans="1:22" x14ac:dyDescent="0.25">
      <c r="A1680" s="46" t="s">
        <v>10834</v>
      </c>
      <c r="B1680" s="46" t="s">
        <v>120</v>
      </c>
      <c r="C1680" s="46" t="s">
        <v>4489</v>
      </c>
      <c r="D1680" s="46">
        <v>3.35253629498354</v>
      </c>
      <c r="E1680" s="47">
        <f>SUMIF(Data!$E:$E,$C1680,Data!$AI:$AI)</f>
        <v>0</v>
      </c>
    </row>
    <row r="1681" spans="1:5" x14ac:dyDescent="0.25">
      <c r="A1681" s="46" t="s">
        <v>10834</v>
      </c>
      <c r="B1681" s="46" t="s">
        <v>120</v>
      </c>
      <c r="C1681" s="46" t="s">
        <v>4582</v>
      </c>
      <c r="D1681" s="46">
        <v>0.73125047163256596</v>
      </c>
      <c r="E1681" s="47">
        <f>SUMIF(Data!$E:$E,$C1681,Data!$AI:$AI)</f>
        <v>0</v>
      </c>
    </row>
    <row r="1682" spans="1:5" x14ac:dyDescent="0.25">
      <c r="A1682" s="46" t="s">
        <v>10834</v>
      </c>
      <c r="B1682" s="46" t="s">
        <v>120</v>
      </c>
      <c r="C1682" s="46" t="s">
        <v>4589</v>
      </c>
      <c r="D1682" s="46">
        <v>35.3276413822759</v>
      </c>
      <c r="E1682" s="47">
        <f>SUMIF(Data!$E:$E,$C1682,Data!$AI:$AI)</f>
        <v>0</v>
      </c>
    </row>
    <row r="1683" spans="1:5" x14ac:dyDescent="0.25">
      <c r="A1683" s="46" t="s">
        <v>10834</v>
      </c>
      <c r="B1683" s="46" t="s">
        <v>120</v>
      </c>
      <c r="C1683" s="46" t="s">
        <v>4524</v>
      </c>
      <c r="D1683" s="46">
        <v>2.0859881915966501</v>
      </c>
      <c r="E1683" s="47">
        <f>SUMIF(Data!$E:$E,$C1683,Data!$AI:$AI)</f>
        <v>0</v>
      </c>
    </row>
    <row r="1684" spans="1:5" x14ac:dyDescent="0.25">
      <c r="A1684" s="46" t="s">
        <v>10834</v>
      </c>
      <c r="B1684" s="46" t="s">
        <v>120</v>
      </c>
      <c r="C1684" s="46" t="s">
        <v>4496</v>
      </c>
      <c r="D1684" s="46">
        <v>1.9034337027177399</v>
      </c>
      <c r="E1684" s="47">
        <f>SUMIF(Data!$E:$E,$C1684,Data!$AI:$AI)</f>
        <v>0</v>
      </c>
    </row>
    <row r="1685" spans="1:5" x14ac:dyDescent="0.25">
      <c r="A1685" s="46" t="s">
        <v>10834</v>
      </c>
      <c r="B1685" s="46" t="s">
        <v>120</v>
      </c>
      <c r="C1685" s="46" t="s">
        <v>4503</v>
      </c>
      <c r="D1685" s="46">
        <v>0.77176687820221501</v>
      </c>
      <c r="E1685" s="47">
        <f>SUMIF(Data!$E:$E,$C1685,Data!$AI:$AI)</f>
        <v>0</v>
      </c>
    </row>
    <row r="1686" spans="1:5" x14ac:dyDescent="0.25">
      <c r="A1686" s="46" t="s">
        <v>10834</v>
      </c>
      <c r="B1686" s="46" t="s">
        <v>120</v>
      </c>
      <c r="C1686" s="46" t="s">
        <v>4546</v>
      </c>
      <c r="D1686" s="46">
        <v>0.96981329657800197</v>
      </c>
      <c r="E1686" s="47">
        <f>SUMIF(Data!$E:$E,$C1686,Data!$AI:$AI)</f>
        <v>0</v>
      </c>
    </row>
    <row r="1687" spans="1:5" x14ac:dyDescent="0.25">
      <c r="A1687" s="46" t="s">
        <v>10834</v>
      </c>
      <c r="B1687" s="46" t="s">
        <v>120</v>
      </c>
      <c r="C1687" s="46" t="s">
        <v>4637</v>
      </c>
      <c r="D1687" s="46">
        <v>0.85443927019718502</v>
      </c>
      <c r="E1687" s="47">
        <f>SUMIF(Data!$E:$E,$C1687,Data!$AI:$AI)</f>
        <v>0</v>
      </c>
    </row>
    <row r="1688" spans="1:5" x14ac:dyDescent="0.25">
      <c r="A1688" s="46" t="s">
        <v>10834</v>
      </c>
      <c r="B1688" s="46" t="s">
        <v>120</v>
      </c>
      <c r="C1688" s="46" t="s">
        <v>4553</v>
      </c>
      <c r="D1688" s="46">
        <v>0.168318263200297</v>
      </c>
      <c r="E1688" s="47">
        <f>SUMIF(Data!$E:$E,$C1688,Data!$AI:$AI)</f>
        <v>0</v>
      </c>
    </row>
    <row r="1689" spans="1:5" x14ac:dyDescent="0.25">
      <c r="A1689" s="46" t="s">
        <v>10834</v>
      </c>
      <c r="B1689" s="46" t="s">
        <v>120</v>
      </c>
      <c r="C1689" s="46" t="s">
        <v>4618</v>
      </c>
      <c r="D1689" s="46">
        <v>2.27720894700543</v>
      </c>
      <c r="E1689" s="47">
        <f>SUMIF(Data!$E:$E,$C1689,Data!$AI:$AI)</f>
        <v>0</v>
      </c>
    </row>
    <row r="1690" spans="1:5" x14ac:dyDescent="0.25">
      <c r="A1690" s="46" t="s">
        <v>10834</v>
      </c>
      <c r="B1690" s="46" t="s">
        <v>120</v>
      </c>
      <c r="C1690" s="46" t="s">
        <v>4625</v>
      </c>
      <c r="D1690" s="46">
        <v>7.0403119073231402</v>
      </c>
      <c r="E1690" s="47">
        <f>SUMIF(Data!$E:$E,$C1690,Data!$AI:$AI)</f>
        <v>0</v>
      </c>
    </row>
    <row r="1691" spans="1:5" x14ac:dyDescent="0.25">
      <c r="A1691" s="46" t="s">
        <v>10834</v>
      </c>
      <c r="B1691" s="46" t="s">
        <v>120</v>
      </c>
      <c r="C1691" s="46" t="s">
        <v>4560</v>
      </c>
      <c r="D1691" s="46">
        <v>0.80944002824194194</v>
      </c>
      <c r="E1691" s="47">
        <f>SUMIF(Data!$E:$E,$C1691,Data!$AI:$AI)</f>
        <v>0</v>
      </c>
    </row>
    <row r="1692" spans="1:5" x14ac:dyDescent="0.25">
      <c r="A1692" s="46" t="s">
        <v>10834</v>
      </c>
      <c r="B1692" s="46" t="s">
        <v>120</v>
      </c>
      <c r="C1692" s="46" t="s">
        <v>4475</v>
      </c>
      <c r="D1692" s="46">
        <v>0.46871136221621901</v>
      </c>
      <c r="E1692" s="47">
        <f>SUMIF(Data!$E:$E,$C1692,Data!$AI:$AI)</f>
        <v>0</v>
      </c>
    </row>
    <row r="1693" spans="1:5" x14ac:dyDescent="0.25">
      <c r="A1693" s="46" t="s">
        <v>10834</v>
      </c>
      <c r="B1693" s="46" t="s">
        <v>120</v>
      </c>
      <c r="C1693" s="46" t="s">
        <v>517</v>
      </c>
      <c r="D1693" s="46">
        <v>2.5455242722970399</v>
      </c>
      <c r="E1693" s="47">
        <f>SUMIF(Data!$E:$E,$C1693,Data!$AI:$AI)</f>
        <v>0</v>
      </c>
    </row>
    <row r="1694" spans="1:5" x14ac:dyDescent="0.25">
      <c r="A1694" s="46" t="s">
        <v>10834</v>
      </c>
      <c r="B1694" s="46" t="s">
        <v>120</v>
      </c>
      <c r="C1694" s="46" t="s">
        <v>4481</v>
      </c>
      <c r="D1694" s="46">
        <v>15.570174618243801</v>
      </c>
      <c r="E1694" s="47">
        <f>SUMIF(Data!$E:$E,$C1694,Data!$AI:$AI)</f>
        <v>0</v>
      </c>
    </row>
    <row r="1695" spans="1:5" x14ac:dyDescent="0.25">
      <c r="A1695" s="46" t="s">
        <v>10834</v>
      </c>
      <c r="B1695" s="46" t="s">
        <v>120</v>
      </c>
      <c r="C1695" s="46" t="s">
        <v>4644</v>
      </c>
      <c r="D1695" s="46">
        <v>5.6473443114399002E-2</v>
      </c>
      <c r="E1695" s="47">
        <f>SUMIF(Data!$E:$E,$C1695,Data!$AI:$AI)</f>
        <v>0</v>
      </c>
    </row>
    <row r="1696" spans="1:5" x14ac:dyDescent="0.25">
      <c r="A1696" s="46" t="s">
        <v>10834</v>
      </c>
      <c r="B1696" s="46" t="s">
        <v>120</v>
      </c>
      <c r="C1696" s="46" t="s">
        <v>4595</v>
      </c>
      <c r="D1696" s="46">
        <v>0.62168860919777602</v>
      </c>
      <c r="E1696" s="47">
        <f>SUMIF(Data!$E:$E,$C1696,Data!$AI:$AI)</f>
        <v>0</v>
      </c>
    </row>
    <row r="1697" spans="1:5" x14ac:dyDescent="0.25">
      <c r="A1697" s="46" t="s">
        <v>10834</v>
      </c>
      <c r="B1697" s="46" t="s">
        <v>120</v>
      </c>
      <c r="C1697" s="46" t="s">
        <v>4510</v>
      </c>
      <c r="D1697" s="46">
        <v>0.15866378283899499</v>
      </c>
      <c r="E1697" s="47">
        <f>SUMIF(Data!$E:$E,$C1697,Data!$AI:$AI)</f>
        <v>0</v>
      </c>
    </row>
    <row r="1698" spans="1:5" x14ac:dyDescent="0.25">
      <c r="A1698" s="46" t="s">
        <v>10834</v>
      </c>
      <c r="B1698" s="46" t="s">
        <v>120</v>
      </c>
      <c r="C1698" s="46" t="s">
        <v>4567</v>
      </c>
      <c r="D1698" s="46">
        <v>0.13539169378792601</v>
      </c>
      <c r="E1698" s="47">
        <f>SUMIF(Data!$E:$E,$C1698,Data!$AI:$AI)</f>
        <v>0</v>
      </c>
    </row>
    <row r="1699" spans="1:5" x14ac:dyDescent="0.25">
      <c r="A1699" s="46" t="s">
        <v>10834</v>
      </c>
      <c r="B1699" s="46" t="s">
        <v>120</v>
      </c>
      <c r="C1699" s="46" t="s">
        <v>4517</v>
      </c>
      <c r="D1699" s="46">
        <v>1.2752902028575499</v>
      </c>
      <c r="E1699" s="47">
        <f>SUMIF(Data!$E:$E,$C1699,Data!$AI:$AI)</f>
        <v>0</v>
      </c>
    </row>
    <row r="1700" spans="1:5" x14ac:dyDescent="0.25">
      <c r="A1700" s="46" t="s">
        <v>10834</v>
      </c>
      <c r="B1700" s="46" t="s">
        <v>120</v>
      </c>
      <c r="C1700" s="46" t="s">
        <v>4602</v>
      </c>
      <c r="D1700" s="46">
        <v>1.56584964464924</v>
      </c>
      <c r="E1700" s="47">
        <f>SUMIF(Data!$E:$E,$C1700,Data!$AI:$AI)</f>
        <v>0</v>
      </c>
    </row>
    <row r="1701" spans="1:5" x14ac:dyDescent="0.25">
      <c r="A1701" s="46" t="s">
        <v>10834</v>
      </c>
      <c r="B1701" s="46" t="s">
        <v>120</v>
      </c>
      <c r="C1701" s="46" t="s">
        <v>4453</v>
      </c>
      <c r="D1701" s="46">
        <v>0.30362235494555401</v>
      </c>
      <c r="E1701" s="47">
        <f>SUMIF(Data!$E:$E,$C1701,Data!$AI:$AI)</f>
        <v>0</v>
      </c>
    </row>
    <row r="1702" spans="1:5" x14ac:dyDescent="0.25">
      <c r="A1702" s="46" t="s">
        <v>10834</v>
      </c>
      <c r="B1702" s="46" t="s">
        <v>120</v>
      </c>
      <c r="C1702" s="46" t="s">
        <v>4610</v>
      </c>
      <c r="D1702" s="46">
        <v>0.582125565275465</v>
      </c>
      <c r="E1702" s="47">
        <f>SUMIF(Data!$E:$E,$C1702,Data!$AI:$AI)</f>
        <v>0</v>
      </c>
    </row>
    <row r="1703" spans="1:5" x14ac:dyDescent="0.25">
      <c r="A1703" s="46" t="s">
        <v>10835</v>
      </c>
      <c r="B1703" s="46" t="s">
        <v>120</v>
      </c>
      <c r="C1703" s="46" t="s">
        <v>5062</v>
      </c>
      <c r="D1703" s="46">
        <v>11.5026056065972</v>
      </c>
      <c r="E1703" s="47">
        <f>SUMIF(Data!$E:$E,$C1703,Data!$AI:$AI)</f>
        <v>0</v>
      </c>
    </row>
    <row r="1704" spans="1:5" x14ac:dyDescent="0.25">
      <c r="A1704" s="46" t="s">
        <v>10835</v>
      </c>
      <c r="B1704" s="46" t="s">
        <v>120</v>
      </c>
      <c r="C1704" s="46" t="s">
        <v>4779</v>
      </c>
      <c r="D1704" s="46">
        <v>28.8997910378712</v>
      </c>
      <c r="E1704" s="47">
        <f>SUMIF(Data!$E:$E,$C1704,Data!$AI:$AI)</f>
        <v>0</v>
      </c>
    </row>
    <row r="1705" spans="1:5" x14ac:dyDescent="0.25">
      <c r="A1705" s="46" t="s">
        <v>10835</v>
      </c>
      <c r="B1705" s="46" t="s">
        <v>120</v>
      </c>
      <c r="C1705" s="46" t="s">
        <v>5124</v>
      </c>
      <c r="D1705" s="46">
        <v>6.3978791433650901</v>
      </c>
      <c r="E1705" s="47">
        <f>SUMIF(Data!$E:$E,$C1705,Data!$AI:$AI)</f>
        <v>0</v>
      </c>
    </row>
    <row r="1706" spans="1:5" x14ac:dyDescent="0.25">
      <c r="A1706" s="46" t="s">
        <v>10835</v>
      </c>
      <c r="B1706" s="46" t="s">
        <v>120</v>
      </c>
      <c r="C1706" s="46" t="s">
        <v>5535</v>
      </c>
      <c r="D1706" s="46">
        <v>2.93344219624066</v>
      </c>
      <c r="E1706" s="47">
        <f>SUMIF(Data!$E:$E,$C1706,Data!$AI:$AI)</f>
        <v>0</v>
      </c>
    </row>
    <row r="1707" spans="1:5" x14ac:dyDescent="0.25">
      <c r="A1707" s="46" t="s">
        <v>10835</v>
      </c>
      <c r="B1707" s="46" t="s">
        <v>120</v>
      </c>
      <c r="C1707" s="46" t="s">
        <v>5150</v>
      </c>
      <c r="D1707" s="46">
        <v>4.2622199598363597</v>
      </c>
      <c r="E1707" s="47">
        <f>SUMIF(Data!$E:$E,$C1707,Data!$AI:$AI)</f>
        <v>0</v>
      </c>
    </row>
    <row r="1708" spans="1:5" x14ac:dyDescent="0.25">
      <c r="A1708" s="46" t="s">
        <v>10835</v>
      </c>
      <c r="B1708" s="46" t="s">
        <v>120</v>
      </c>
      <c r="C1708" s="46" t="s">
        <v>4870</v>
      </c>
      <c r="D1708" s="46">
        <v>44.3465204186504</v>
      </c>
      <c r="E1708" s="47">
        <f>SUMIF(Data!$E:$E,$C1708,Data!$AI:$AI)</f>
        <v>0</v>
      </c>
    </row>
    <row r="1709" spans="1:5" x14ac:dyDescent="0.25">
      <c r="A1709" s="46" t="s">
        <v>10835</v>
      </c>
      <c r="B1709" s="46" t="s">
        <v>120</v>
      </c>
      <c r="C1709" s="46" t="s">
        <v>5682</v>
      </c>
      <c r="D1709" s="46">
        <v>1.6575416374391201</v>
      </c>
      <c r="E1709" s="47">
        <f>SUMIF(Data!$E:$E,$C1709,Data!$AI:$AI)</f>
        <v>0</v>
      </c>
    </row>
    <row r="1710" spans="1:5" x14ac:dyDescent="0.25">
      <c r="A1710" s="46" t="s">
        <v>10836</v>
      </c>
      <c r="B1710" s="46" t="s">
        <v>120</v>
      </c>
      <c r="C1710" s="46" t="s">
        <v>5183</v>
      </c>
      <c r="D1710" s="46">
        <v>100</v>
      </c>
      <c r="E1710" s="47">
        <f>SUMIF(Data!$E:$E,$C1710,Data!$AI:$AI)</f>
        <v>0</v>
      </c>
    </row>
    <row r="1711" spans="1:5" x14ac:dyDescent="0.25">
      <c r="A1711" s="46" t="s">
        <v>10837</v>
      </c>
      <c r="B1711" s="46" t="s">
        <v>120</v>
      </c>
      <c r="C1711" s="46" t="s">
        <v>5508</v>
      </c>
      <c r="D1711" s="46">
        <v>100</v>
      </c>
      <c r="E1711" s="47">
        <f>SUMIF(Data!$E:$E,$C1711,Data!$AI:$AI)</f>
        <v>0</v>
      </c>
    </row>
    <row r="1712" spans="1:5" x14ac:dyDescent="0.25">
      <c r="A1712" s="46" t="s">
        <v>10838</v>
      </c>
      <c r="B1712" s="46" t="s">
        <v>120</v>
      </c>
      <c r="C1712" s="46" t="s">
        <v>5488</v>
      </c>
      <c r="D1712" s="46">
        <v>6.5784684884232796</v>
      </c>
      <c r="E1712" s="47">
        <f>SUMIF(Data!$E:$E,$C1712,Data!$AI:$AI)</f>
        <v>0</v>
      </c>
    </row>
    <row r="1713" spans="1:5" x14ac:dyDescent="0.25">
      <c r="A1713" s="46" t="s">
        <v>10838</v>
      </c>
      <c r="B1713" s="46" t="s">
        <v>120</v>
      </c>
      <c r="C1713" s="46" t="s">
        <v>5112</v>
      </c>
      <c r="D1713" s="46">
        <v>54.465988369132603</v>
      </c>
      <c r="E1713" s="47">
        <f>SUMIF(Data!$E:$E,$C1713,Data!$AI:$AI)</f>
        <v>0</v>
      </c>
    </row>
    <row r="1714" spans="1:5" x14ac:dyDescent="0.25">
      <c r="A1714" s="46" t="s">
        <v>10838</v>
      </c>
      <c r="B1714" s="46" t="s">
        <v>120</v>
      </c>
      <c r="C1714" s="46" t="s">
        <v>1783</v>
      </c>
      <c r="D1714" s="46">
        <v>28.314925251458298</v>
      </c>
      <c r="E1714" s="47">
        <f>SUMIF(Data!$E:$E,$C1714,Data!$AI:$AI)</f>
        <v>0</v>
      </c>
    </row>
    <row r="1715" spans="1:5" x14ac:dyDescent="0.25">
      <c r="A1715" s="46" t="s">
        <v>10838</v>
      </c>
      <c r="B1715" s="46" t="s">
        <v>120</v>
      </c>
      <c r="C1715" s="46" t="s">
        <v>5595</v>
      </c>
      <c r="D1715" s="46">
        <v>10.6406178909858</v>
      </c>
      <c r="E1715" s="47">
        <f>SUMIF(Data!$E:$E,$C1715,Data!$AI:$AI)</f>
        <v>0</v>
      </c>
    </row>
    <row r="1716" spans="1:5" x14ac:dyDescent="0.25">
      <c r="A1716" s="46" t="s">
        <v>10839</v>
      </c>
      <c r="B1716" s="46" t="s">
        <v>120</v>
      </c>
      <c r="C1716" s="46" t="s">
        <v>5495</v>
      </c>
      <c r="D1716" s="46">
        <v>52.0980626176325</v>
      </c>
      <c r="E1716" s="47">
        <f>SUMIF(Data!$E:$E,$C1716,Data!$AI:$AI)</f>
        <v>0</v>
      </c>
    </row>
    <row r="1717" spans="1:5" x14ac:dyDescent="0.25">
      <c r="A1717" s="46" t="s">
        <v>10839</v>
      </c>
      <c r="B1717" s="46" t="s">
        <v>120</v>
      </c>
      <c r="C1717" s="46" t="s">
        <v>5622</v>
      </c>
      <c r="D1717" s="46">
        <v>30.9757199519808</v>
      </c>
      <c r="E1717" s="47">
        <f>SUMIF(Data!$E:$E,$C1717,Data!$AI:$AI)</f>
        <v>0</v>
      </c>
    </row>
    <row r="1718" spans="1:5" x14ac:dyDescent="0.25">
      <c r="A1718" s="46" t="s">
        <v>10839</v>
      </c>
      <c r="B1718" s="46" t="s">
        <v>120</v>
      </c>
      <c r="C1718" s="46" t="s">
        <v>5644</v>
      </c>
      <c r="D1718" s="46">
        <v>6.4780736819153004</v>
      </c>
      <c r="E1718" s="47">
        <f>SUMIF(Data!$E:$E,$C1718,Data!$AI:$AI)</f>
        <v>0</v>
      </c>
    </row>
    <row r="1719" spans="1:5" x14ac:dyDescent="0.25">
      <c r="A1719" s="46" t="s">
        <v>10839</v>
      </c>
      <c r="B1719" s="46" t="s">
        <v>120</v>
      </c>
      <c r="C1719" s="46" t="s">
        <v>5799</v>
      </c>
      <c r="D1719" s="46">
        <v>10.4481437484714</v>
      </c>
      <c r="E1719" s="47">
        <f>SUMIF(Data!$E:$E,$C1719,Data!$AI:$AI)</f>
        <v>0</v>
      </c>
    </row>
    <row r="1720" spans="1:5" x14ac:dyDescent="0.25">
      <c r="A1720" s="46" t="s">
        <v>10840</v>
      </c>
      <c r="B1720" s="46" t="s">
        <v>120</v>
      </c>
      <c r="C1720" s="46" t="s">
        <v>4575</v>
      </c>
      <c r="D1720" s="46">
        <v>6.8857483979024297</v>
      </c>
      <c r="E1720" s="47">
        <f>SUMIF(Data!$E:$E,$C1720,Data!$AI:$AI)</f>
        <v>0</v>
      </c>
    </row>
    <row r="1721" spans="1:5" x14ac:dyDescent="0.25">
      <c r="A1721" s="46" t="s">
        <v>10840</v>
      </c>
      <c r="B1721" s="46" t="s">
        <v>120</v>
      </c>
      <c r="C1721" s="46" t="s">
        <v>4489</v>
      </c>
      <c r="D1721" s="46">
        <v>1.2870788722933999</v>
      </c>
      <c r="E1721" s="47">
        <f>SUMIF(Data!$E:$E,$C1721,Data!$AI:$AI)</f>
        <v>0</v>
      </c>
    </row>
    <row r="1722" spans="1:5" x14ac:dyDescent="0.25">
      <c r="A1722" s="46" t="s">
        <v>10840</v>
      </c>
      <c r="B1722" s="46" t="s">
        <v>120</v>
      </c>
      <c r="C1722" s="46" t="s">
        <v>4765</v>
      </c>
      <c r="D1722" s="46">
        <v>1.30504334220984</v>
      </c>
      <c r="E1722" s="47">
        <f>SUMIF(Data!$E:$E,$C1722,Data!$AI:$AI)</f>
        <v>0</v>
      </c>
    </row>
    <row r="1723" spans="1:5" x14ac:dyDescent="0.25">
      <c r="A1723" s="46" t="s">
        <v>10840</v>
      </c>
      <c r="B1723" s="46" t="s">
        <v>120</v>
      </c>
      <c r="C1723" s="46" t="s">
        <v>4589</v>
      </c>
      <c r="D1723" s="46">
        <v>10.852156668032199</v>
      </c>
      <c r="E1723" s="47">
        <f>SUMIF(Data!$E:$E,$C1723,Data!$AI:$AI)</f>
        <v>0</v>
      </c>
    </row>
    <row r="1724" spans="1:5" x14ac:dyDescent="0.25">
      <c r="A1724" s="46" t="s">
        <v>10840</v>
      </c>
      <c r="B1724" s="46" t="s">
        <v>120</v>
      </c>
      <c r="C1724" s="46" t="s">
        <v>4779</v>
      </c>
      <c r="D1724" s="46">
        <v>1.3671142278422199</v>
      </c>
      <c r="E1724" s="47">
        <f>SUMIF(Data!$E:$E,$C1724,Data!$AI:$AI)</f>
        <v>0</v>
      </c>
    </row>
    <row r="1725" spans="1:5" x14ac:dyDescent="0.25">
      <c r="A1725" s="46" t="s">
        <v>10840</v>
      </c>
      <c r="B1725" s="46" t="s">
        <v>120</v>
      </c>
      <c r="C1725" s="46" t="s">
        <v>4786</v>
      </c>
      <c r="D1725" s="46">
        <v>1.11674266554991</v>
      </c>
      <c r="E1725" s="47">
        <f>SUMIF(Data!$E:$E,$C1725,Data!$AI:$AI)</f>
        <v>0</v>
      </c>
    </row>
    <row r="1726" spans="1:5" x14ac:dyDescent="0.25">
      <c r="A1726" s="46" t="s">
        <v>10840</v>
      </c>
      <c r="B1726" s="46" t="s">
        <v>120</v>
      </c>
      <c r="C1726" s="46" t="s">
        <v>3202</v>
      </c>
      <c r="D1726" s="46">
        <v>1.1232171400120099</v>
      </c>
      <c r="E1726" s="47">
        <f>SUMIF(Data!$E:$E,$C1726,Data!$AI:$AI)</f>
        <v>0</v>
      </c>
    </row>
    <row r="1727" spans="1:5" x14ac:dyDescent="0.25">
      <c r="A1727" s="46" t="s">
        <v>10840</v>
      </c>
      <c r="B1727" s="46" t="s">
        <v>120</v>
      </c>
      <c r="C1727" s="46" t="s">
        <v>4798</v>
      </c>
      <c r="D1727" s="46">
        <v>4.19374187221515</v>
      </c>
      <c r="E1727" s="47">
        <f>SUMIF(Data!$E:$E,$C1727,Data!$AI:$AI)</f>
        <v>0</v>
      </c>
    </row>
    <row r="1728" spans="1:5" x14ac:dyDescent="0.25">
      <c r="A1728" s="46" t="s">
        <v>10840</v>
      </c>
      <c r="B1728" s="46" t="s">
        <v>120</v>
      </c>
      <c r="C1728" s="46" t="s">
        <v>3142</v>
      </c>
      <c r="D1728" s="46">
        <v>1.4504529895479199</v>
      </c>
      <c r="E1728" s="47">
        <f>SUMIF(Data!$E:$E,$C1728,Data!$AI:$AI)</f>
        <v>0</v>
      </c>
    </row>
    <row r="1729" spans="1:5" x14ac:dyDescent="0.25">
      <c r="A1729" s="46" t="s">
        <v>10840</v>
      </c>
      <c r="B1729" s="46" t="s">
        <v>120</v>
      </c>
      <c r="C1729" s="46" t="s">
        <v>4811</v>
      </c>
      <c r="D1729" s="46">
        <v>0.58884657577984201</v>
      </c>
      <c r="E1729" s="47">
        <f>SUMIF(Data!$E:$E,$C1729,Data!$AI:$AI)</f>
        <v>0</v>
      </c>
    </row>
    <row r="1730" spans="1:5" x14ac:dyDescent="0.25">
      <c r="A1730" s="46" t="s">
        <v>10840</v>
      </c>
      <c r="B1730" s="46" t="s">
        <v>120</v>
      </c>
      <c r="C1730" s="46" t="s">
        <v>4818</v>
      </c>
      <c r="D1730" s="46">
        <v>1.28426751376429</v>
      </c>
      <c r="E1730" s="47">
        <f>SUMIF(Data!$E:$E,$C1730,Data!$AI:$AI)</f>
        <v>0</v>
      </c>
    </row>
    <row r="1731" spans="1:5" x14ac:dyDescent="0.25">
      <c r="A1731" s="46" t="s">
        <v>10840</v>
      </c>
      <c r="B1731" s="46" t="s">
        <v>120</v>
      </c>
      <c r="C1731" s="46" t="s">
        <v>4618</v>
      </c>
      <c r="D1731" s="46">
        <v>0.87424781287940601</v>
      </c>
      <c r="E1731" s="47">
        <f>SUMIF(Data!$E:$E,$C1731,Data!$AI:$AI)</f>
        <v>0</v>
      </c>
    </row>
    <row r="1732" spans="1:5" x14ac:dyDescent="0.25">
      <c r="A1732" s="46" t="s">
        <v>10840</v>
      </c>
      <c r="B1732" s="46" t="s">
        <v>120</v>
      </c>
      <c r="C1732" s="46" t="s">
        <v>4625</v>
      </c>
      <c r="D1732" s="46">
        <v>2.70286013721315</v>
      </c>
      <c r="E1732" s="47">
        <f>SUMIF(Data!$E:$E,$C1732,Data!$AI:$AI)</f>
        <v>0</v>
      </c>
    </row>
    <row r="1733" spans="1:5" x14ac:dyDescent="0.25">
      <c r="A1733" s="46" t="s">
        <v>10840</v>
      </c>
      <c r="B1733" s="46" t="s">
        <v>120</v>
      </c>
      <c r="C1733" s="46" t="s">
        <v>4838</v>
      </c>
      <c r="D1733" s="46">
        <v>3.2502903231838798</v>
      </c>
      <c r="E1733" s="47">
        <f>SUMIF(Data!$E:$E,$C1733,Data!$AI:$AI)</f>
        <v>0</v>
      </c>
    </row>
    <row r="1734" spans="1:5" x14ac:dyDescent="0.25">
      <c r="A1734" s="46" t="s">
        <v>10840</v>
      </c>
      <c r="B1734" s="46" t="s">
        <v>120</v>
      </c>
      <c r="C1734" s="46" t="s">
        <v>4845</v>
      </c>
      <c r="D1734" s="46">
        <v>1.8784151915235201</v>
      </c>
      <c r="E1734" s="47">
        <f>SUMIF(Data!$E:$E,$C1734,Data!$AI:$AI)</f>
        <v>0</v>
      </c>
    </row>
    <row r="1735" spans="1:5" x14ac:dyDescent="0.25">
      <c r="A1735" s="46" t="s">
        <v>10840</v>
      </c>
      <c r="B1735" s="46" t="s">
        <v>120</v>
      </c>
      <c r="C1735" s="46" t="s">
        <v>4852</v>
      </c>
      <c r="D1735" s="46">
        <v>9.3093698887716894</v>
      </c>
      <c r="E1735" s="47">
        <f>SUMIF(Data!$E:$E,$C1735,Data!$AI:$AI)</f>
        <v>0</v>
      </c>
    </row>
    <row r="1736" spans="1:5" x14ac:dyDescent="0.25">
      <c r="A1736" s="46" t="s">
        <v>10840</v>
      </c>
      <c r="B1736" s="46" t="s">
        <v>120</v>
      </c>
      <c r="C1736" s="46" t="s">
        <v>4859</v>
      </c>
      <c r="D1736" s="46">
        <v>0.76026322312841199</v>
      </c>
      <c r="E1736" s="47">
        <f>SUMIF(Data!$E:$E,$C1736,Data!$AI:$AI)</f>
        <v>0</v>
      </c>
    </row>
    <row r="1737" spans="1:5" x14ac:dyDescent="0.25">
      <c r="A1737" s="46" t="s">
        <v>10840</v>
      </c>
      <c r="B1737" s="46" t="s">
        <v>120</v>
      </c>
      <c r="C1737" s="46" t="s">
        <v>3157</v>
      </c>
      <c r="D1737" s="46">
        <v>1.0927305328369801</v>
      </c>
      <c r="E1737" s="47">
        <f>SUMIF(Data!$E:$E,$C1737,Data!$AI:$AI)</f>
        <v>0</v>
      </c>
    </row>
    <row r="1738" spans="1:5" x14ac:dyDescent="0.25">
      <c r="A1738" s="46" t="s">
        <v>10840</v>
      </c>
      <c r="B1738" s="46" t="s">
        <v>120</v>
      </c>
      <c r="C1738" s="46" t="s">
        <v>4870</v>
      </c>
      <c r="D1738" s="46">
        <v>2.0978268991698101</v>
      </c>
      <c r="E1738" s="47">
        <f>SUMIF(Data!$E:$E,$C1738,Data!$AI:$AI)</f>
        <v>0</v>
      </c>
    </row>
    <row r="1739" spans="1:5" x14ac:dyDescent="0.25">
      <c r="A1739" s="46" t="s">
        <v>10840</v>
      </c>
      <c r="B1739" s="46" t="s">
        <v>120</v>
      </c>
      <c r="C1739" s="46" t="s">
        <v>4877</v>
      </c>
      <c r="D1739" s="46">
        <v>0.988942148014892</v>
      </c>
      <c r="E1739" s="47">
        <f>SUMIF(Data!$E:$E,$C1739,Data!$AI:$AI)</f>
        <v>0</v>
      </c>
    </row>
    <row r="1740" spans="1:5" x14ac:dyDescent="0.25">
      <c r="A1740" s="46" t="s">
        <v>10840</v>
      </c>
      <c r="B1740" s="46" t="s">
        <v>120</v>
      </c>
      <c r="C1740" s="46" t="s">
        <v>517</v>
      </c>
      <c r="D1740" s="46">
        <v>0.97725728269845202</v>
      </c>
      <c r="E1740" s="47">
        <f>SUMIF(Data!$E:$E,$C1740,Data!$AI:$AI)</f>
        <v>0</v>
      </c>
    </row>
    <row r="1741" spans="1:5" x14ac:dyDescent="0.25">
      <c r="A1741" s="46" t="s">
        <v>10840</v>
      </c>
      <c r="B1741" s="46" t="s">
        <v>120</v>
      </c>
      <c r="C1741" s="46" t="s">
        <v>4890</v>
      </c>
      <c r="D1741" s="46">
        <v>4.4518768322559801</v>
      </c>
      <c r="E1741" s="47">
        <f>SUMIF(Data!$E:$E,$C1741,Data!$AI:$AI)</f>
        <v>0</v>
      </c>
    </row>
    <row r="1742" spans="1:5" x14ac:dyDescent="0.25">
      <c r="A1742" s="46" t="s">
        <v>10840</v>
      </c>
      <c r="B1742" s="46" t="s">
        <v>120</v>
      </c>
      <c r="C1742" s="46" t="s">
        <v>4897</v>
      </c>
      <c r="D1742" s="46">
        <v>1.79084024930184</v>
      </c>
      <c r="E1742" s="47">
        <f>SUMIF(Data!$E:$E,$C1742,Data!$AI:$AI)</f>
        <v>0</v>
      </c>
    </row>
    <row r="1743" spans="1:5" x14ac:dyDescent="0.25">
      <c r="A1743" s="46" t="s">
        <v>10840</v>
      </c>
      <c r="B1743" s="46" t="s">
        <v>120</v>
      </c>
      <c r="C1743" s="46" t="s">
        <v>4904</v>
      </c>
      <c r="D1743" s="46">
        <v>2.6469039803455301</v>
      </c>
      <c r="E1743" s="47">
        <f>SUMIF(Data!$E:$E,$C1743,Data!$AI:$AI)</f>
        <v>0</v>
      </c>
    </row>
    <row r="1744" spans="1:5" x14ac:dyDescent="0.25">
      <c r="A1744" s="46" t="s">
        <v>10840</v>
      </c>
      <c r="B1744" s="46" t="s">
        <v>120</v>
      </c>
      <c r="C1744" s="46" t="s">
        <v>4481</v>
      </c>
      <c r="D1744" s="46">
        <v>5.9775766839711197</v>
      </c>
      <c r="E1744" s="47">
        <f>SUMIF(Data!$E:$E,$C1744,Data!$AI:$AI)</f>
        <v>0</v>
      </c>
    </row>
    <row r="1745" spans="1:5" x14ac:dyDescent="0.25">
      <c r="A1745" s="46" t="s">
        <v>10840</v>
      </c>
      <c r="B1745" s="46" t="s">
        <v>120</v>
      </c>
      <c r="C1745" s="46" t="s">
        <v>4916</v>
      </c>
      <c r="D1745" s="46">
        <v>0.70934081508087798</v>
      </c>
      <c r="E1745" s="47">
        <f>SUMIF(Data!$E:$E,$C1745,Data!$AI:$AI)</f>
        <v>0</v>
      </c>
    </row>
    <row r="1746" spans="1:5" x14ac:dyDescent="0.25">
      <c r="A1746" s="46" t="s">
        <v>10840</v>
      </c>
      <c r="B1746" s="46" t="s">
        <v>120</v>
      </c>
      <c r="C1746" s="46" t="s">
        <v>4923</v>
      </c>
      <c r="D1746" s="46">
        <v>0.88092052057255898</v>
      </c>
      <c r="E1746" s="47">
        <f>SUMIF(Data!$E:$E,$C1746,Data!$AI:$AI)</f>
        <v>0</v>
      </c>
    </row>
    <row r="1747" spans="1:5" x14ac:dyDescent="0.25">
      <c r="A1747" s="46" t="s">
        <v>10840</v>
      </c>
      <c r="B1747" s="46" t="s">
        <v>120</v>
      </c>
      <c r="C1747" s="46" t="s">
        <v>3898</v>
      </c>
      <c r="D1747" s="46">
        <v>0.75337515064695104</v>
      </c>
      <c r="E1747" s="47">
        <f>SUMIF(Data!$E:$E,$C1747,Data!$AI:$AI)</f>
        <v>0</v>
      </c>
    </row>
    <row r="1748" spans="1:5" x14ac:dyDescent="0.25">
      <c r="A1748" s="46" t="s">
        <v>10840</v>
      </c>
      <c r="B1748" s="46" t="s">
        <v>120</v>
      </c>
      <c r="C1748" s="46" t="s">
        <v>4935</v>
      </c>
      <c r="D1748" s="46">
        <v>1.0041456985781201</v>
      </c>
      <c r="E1748" s="47">
        <f>SUMIF(Data!$E:$E,$C1748,Data!$AI:$AI)</f>
        <v>0</v>
      </c>
    </row>
    <row r="1749" spans="1:5" x14ac:dyDescent="0.25">
      <c r="A1749" s="46" t="s">
        <v>10840</v>
      </c>
      <c r="B1749" s="46" t="s">
        <v>120</v>
      </c>
      <c r="C1749" s="46" t="s">
        <v>1939</v>
      </c>
      <c r="D1749" s="46">
        <v>8.9113576187611407</v>
      </c>
      <c r="E1749" s="47">
        <f>SUMIF(Data!$E:$E,$C1749,Data!$AI:$AI)</f>
        <v>0</v>
      </c>
    </row>
    <row r="1750" spans="1:5" x14ac:dyDescent="0.25">
      <c r="A1750" s="46" t="s">
        <v>10840</v>
      </c>
      <c r="B1750" s="46" t="s">
        <v>120</v>
      </c>
      <c r="C1750" s="46" t="s">
        <v>4948</v>
      </c>
      <c r="D1750" s="46">
        <v>3.4309512373028102</v>
      </c>
      <c r="E1750" s="47">
        <f>SUMIF(Data!$E:$E,$C1750,Data!$AI:$AI)</f>
        <v>0</v>
      </c>
    </row>
    <row r="1751" spans="1:5" x14ac:dyDescent="0.25">
      <c r="A1751" s="46" t="s">
        <v>10840</v>
      </c>
      <c r="B1751" s="46" t="s">
        <v>120</v>
      </c>
      <c r="C1751" s="46" t="s">
        <v>1466</v>
      </c>
      <c r="D1751" s="46">
        <v>1.5377931254764801</v>
      </c>
      <c r="E1751" s="47">
        <f>SUMIF(Data!$E:$E,$C1751,Data!$AI:$AI)</f>
        <v>0</v>
      </c>
    </row>
    <row r="1752" spans="1:5" x14ac:dyDescent="0.25">
      <c r="A1752" s="46" t="s">
        <v>10840</v>
      </c>
      <c r="B1752" s="46" t="s">
        <v>120</v>
      </c>
      <c r="C1752" s="46" t="s">
        <v>4961</v>
      </c>
      <c r="D1752" s="46">
        <v>0.83283885804704105</v>
      </c>
      <c r="E1752" s="47">
        <f>SUMIF(Data!$E:$E,$C1752,Data!$AI:$AI)</f>
        <v>0</v>
      </c>
    </row>
    <row r="1753" spans="1:5" x14ac:dyDescent="0.25">
      <c r="A1753" s="46" t="s">
        <v>10840</v>
      </c>
      <c r="B1753" s="46" t="s">
        <v>120</v>
      </c>
      <c r="C1753" s="46" t="s">
        <v>4968</v>
      </c>
      <c r="D1753" s="46">
        <v>0.71605625369822201</v>
      </c>
      <c r="E1753" s="47">
        <f>SUMIF(Data!$E:$E,$C1753,Data!$AI:$AI)</f>
        <v>0</v>
      </c>
    </row>
    <row r="1754" spans="1:5" x14ac:dyDescent="0.25">
      <c r="A1754" s="46" t="s">
        <v>10840</v>
      </c>
      <c r="B1754" s="46" t="s">
        <v>120</v>
      </c>
      <c r="C1754" s="46" t="s">
        <v>4975</v>
      </c>
      <c r="D1754" s="46">
        <v>0.82648678674223397</v>
      </c>
      <c r="E1754" s="47">
        <f>SUMIF(Data!$E:$E,$C1754,Data!$AI:$AI)</f>
        <v>0</v>
      </c>
    </row>
    <row r="1755" spans="1:5" x14ac:dyDescent="0.25">
      <c r="A1755" s="46" t="s">
        <v>10840</v>
      </c>
      <c r="B1755" s="46" t="s">
        <v>120</v>
      </c>
      <c r="C1755" s="46" t="s">
        <v>4981</v>
      </c>
      <c r="D1755" s="46">
        <v>1.24083763460845</v>
      </c>
      <c r="E1755" s="47">
        <f>SUMIF(Data!$E:$E,$C1755,Data!$AI:$AI)</f>
        <v>0</v>
      </c>
    </row>
    <row r="1756" spans="1:5" x14ac:dyDescent="0.25">
      <c r="A1756" s="46" t="s">
        <v>10840</v>
      </c>
      <c r="B1756" s="46" t="s">
        <v>120</v>
      </c>
      <c r="C1756" s="46" t="s">
        <v>4988</v>
      </c>
      <c r="D1756" s="46">
        <v>0.71063966024814595</v>
      </c>
      <c r="E1756" s="47">
        <f>SUMIF(Data!$E:$E,$C1756,Data!$AI:$AI)</f>
        <v>0</v>
      </c>
    </row>
    <row r="1757" spans="1:5" x14ac:dyDescent="0.25">
      <c r="A1757" s="46" t="s">
        <v>10840</v>
      </c>
      <c r="B1757" s="46" t="s">
        <v>120</v>
      </c>
      <c r="C1757" s="46" t="s">
        <v>4995</v>
      </c>
      <c r="D1757" s="46">
        <v>1.9500119089900301</v>
      </c>
      <c r="E1757" s="47">
        <f>SUMIF(Data!$E:$E,$C1757,Data!$AI:$AI)</f>
        <v>0</v>
      </c>
    </row>
    <row r="1758" spans="1:5" x14ac:dyDescent="0.25">
      <c r="A1758" s="46" t="s">
        <v>10840</v>
      </c>
      <c r="B1758" s="46" t="s">
        <v>120</v>
      </c>
      <c r="C1758" s="46" t="s">
        <v>5002</v>
      </c>
      <c r="D1758" s="46">
        <v>0.92206409354769003</v>
      </c>
      <c r="E1758" s="47">
        <f>SUMIF(Data!$E:$E,$C1758,Data!$AI:$AI)</f>
        <v>0</v>
      </c>
    </row>
    <row r="1759" spans="1:5" x14ac:dyDescent="0.25">
      <c r="A1759" s="46" t="s">
        <v>10840</v>
      </c>
      <c r="B1759" s="46" t="s">
        <v>120</v>
      </c>
      <c r="C1759" s="46" t="s">
        <v>5009</v>
      </c>
      <c r="D1759" s="46">
        <v>0.74267622890026896</v>
      </c>
      <c r="E1759" s="47">
        <f>SUMIF(Data!$E:$E,$C1759,Data!$AI:$AI)</f>
        <v>0</v>
      </c>
    </row>
    <row r="1760" spans="1:5" x14ac:dyDescent="0.25">
      <c r="A1760" s="46" t="s">
        <v>10840</v>
      </c>
      <c r="B1760" s="46" t="s">
        <v>120</v>
      </c>
      <c r="C1760" s="46" t="s">
        <v>5016</v>
      </c>
      <c r="D1760" s="46">
        <v>2.3401663077371202</v>
      </c>
      <c r="E1760" s="47">
        <f>SUMIF(Data!$E:$E,$C1760,Data!$AI:$AI)</f>
        <v>0</v>
      </c>
    </row>
    <row r="1761" spans="1:5" x14ac:dyDescent="0.25">
      <c r="A1761" s="46" t="s">
        <v>10840</v>
      </c>
      <c r="B1761" s="46" t="s">
        <v>120</v>
      </c>
      <c r="C1761" s="46" t="s">
        <v>5023</v>
      </c>
      <c r="D1761" s="46">
        <v>2.2365266506179799</v>
      </c>
      <c r="E1761" s="47">
        <f>SUMIF(Data!$E:$E,$C1761,Data!$AI:$AI)</f>
        <v>0</v>
      </c>
    </row>
    <row r="1762" spans="1:5" x14ac:dyDescent="0.25">
      <c r="A1762" s="46" t="s">
        <v>10841</v>
      </c>
      <c r="B1762" s="46" t="s">
        <v>120</v>
      </c>
      <c r="C1762" s="46" t="s">
        <v>5414</v>
      </c>
      <c r="D1762" s="46">
        <v>1.7960668488448E-2</v>
      </c>
      <c r="E1762" s="47">
        <f>SUMIF(Data!$E:$E,$C1762,Data!$AI:$AI)</f>
        <v>0</v>
      </c>
    </row>
    <row r="1763" spans="1:5" x14ac:dyDescent="0.25">
      <c r="A1763" s="46" t="s">
        <v>10841</v>
      </c>
      <c r="B1763" s="46" t="s">
        <v>120</v>
      </c>
      <c r="C1763" s="46" t="s">
        <v>5421</v>
      </c>
      <c r="D1763" s="46">
        <v>0.12337186860617699</v>
      </c>
      <c r="E1763" s="47">
        <f>SUMIF(Data!$E:$E,$C1763,Data!$AI:$AI)</f>
        <v>0</v>
      </c>
    </row>
    <row r="1764" spans="1:5" x14ac:dyDescent="0.25">
      <c r="A1764" s="46" t="s">
        <v>10841</v>
      </c>
      <c r="B1764" s="46" t="s">
        <v>120</v>
      </c>
      <c r="C1764" s="46" t="s">
        <v>4461</v>
      </c>
      <c r="D1764" s="46">
        <v>0.174994549901997</v>
      </c>
      <c r="E1764" s="47">
        <f>SUMIF(Data!$E:$E,$C1764,Data!$AI:$AI)</f>
        <v>0</v>
      </c>
    </row>
    <row r="1765" spans="1:5" x14ac:dyDescent="0.25">
      <c r="A1765" s="46" t="s">
        <v>10841</v>
      </c>
      <c r="B1765" s="46" t="s">
        <v>120</v>
      </c>
      <c r="C1765" s="46" t="s">
        <v>5428</v>
      </c>
      <c r="D1765" s="46">
        <v>3.4307327588582001E-2</v>
      </c>
      <c r="E1765" s="47">
        <f>SUMIF(Data!$E:$E,$C1765,Data!$AI:$AI)</f>
        <v>0</v>
      </c>
    </row>
    <row r="1766" spans="1:5" x14ac:dyDescent="0.25">
      <c r="A1766" s="46" t="s">
        <v>10841</v>
      </c>
      <c r="B1766" s="46" t="s">
        <v>120</v>
      </c>
      <c r="C1766" s="46" t="s">
        <v>4468</v>
      </c>
      <c r="D1766" s="46">
        <v>6.5844022310943995E-2</v>
      </c>
      <c r="E1766" s="47">
        <f>SUMIF(Data!$E:$E,$C1766,Data!$AI:$AI)</f>
        <v>0</v>
      </c>
    </row>
    <row r="1767" spans="1:5" x14ac:dyDescent="0.25">
      <c r="A1767" s="46" t="s">
        <v>10841</v>
      </c>
      <c r="B1767" s="46" t="s">
        <v>120</v>
      </c>
      <c r="C1767" s="46" t="s">
        <v>4575</v>
      </c>
      <c r="D1767" s="46">
        <v>5.1989378445657</v>
      </c>
      <c r="E1767" s="47">
        <f>SUMIF(Data!$E:$E,$C1767,Data!$AI:$AI)</f>
        <v>0</v>
      </c>
    </row>
    <row r="1768" spans="1:5" x14ac:dyDescent="0.25">
      <c r="A1768" s="46" t="s">
        <v>10841</v>
      </c>
      <c r="B1768" s="46" t="s">
        <v>120</v>
      </c>
      <c r="C1768" s="46" t="s">
        <v>2014</v>
      </c>
      <c r="D1768" s="46">
        <v>0.48051508761807099</v>
      </c>
      <c r="E1768" s="47">
        <f>SUMIF(Data!$E:$E,$C1768,Data!$AI:$AI)</f>
        <v>0</v>
      </c>
    </row>
    <row r="1769" spans="1:5" x14ac:dyDescent="0.25">
      <c r="A1769" s="46" t="s">
        <v>10841</v>
      </c>
      <c r="B1769" s="46" t="s">
        <v>120</v>
      </c>
      <c r="C1769" s="46" t="s">
        <v>4489</v>
      </c>
      <c r="D1769" s="46">
        <v>0.97178152198321499</v>
      </c>
      <c r="E1769" s="47">
        <f>SUMIF(Data!$E:$E,$C1769,Data!$AI:$AI)</f>
        <v>0</v>
      </c>
    </row>
    <row r="1770" spans="1:5" x14ac:dyDescent="0.25">
      <c r="A1770" s="46" t="s">
        <v>10841</v>
      </c>
      <c r="B1770" s="46" t="s">
        <v>120</v>
      </c>
      <c r="C1770" s="46" t="s">
        <v>4765</v>
      </c>
      <c r="D1770" s="46">
        <v>0.98534521282829601</v>
      </c>
      <c r="E1770" s="47">
        <f>SUMIF(Data!$E:$E,$C1770,Data!$AI:$AI)</f>
        <v>0</v>
      </c>
    </row>
    <row r="1771" spans="1:5" x14ac:dyDescent="0.25">
      <c r="A1771" s="46" t="s">
        <v>10841</v>
      </c>
      <c r="B1771" s="46" t="s">
        <v>120</v>
      </c>
      <c r="C1771" s="46" t="s">
        <v>4582</v>
      </c>
      <c r="D1771" s="46">
        <v>0.211963610159074</v>
      </c>
      <c r="E1771" s="47">
        <f>SUMIF(Data!$E:$E,$C1771,Data!$AI:$AI)</f>
        <v>0</v>
      </c>
    </row>
    <row r="1772" spans="1:5" x14ac:dyDescent="0.25">
      <c r="A1772" s="46" t="s">
        <v>10841</v>
      </c>
      <c r="B1772" s="46" t="s">
        <v>120</v>
      </c>
      <c r="C1772" s="46" t="s">
        <v>5441</v>
      </c>
      <c r="D1772" s="46">
        <v>0.138141646826653</v>
      </c>
      <c r="E1772" s="47">
        <f>SUMIF(Data!$E:$E,$C1772,Data!$AI:$AI)</f>
        <v>0</v>
      </c>
    </row>
    <row r="1773" spans="1:5" x14ac:dyDescent="0.25">
      <c r="A1773" s="46" t="s">
        <v>10841</v>
      </c>
      <c r="B1773" s="46" t="s">
        <v>120</v>
      </c>
      <c r="C1773" s="46" t="s">
        <v>5048</v>
      </c>
      <c r="D1773" s="46">
        <v>0.52803444365708296</v>
      </c>
      <c r="E1773" s="47">
        <f>SUMIF(Data!$E:$E,$C1773,Data!$AI:$AI)</f>
        <v>0</v>
      </c>
    </row>
    <row r="1774" spans="1:5" x14ac:dyDescent="0.25">
      <c r="A1774" s="46" t="s">
        <v>10841</v>
      </c>
      <c r="B1774" s="46" t="s">
        <v>120</v>
      </c>
      <c r="C1774" s="46" t="s">
        <v>5055</v>
      </c>
      <c r="D1774" s="46">
        <v>0.190517603751064</v>
      </c>
      <c r="E1774" s="47">
        <f>SUMIF(Data!$E:$E,$C1774,Data!$AI:$AI)</f>
        <v>0</v>
      </c>
    </row>
    <row r="1775" spans="1:5" x14ac:dyDescent="0.25">
      <c r="A1775" s="46" t="s">
        <v>10841</v>
      </c>
      <c r="B1775" s="46" t="s">
        <v>120</v>
      </c>
      <c r="C1775" s="46" t="s">
        <v>5062</v>
      </c>
      <c r="D1775" s="46">
        <v>0.41083724226519203</v>
      </c>
      <c r="E1775" s="47">
        <f>SUMIF(Data!$E:$E,$C1775,Data!$AI:$AI)</f>
        <v>0</v>
      </c>
    </row>
    <row r="1776" spans="1:5" x14ac:dyDescent="0.25">
      <c r="A1776" s="46" t="s">
        <v>10841</v>
      </c>
      <c r="B1776" s="46" t="s">
        <v>120</v>
      </c>
      <c r="C1776" s="46" t="s">
        <v>4589</v>
      </c>
      <c r="D1776" s="46">
        <v>10.2402318990297</v>
      </c>
      <c r="E1776" s="47">
        <f>SUMIF(Data!$E:$E,$C1776,Data!$AI:$AI)</f>
        <v>0</v>
      </c>
    </row>
    <row r="1777" spans="1:5" x14ac:dyDescent="0.25">
      <c r="A1777" s="46" t="s">
        <v>10841</v>
      </c>
      <c r="B1777" s="46" t="s">
        <v>120</v>
      </c>
      <c r="C1777" s="46" t="s">
        <v>5448</v>
      </c>
      <c r="D1777" s="46">
        <v>2.1837785421400999E-2</v>
      </c>
      <c r="E1777" s="47">
        <f>SUMIF(Data!$E:$E,$C1777,Data!$AI:$AI)</f>
        <v>0</v>
      </c>
    </row>
    <row r="1778" spans="1:5" x14ac:dyDescent="0.25">
      <c r="A1778" s="46" t="s">
        <v>10841</v>
      </c>
      <c r="B1778" s="46" t="s">
        <v>120</v>
      </c>
      <c r="C1778" s="46" t="s">
        <v>4779</v>
      </c>
      <c r="D1778" s="46">
        <v>1.0322105145663301</v>
      </c>
      <c r="E1778" s="47">
        <f>SUMIF(Data!$E:$E,$C1778,Data!$AI:$AI)</f>
        <v>0</v>
      </c>
    </row>
    <row r="1779" spans="1:5" x14ac:dyDescent="0.25">
      <c r="A1779" s="46" t="s">
        <v>10841</v>
      </c>
      <c r="B1779" s="46" t="s">
        <v>120</v>
      </c>
      <c r="C1779" s="46" t="s">
        <v>5454</v>
      </c>
      <c r="D1779" s="46">
        <v>7.1139498677400007E-2</v>
      </c>
      <c r="E1779" s="47">
        <f>SUMIF(Data!$E:$E,$C1779,Data!$AI:$AI)</f>
        <v>0</v>
      </c>
    </row>
    <row r="1780" spans="1:5" x14ac:dyDescent="0.25">
      <c r="A1780" s="46" t="s">
        <v>10841</v>
      </c>
      <c r="B1780" s="46" t="s">
        <v>120</v>
      </c>
      <c r="C1780" s="46" t="s">
        <v>5069</v>
      </c>
      <c r="D1780" s="46">
        <v>0.20624633593894201</v>
      </c>
      <c r="E1780" s="47">
        <f>SUMIF(Data!$E:$E,$C1780,Data!$AI:$AI)</f>
        <v>0</v>
      </c>
    </row>
    <row r="1781" spans="1:5" x14ac:dyDescent="0.25">
      <c r="A1781" s="46" t="s">
        <v>10841</v>
      </c>
      <c r="B1781" s="46" t="s">
        <v>120</v>
      </c>
      <c r="C1781" s="46" t="s">
        <v>4786</v>
      </c>
      <c r="D1781" s="46">
        <v>0.84317279271156598</v>
      </c>
      <c r="E1781" s="47">
        <f>SUMIF(Data!$E:$E,$C1781,Data!$AI:$AI)</f>
        <v>0</v>
      </c>
    </row>
    <row r="1782" spans="1:5" x14ac:dyDescent="0.25">
      <c r="A1782" s="46" t="s">
        <v>10841</v>
      </c>
      <c r="B1782" s="46" t="s">
        <v>120</v>
      </c>
      <c r="C1782" s="46" t="s">
        <v>5460</v>
      </c>
      <c r="D1782" s="46">
        <v>9.6306375519821005E-2</v>
      </c>
      <c r="E1782" s="47">
        <f>SUMIF(Data!$E:$E,$C1782,Data!$AI:$AI)</f>
        <v>0</v>
      </c>
    </row>
    <row r="1783" spans="1:5" x14ac:dyDescent="0.25">
      <c r="A1783" s="46" t="s">
        <v>10841</v>
      </c>
      <c r="B1783" s="46" t="s">
        <v>120</v>
      </c>
      <c r="C1783" s="46" t="s">
        <v>3202</v>
      </c>
      <c r="D1783" s="46">
        <v>0.84806120692010001</v>
      </c>
      <c r="E1783" s="47">
        <f>SUMIF(Data!$E:$E,$C1783,Data!$AI:$AI)</f>
        <v>0</v>
      </c>
    </row>
    <row r="1784" spans="1:5" x14ac:dyDescent="0.25">
      <c r="A1784" s="46" t="s">
        <v>10841</v>
      </c>
      <c r="B1784" s="46" t="s">
        <v>120</v>
      </c>
      <c r="C1784" s="46" t="s">
        <v>5467</v>
      </c>
      <c r="D1784" s="46">
        <v>8.0463798795802996E-2</v>
      </c>
      <c r="E1784" s="47">
        <f>SUMIF(Data!$E:$E,$C1784,Data!$AI:$AI)</f>
        <v>0</v>
      </c>
    </row>
    <row r="1785" spans="1:5" x14ac:dyDescent="0.25">
      <c r="A1785" s="46" t="s">
        <v>10841</v>
      </c>
      <c r="B1785" s="46" t="s">
        <v>120</v>
      </c>
      <c r="C1785" s="46" t="s">
        <v>5474</v>
      </c>
      <c r="D1785" s="46">
        <v>0.11730764156601101</v>
      </c>
      <c r="E1785" s="47">
        <f>SUMIF(Data!$E:$E,$C1785,Data!$AI:$AI)</f>
        <v>0</v>
      </c>
    </row>
    <row r="1786" spans="1:5" x14ac:dyDescent="0.25">
      <c r="A1786" s="46" t="s">
        <v>10841</v>
      </c>
      <c r="B1786" s="46" t="s">
        <v>120</v>
      </c>
      <c r="C1786" s="46" t="s">
        <v>5481</v>
      </c>
      <c r="D1786" s="46">
        <v>6.6016412710882003E-2</v>
      </c>
      <c r="E1786" s="47">
        <f>SUMIF(Data!$E:$E,$C1786,Data!$AI:$AI)</f>
        <v>0</v>
      </c>
    </row>
    <row r="1787" spans="1:5" x14ac:dyDescent="0.25">
      <c r="A1787" s="46" t="s">
        <v>10841</v>
      </c>
      <c r="B1787" s="46" t="s">
        <v>120</v>
      </c>
      <c r="C1787" s="46" t="s">
        <v>4524</v>
      </c>
      <c r="D1787" s="46">
        <v>0.60465408911516605</v>
      </c>
      <c r="E1787" s="47">
        <f>SUMIF(Data!$E:$E,$C1787,Data!$AI:$AI)</f>
        <v>0</v>
      </c>
    </row>
    <row r="1788" spans="1:5" x14ac:dyDescent="0.25">
      <c r="A1788" s="46" t="s">
        <v>10841</v>
      </c>
      <c r="B1788" s="46" t="s">
        <v>120</v>
      </c>
      <c r="C1788" s="46" t="s">
        <v>5082</v>
      </c>
      <c r="D1788" s="46">
        <v>0.13612126091139001</v>
      </c>
      <c r="E1788" s="47">
        <f>SUMIF(Data!$E:$E,$C1788,Data!$AI:$AI)</f>
        <v>0</v>
      </c>
    </row>
    <row r="1789" spans="1:5" x14ac:dyDescent="0.25">
      <c r="A1789" s="46" t="s">
        <v>10841</v>
      </c>
      <c r="B1789" s="46" t="s">
        <v>120</v>
      </c>
      <c r="C1789" s="46" t="s">
        <v>4798</v>
      </c>
      <c r="D1789" s="46">
        <v>3.16639558547346</v>
      </c>
      <c r="E1789" s="47">
        <f>SUMIF(Data!$E:$E,$C1789,Data!$AI:$AI)</f>
        <v>0</v>
      </c>
    </row>
    <row r="1790" spans="1:5" x14ac:dyDescent="0.25">
      <c r="A1790" s="46" t="s">
        <v>10841</v>
      </c>
      <c r="B1790" s="46" t="s">
        <v>120</v>
      </c>
      <c r="C1790" s="46" t="s">
        <v>4496</v>
      </c>
      <c r="D1790" s="46">
        <v>0.55173800903780501</v>
      </c>
      <c r="E1790" s="47">
        <f>SUMIF(Data!$E:$E,$C1790,Data!$AI:$AI)</f>
        <v>0</v>
      </c>
    </row>
    <row r="1791" spans="1:5" x14ac:dyDescent="0.25">
      <c r="A1791" s="46" t="s">
        <v>10841</v>
      </c>
      <c r="B1791" s="46" t="s">
        <v>120</v>
      </c>
      <c r="C1791" s="46" t="s">
        <v>5488</v>
      </c>
      <c r="D1791" s="46">
        <v>5.0920861588913999E-2</v>
      </c>
      <c r="E1791" s="47">
        <f>SUMIF(Data!$E:$E,$C1791,Data!$AI:$AI)</f>
        <v>0</v>
      </c>
    </row>
    <row r="1792" spans="1:5" x14ac:dyDescent="0.25">
      <c r="A1792" s="46" t="s">
        <v>10841</v>
      </c>
      <c r="B1792" s="46" t="s">
        <v>120</v>
      </c>
      <c r="C1792" s="46" t="s">
        <v>3142</v>
      </c>
      <c r="D1792" s="46">
        <v>1.09513367369352</v>
      </c>
      <c r="E1792" s="47">
        <f>SUMIF(Data!$E:$E,$C1792,Data!$AI:$AI)</f>
        <v>0</v>
      </c>
    </row>
    <row r="1793" spans="1:5" x14ac:dyDescent="0.25">
      <c r="A1793" s="46" t="s">
        <v>10841</v>
      </c>
      <c r="B1793" s="46" t="s">
        <v>120</v>
      </c>
      <c r="C1793" s="46" t="s">
        <v>4503</v>
      </c>
      <c r="D1793" s="46">
        <v>0.223707881295068</v>
      </c>
      <c r="E1793" s="47">
        <f>SUMIF(Data!$E:$E,$C1793,Data!$AI:$AI)</f>
        <v>0</v>
      </c>
    </row>
    <row r="1794" spans="1:5" x14ac:dyDescent="0.25">
      <c r="A1794" s="46" t="s">
        <v>10841</v>
      </c>
      <c r="B1794" s="46" t="s">
        <v>120</v>
      </c>
      <c r="C1794" s="46" t="s">
        <v>5495</v>
      </c>
      <c r="D1794" s="46">
        <v>6.8583549342945999E-2</v>
      </c>
      <c r="E1794" s="47">
        <f>SUMIF(Data!$E:$E,$C1794,Data!$AI:$AI)</f>
        <v>0</v>
      </c>
    </row>
    <row r="1795" spans="1:5" x14ac:dyDescent="0.25">
      <c r="A1795" s="46" t="s">
        <v>10841</v>
      </c>
      <c r="B1795" s="46" t="s">
        <v>120</v>
      </c>
      <c r="C1795" s="46" t="s">
        <v>5501</v>
      </c>
      <c r="D1795" s="46">
        <v>2.9311723119376E-2</v>
      </c>
      <c r="E1795" s="47">
        <f>SUMIF(Data!$E:$E,$C1795,Data!$AI:$AI)</f>
        <v>0</v>
      </c>
    </row>
    <row r="1796" spans="1:5" x14ac:dyDescent="0.25">
      <c r="A1796" s="46" t="s">
        <v>10841</v>
      </c>
      <c r="B1796" s="46" t="s">
        <v>120</v>
      </c>
      <c r="C1796" s="46" t="s">
        <v>3149</v>
      </c>
      <c r="D1796" s="46">
        <v>0.37702186960129003</v>
      </c>
      <c r="E1796" s="47">
        <f>SUMIF(Data!$E:$E,$C1796,Data!$AI:$AI)</f>
        <v>0</v>
      </c>
    </row>
    <row r="1797" spans="1:5" x14ac:dyDescent="0.25">
      <c r="A1797" s="46" t="s">
        <v>10841</v>
      </c>
      <c r="B1797" s="46" t="s">
        <v>120</v>
      </c>
      <c r="C1797" s="46" t="s">
        <v>4546</v>
      </c>
      <c r="D1797" s="46">
        <v>0.28111452299512202</v>
      </c>
      <c r="E1797" s="47">
        <f>SUMIF(Data!$E:$E,$C1797,Data!$AI:$AI)</f>
        <v>0</v>
      </c>
    </row>
    <row r="1798" spans="1:5" x14ac:dyDescent="0.25">
      <c r="A1798" s="46" t="s">
        <v>10841</v>
      </c>
      <c r="B1798" s="46" t="s">
        <v>120</v>
      </c>
      <c r="C1798" s="46" t="s">
        <v>4811</v>
      </c>
      <c r="D1798" s="46">
        <v>0.44459608027463199</v>
      </c>
      <c r="E1798" s="47">
        <f>SUMIF(Data!$E:$E,$C1798,Data!$AI:$AI)</f>
        <v>0</v>
      </c>
    </row>
    <row r="1799" spans="1:5" x14ac:dyDescent="0.25">
      <c r="A1799" s="46" t="s">
        <v>10841</v>
      </c>
      <c r="B1799" s="46" t="s">
        <v>120</v>
      </c>
      <c r="C1799" s="46" t="s">
        <v>4818</v>
      </c>
      <c r="D1799" s="46">
        <v>0.96965886553296499</v>
      </c>
      <c r="E1799" s="47">
        <f>SUMIF(Data!$E:$E,$C1799,Data!$AI:$AI)</f>
        <v>0</v>
      </c>
    </row>
    <row r="1800" spans="1:5" x14ac:dyDescent="0.25">
      <c r="A1800" s="46" t="s">
        <v>10841</v>
      </c>
      <c r="B1800" s="46" t="s">
        <v>120</v>
      </c>
      <c r="C1800" s="46" t="s">
        <v>5112</v>
      </c>
      <c r="D1800" s="46">
        <v>0.421595856228346</v>
      </c>
      <c r="E1800" s="47">
        <f>SUMIF(Data!$E:$E,$C1800,Data!$AI:$AI)</f>
        <v>0</v>
      </c>
    </row>
    <row r="1801" spans="1:5" x14ac:dyDescent="0.25">
      <c r="A1801" s="46" t="s">
        <v>10841</v>
      </c>
      <c r="B1801" s="46" t="s">
        <v>120</v>
      </c>
      <c r="C1801" s="46" t="s">
        <v>5508</v>
      </c>
      <c r="D1801" s="46">
        <v>2.6214043573179999E-2</v>
      </c>
      <c r="E1801" s="47">
        <f>SUMIF(Data!$E:$E,$C1801,Data!$AI:$AI)</f>
        <v>0</v>
      </c>
    </row>
    <row r="1802" spans="1:5" x14ac:dyDescent="0.25">
      <c r="A1802" s="46" t="s">
        <v>10841</v>
      </c>
      <c r="B1802" s="46" t="s">
        <v>120</v>
      </c>
      <c r="C1802" s="46" t="s">
        <v>5118</v>
      </c>
      <c r="D1802" s="46">
        <v>0.21565030715383601</v>
      </c>
      <c r="E1802" s="47">
        <f>SUMIF(Data!$E:$E,$C1802,Data!$AI:$AI)</f>
        <v>0</v>
      </c>
    </row>
    <row r="1803" spans="1:5" x14ac:dyDescent="0.25">
      <c r="A1803" s="46" t="s">
        <v>10841</v>
      </c>
      <c r="B1803" s="46" t="s">
        <v>120</v>
      </c>
      <c r="C1803" s="46" t="s">
        <v>5124</v>
      </c>
      <c r="D1803" s="46">
        <v>0.228512313948985</v>
      </c>
      <c r="E1803" s="47">
        <f>SUMIF(Data!$E:$E,$C1803,Data!$AI:$AI)</f>
        <v>0</v>
      </c>
    </row>
    <row r="1804" spans="1:5" x14ac:dyDescent="0.25">
      <c r="A1804" s="46" t="s">
        <v>10841</v>
      </c>
      <c r="B1804" s="46" t="s">
        <v>120</v>
      </c>
      <c r="C1804" s="46" t="s">
        <v>4637</v>
      </c>
      <c r="D1804" s="46">
        <v>0.24767167940191501</v>
      </c>
      <c r="E1804" s="47">
        <f>SUMIF(Data!$E:$E,$C1804,Data!$AI:$AI)</f>
        <v>0</v>
      </c>
    </row>
    <row r="1805" spans="1:5" x14ac:dyDescent="0.25">
      <c r="A1805" s="46" t="s">
        <v>10841</v>
      </c>
      <c r="B1805" s="46" t="s">
        <v>120</v>
      </c>
      <c r="C1805" s="46" t="s">
        <v>5131</v>
      </c>
      <c r="D1805" s="46">
        <v>0.202746409540876</v>
      </c>
      <c r="E1805" s="47">
        <f>SUMIF(Data!$E:$E,$C1805,Data!$AI:$AI)</f>
        <v>0</v>
      </c>
    </row>
    <row r="1806" spans="1:5" x14ac:dyDescent="0.25">
      <c r="A1806" s="46" t="s">
        <v>10841</v>
      </c>
      <c r="B1806" s="46" t="s">
        <v>120</v>
      </c>
      <c r="C1806" s="46" t="s">
        <v>5515</v>
      </c>
      <c r="D1806" s="46">
        <v>3.9273041954707003E-2</v>
      </c>
      <c r="E1806" s="47">
        <f>SUMIF(Data!$E:$E,$C1806,Data!$AI:$AI)</f>
        <v>0</v>
      </c>
    </row>
    <row r="1807" spans="1:5" x14ac:dyDescent="0.25">
      <c r="A1807" s="46" t="s">
        <v>10841</v>
      </c>
      <c r="B1807" s="46" t="s">
        <v>120</v>
      </c>
      <c r="C1807" s="46" t="s">
        <v>4553</v>
      </c>
      <c r="D1807" s="46">
        <v>4.8789502513396997E-2</v>
      </c>
      <c r="E1807" s="47">
        <f>SUMIF(Data!$E:$E,$C1807,Data!$AI:$AI)</f>
        <v>0</v>
      </c>
    </row>
    <row r="1808" spans="1:5" x14ac:dyDescent="0.25">
      <c r="A1808" s="46" t="s">
        <v>10841</v>
      </c>
      <c r="B1808" s="46" t="s">
        <v>120</v>
      </c>
      <c r="C1808" s="46" t="s">
        <v>4618</v>
      </c>
      <c r="D1808" s="46">
        <v>0.66008221289237201</v>
      </c>
      <c r="E1808" s="47">
        <f>SUMIF(Data!$E:$E,$C1808,Data!$AI:$AI)</f>
        <v>0</v>
      </c>
    </row>
    <row r="1809" spans="1:5" x14ac:dyDescent="0.25">
      <c r="A1809" s="46" t="s">
        <v>10841</v>
      </c>
      <c r="B1809" s="46" t="s">
        <v>120</v>
      </c>
      <c r="C1809" s="46" t="s">
        <v>4625</v>
      </c>
      <c r="D1809" s="46">
        <v>2.0407370475816502</v>
      </c>
      <c r="E1809" s="47">
        <f>SUMIF(Data!$E:$E,$C1809,Data!$AI:$AI)</f>
        <v>0</v>
      </c>
    </row>
    <row r="1810" spans="1:5" x14ac:dyDescent="0.25">
      <c r="A1810" s="46" t="s">
        <v>10841</v>
      </c>
      <c r="B1810" s="46" t="s">
        <v>120</v>
      </c>
      <c r="C1810" s="46" t="s">
        <v>5138</v>
      </c>
      <c r="D1810" s="46">
        <v>0.15495594147340799</v>
      </c>
      <c r="E1810" s="47">
        <f>SUMIF(Data!$E:$E,$C1810,Data!$AI:$AI)</f>
        <v>0</v>
      </c>
    </row>
    <row r="1811" spans="1:5" x14ac:dyDescent="0.25">
      <c r="A1811" s="46" t="s">
        <v>10841</v>
      </c>
      <c r="B1811" s="46" t="s">
        <v>120</v>
      </c>
      <c r="C1811" s="46" t="s">
        <v>5528</v>
      </c>
      <c r="D1811" s="46">
        <v>5.1672272651506E-2</v>
      </c>
      <c r="E1811" s="47">
        <f>SUMIF(Data!$E:$E,$C1811,Data!$AI:$AI)</f>
        <v>0</v>
      </c>
    </row>
    <row r="1812" spans="1:5" x14ac:dyDescent="0.25">
      <c r="A1812" s="46" t="s">
        <v>10841</v>
      </c>
      <c r="B1812" s="46" t="s">
        <v>120</v>
      </c>
      <c r="C1812" s="46" t="s">
        <v>4838</v>
      </c>
      <c r="D1812" s="46">
        <v>2.45406256379828</v>
      </c>
      <c r="E1812" s="47">
        <f>SUMIF(Data!$E:$E,$C1812,Data!$AI:$AI)</f>
        <v>0</v>
      </c>
    </row>
    <row r="1813" spans="1:5" x14ac:dyDescent="0.25">
      <c r="A1813" s="46" t="s">
        <v>10841</v>
      </c>
      <c r="B1813" s="46" t="s">
        <v>120</v>
      </c>
      <c r="C1813" s="46" t="s">
        <v>5535</v>
      </c>
      <c r="D1813" s="46">
        <v>0.10477341773386099</v>
      </c>
      <c r="E1813" s="47">
        <f>SUMIF(Data!$E:$E,$C1813,Data!$AI:$AI)</f>
        <v>0</v>
      </c>
    </row>
    <row r="1814" spans="1:5" x14ac:dyDescent="0.25">
      <c r="A1814" s="46" t="s">
        <v>10841</v>
      </c>
      <c r="B1814" s="46" t="s">
        <v>120</v>
      </c>
      <c r="C1814" s="46" t="s">
        <v>4845</v>
      </c>
      <c r="D1814" s="46">
        <v>1.41825743008468</v>
      </c>
      <c r="E1814" s="47">
        <f>SUMIF(Data!$E:$E,$C1814,Data!$AI:$AI)</f>
        <v>0</v>
      </c>
    </row>
    <row r="1815" spans="1:5" x14ac:dyDescent="0.25">
      <c r="A1815" s="46" t="s">
        <v>10841</v>
      </c>
      <c r="B1815" s="46" t="s">
        <v>120</v>
      </c>
      <c r="C1815" s="46" t="s">
        <v>4560</v>
      </c>
      <c r="D1815" s="46">
        <v>0.23462799307380899</v>
      </c>
      <c r="E1815" s="47">
        <f>SUMIF(Data!$E:$E,$C1815,Data!$AI:$AI)</f>
        <v>0</v>
      </c>
    </row>
    <row r="1816" spans="1:5" x14ac:dyDescent="0.25">
      <c r="A1816" s="46" t="s">
        <v>10841</v>
      </c>
      <c r="B1816" s="46" t="s">
        <v>120</v>
      </c>
      <c r="C1816" s="46" t="s">
        <v>5150</v>
      </c>
      <c r="D1816" s="46">
        <v>0.15223322037769499</v>
      </c>
      <c r="E1816" s="47">
        <f>SUMIF(Data!$E:$E,$C1816,Data!$AI:$AI)</f>
        <v>0</v>
      </c>
    </row>
    <row r="1817" spans="1:5" x14ac:dyDescent="0.25">
      <c r="A1817" s="46" t="s">
        <v>10841</v>
      </c>
      <c r="B1817" s="46" t="s">
        <v>120</v>
      </c>
      <c r="C1817" s="46" t="s">
        <v>4852</v>
      </c>
      <c r="D1817" s="46">
        <v>9.2477279378325097</v>
      </c>
      <c r="E1817" s="47">
        <f>SUMIF(Data!$E:$E,$C1817,Data!$AI:$AI)</f>
        <v>0</v>
      </c>
    </row>
    <row r="1818" spans="1:5" x14ac:dyDescent="0.25">
      <c r="A1818" s="46" t="s">
        <v>10841</v>
      </c>
      <c r="B1818" s="46" t="s">
        <v>120</v>
      </c>
      <c r="C1818" s="46" t="s">
        <v>4859</v>
      </c>
      <c r="D1818" s="46">
        <v>0.57402057324050004</v>
      </c>
      <c r="E1818" s="47">
        <f>SUMIF(Data!$E:$E,$C1818,Data!$AI:$AI)</f>
        <v>0</v>
      </c>
    </row>
    <row r="1819" spans="1:5" x14ac:dyDescent="0.25">
      <c r="A1819" s="46" t="s">
        <v>10841</v>
      </c>
      <c r="B1819" s="46" t="s">
        <v>120</v>
      </c>
      <c r="C1819" s="46" t="s">
        <v>5163</v>
      </c>
      <c r="D1819" s="46">
        <v>5.0028362928035003E-2</v>
      </c>
      <c r="E1819" s="47">
        <f>SUMIF(Data!$E:$E,$C1819,Data!$AI:$AI)</f>
        <v>0</v>
      </c>
    </row>
    <row r="1820" spans="1:5" x14ac:dyDescent="0.25">
      <c r="A1820" s="46" t="s">
        <v>10841</v>
      </c>
      <c r="B1820" s="46" t="s">
        <v>120</v>
      </c>
      <c r="C1820" s="46" t="s">
        <v>5542</v>
      </c>
      <c r="D1820" s="46">
        <v>5.3414104721063997E-2</v>
      </c>
      <c r="E1820" s="47">
        <f>SUMIF(Data!$E:$E,$C1820,Data!$AI:$AI)</f>
        <v>0</v>
      </c>
    </row>
    <row r="1821" spans="1:5" x14ac:dyDescent="0.25">
      <c r="A1821" s="46" t="s">
        <v>10841</v>
      </c>
      <c r="B1821" s="46" t="s">
        <v>120</v>
      </c>
      <c r="C1821" s="46" t="s">
        <v>4475</v>
      </c>
      <c r="D1821" s="46">
        <v>0.13586282171705499</v>
      </c>
      <c r="E1821" s="47">
        <f>SUMIF(Data!$E:$E,$C1821,Data!$AI:$AI)</f>
        <v>0</v>
      </c>
    </row>
    <row r="1822" spans="1:5" x14ac:dyDescent="0.25">
      <c r="A1822" s="46" t="s">
        <v>10841</v>
      </c>
      <c r="B1822" s="46" t="s">
        <v>120</v>
      </c>
      <c r="C1822" s="46" t="s">
        <v>1852</v>
      </c>
      <c r="D1822" s="46">
        <v>5.9630159594181997E-2</v>
      </c>
      <c r="E1822" s="47">
        <f>SUMIF(Data!$E:$E,$C1822,Data!$AI:$AI)</f>
        <v>0</v>
      </c>
    </row>
    <row r="1823" spans="1:5" x14ac:dyDescent="0.25">
      <c r="A1823" s="46" t="s">
        <v>10841</v>
      </c>
      <c r="B1823" s="46" t="s">
        <v>120</v>
      </c>
      <c r="C1823" s="46" t="s">
        <v>5170</v>
      </c>
      <c r="D1823" s="46">
        <v>0.36840686706526499</v>
      </c>
      <c r="E1823" s="47">
        <f>SUMIF(Data!$E:$E,$C1823,Data!$AI:$AI)</f>
        <v>0</v>
      </c>
    </row>
    <row r="1824" spans="1:5" x14ac:dyDescent="0.25">
      <c r="A1824" s="46" t="s">
        <v>10841</v>
      </c>
      <c r="B1824" s="46" t="s">
        <v>120</v>
      </c>
      <c r="C1824" s="46" t="s">
        <v>5560</v>
      </c>
      <c r="D1824" s="46">
        <v>0.13741221950715399</v>
      </c>
      <c r="E1824" s="47">
        <f>SUMIF(Data!$E:$E,$C1824,Data!$AI:$AI)</f>
        <v>0</v>
      </c>
    </row>
    <row r="1825" spans="1:5" x14ac:dyDescent="0.25">
      <c r="A1825" s="46" t="s">
        <v>10841</v>
      </c>
      <c r="B1825" s="46" t="s">
        <v>120</v>
      </c>
      <c r="C1825" s="46" t="s">
        <v>6756</v>
      </c>
      <c r="D1825" s="46">
        <v>0.56421716350102302</v>
      </c>
      <c r="E1825" s="47">
        <f>SUMIF(Data!$E:$E,$C1825,Data!$AI:$AI)</f>
        <v>0</v>
      </c>
    </row>
    <row r="1826" spans="1:5" x14ac:dyDescent="0.25">
      <c r="A1826" s="46" t="s">
        <v>10841</v>
      </c>
      <c r="B1826" s="46" t="s">
        <v>120</v>
      </c>
      <c r="C1826" s="46" t="s">
        <v>5567</v>
      </c>
      <c r="D1826" s="46">
        <v>4.6801587446833999E-2</v>
      </c>
      <c r="E1826" s="47">
        <f>SUMIF(Data!$E:$E,$C1826,Data!$AI:$AI)</f>
        <v>0</v>
      </c>
    </row>
    <row r="1827" spans="1:5" x14ac:dyDescent="0.25">
      <c r="A1827" s="46" t="s">
        <v>10841</v>
      </c>
      <c r="B1827" s="46" t="s">
        <v>120</v>
      </c>
      <c r="C1827" s="46" t="s">
        <v>3157</v>
      </c>
      <c r="D1827" s="46">
        <v>0.82504294272634204</v>
      </c>
      <c r="E1827" s="47">
        <f>SUMIF(Data!$E:$E,$C1827,Data!$AI:$AI)</f>
        <v>0</v>
      </c>
    </row>
    <row r="1828" spans="1:5" x14ac:dyDescent="0.25">
      <c r="A1828" s="46" t="s">
        <v>10841</v>
      </c>
      <c r="B1828" s="46" t="s">
        <v>120</v>
      </c>
      <c r="C1828" s="46" t="s">
        <v>4870</v>
      </c>
      <c r="D1828" s="46">
        <v>1.5839195723102799</v>
      </c>
      <c r="E1828" s="47">
        <f>SUMIF(Data!$E:$E,$C1828,Data!$AI:$AI)</f>
        <v>0</v>
      </c>
    </row>
    <row r="1829" spans="1:5" x14ac:dyDescent="0.25">
      <c r="A1829" s="46" t="s">
        <v>10841</v>
      </c>
      <c r="B1829" s="46" t="s">
        <v>120</v>
      </c>
      <c r="C1829" s="46" t="s">
        <v>3164</v>
      </c>
      <c r="D1829" s="46">
        <v>0.23437272611770299</v>
      </c>
      <c r="E1829" s="47">
        <f>SUMIF(Data!$E:$E,$C1829,Data!$AI:$AI)</f>
        <v>0</v>
      </c>
    </row>
    <row r="1830" spans="1:5" x14ac:dyDescent="0.25">
      <c r="A1830" s="46" t="s">
        <v>10841</v>
      </c>
      <c r="B1830" s="46" t="s">
        <v>120</v>
      </c>
      <c r="C1830" s="46" t="s">
        <v>5183</v>
      </c>
      <c r="D1830" s="46">
        <v>0.18616548444025999</v>
      </c>
      <c r="E1830" s="47">
        <f>SUMIF(Data!$E:$E,$C1830,Data!$AI:$AI)</f>
        <v>0</v>
      </c>
    </row>
    <row r="1831" spans="1:5" x14ac:dyDescent="0.25">
      <c r="A1831" s="46" t="s">
        <v>10841</v>
      </c>
      <c r="B1831" s="46" t="s">
        <v>120</v>
      </c>
      <c r="C1831" s="46" t="s">
        <v>4877</v>
      </c>
      <c r="D1831" s="46">
        <v>0.746679730698109</v>
      </c>
      <c r="E1831" s="47">
        <f>SUMIF(Data!$E:$E,$C1831,Data!$AI:$AI)</f>
        <v>0</v>
      </c>
    </row>
    <row r="1832" spans="1:5" x14ac:dyDescent="0.25">
      <c r="A1832" s="46" t="s">
        <v>10841</v>
      </c>
      <c r="B1832" s="46" t="s">
        <v>120</v>
      </c>
      <c r="C1832" s="46" t="s">
        <v>5189</v>
      </c>
      <c r="D1832" s="46">
        <v>0.16046138805837001</v>
      </c>
      <c r="E1832" s="47">
        <f>SUMIF(Data!$E:$E,$C1832,Data!$AI:$AI)</f>
        <v>0</v>
      </c>
    </row>
    <row r="1833" spans="1:5" x14ac:dyDescent="0.25">
      <c r="A1833" s="46" t="s">
        <v>10841</v>
      </c>
      <c r="B1833" s="46" t="s">
        <v>120</v>
      </c>
      <c r="C1833" s="46" t="s">
        <v>517</v>
      </c>
      <c r="D1833" s="46">
        <v>0.737857321717729</v>
      </c>
      <c r="E1833" s="47">
        <f>SUMIF(Data!$E:$E,$C1833,Data!$AI:$AI)</f>
        <v>0</v>
      </c>
    </row>
    <row r="1834" spans="1:5" x14ac:dyDescent="0.25">
      <c r="A1834" s="46" t="s">
        <v>10841</v>
      </c>
      <c r="B1834" s="46" t="s">
        <v>120</v>
      </c>
      <c r="C1834" s="46" t="s">
        <v>4890</v>
      </c>
      <c r="D1834" s="46">
        <v>3.36129489564438</v>
      </c>
      <c r="E1834" s="47">
        <f>SUMIF(Data!$E:$E,$C1834,Data!$AI:$AI)</f>
        <v>0</v>
      </c>
    </row>
    <row r="1835" spans="1:5" x14ac:dyDescent="0.25">
      <c r="A1835" s="46" t="s">
        <v>10841</v>
      </c>
      <c r="B1835" s="46" t="s">
        <v>120</v>
      </c>
      <c r="C1835" s="46" t="s">
        <v>4897</v>
      </c>
      <c r="D1835" s="46">
        <v>1.35213583297685</v>
      </c>
      <c r="E1835" s="47">
        <f>SUMIF(Data!$E:$E,$C1835,Data!$AI:$AI)</f>
        <v>0</v>
      </c>
    </row>
    <row r="1836" spans="1:5" x14ac:dyDescent="0.25">
      <c r="A1836" s="46" t="s">
        <v>10841</v>
      </c>
      <c r="B1836" s="46" t="s">
        <v>120</v>
      </c>
      <c r="C1836" s="46" t="s">
        <v>4904</v>
      </c>
      <c r="D1836" s="46">
        <v>1.99848854171638</v>
      </c>
      <c r="E1836" s="47">
        <f>SUMIF(Data!$E:$E,$C1836,Data!$AI:$AI)</f>
        <v>0</v>
      </c>
    </row>
    <row r="1837" spans="1:5" x14ac:dyDescent="0.25">
      <c r="A1837" s="46" t="s">
        <v>10841</v>
      </c>
      <c r="B1837" s="46" t="s">
        <v>120</v>
      </c>
      <c r="C1837" s="46" t="s">
        <v>5196</v>
      </c>
      <c r="D1837" s="46">
        <v>0.19869041176049099</v>
      </c>
      <c r="E1837" s="47">
        <f>SUMIF(Data!$E:$E,$C1837,Data!$AI:$AI)</f>
        <v>0</v>
      </c>
    </row>
    <row r="1838" spans="1:5" x14ac:dyDescent="0.25">
      <c r="A1838" s="46" t="s">
        <v>10841</v>
      </c>
      <c r="B1838" s="46" t="s">
        <v>120</v>
      </c>
      <c r="C1838" s="46" t="s">
        <v>4481</v>
      </c>
      <c r="D1838" s="46">
        <v>4.5132421118607597</v>
      </c>
      <c r="E1838" s="47">
        <f>SUMIF(Data!$E:$E,$C1838,Data!$AI:$AI)</f>
        <v>0</v>
      </c>
    </row>
    <row r="1839" spans="1:5" x14ac:dyDescent="0.25">
      <c r="A1839" s="46" t="s">
        <v>10841</v>
      </c>
      <c r="B1839" s="46" t="s">
        <v>120</v>
      </c>
      <c r="C1839" s="46" t="s">
        <v>1783</v>
      </c>
      <c r="D1839" s="46">
        <v>0.219172652748471</v>
      </c>
      <c r="E1839" s="47">
        <f>SUMIF(Data!$E:$E,$C1839,Data!$AI:$AI)</f>
        <v>0</v>
      </c>
    </row>
    <row r="1840" spans="1:5" x14ac:dyDescent="0.25">
      <c r="A1840" s="46" t="s">
        <v>10841</v>
      </c>
      <c r="B1840" s="46" t="s">
        <v>120</v>
      </c>
      <c r="C1840" s="46" t="s">
        <v>4916</v>
      </c>
      <c r="D1840" s="46">
        <v>0.53557269233689397</v>
      </c>
      <c r="E1840" s="47">
        <f>SUMIF(Data!$E:$E,$C1840,Data!$AI:$AI)</f>
        <v>0</v>
      </c>
    </row>
    <row r="1841" spans="1:5" x14ac:dyDescent="0.25">
      <c r="A1841" s="46" t="s">
        <v>10841</v>
      </c>
      <c r="B1841" s="46" t="s">
        <v>120</v>
      </c>
      <c r="C1841" s="46" t="s">
        <v>4365</v>
      </c>
      <c r="D1841" s="46">
        <v>0.11913734254219401</v>
      </c>
      <c r="E1841" s="47">
        <f>SUMIF(Data!$E:$E,$C1841,Data!$AI:$AI)</f>
        <v>0</v>
      </c>
    </row>
    <row r="1842" spans="1:5" x14ac:dyDescent="0.25">
      <c r="A1842" s="46" t="s">
        <v>10841</v>
      </c>
      <c r="B1842" s="46" t="s">
        <v>120</v>
      </c>
      <c r="C1842" s="46" t="s">
        <v>5580</v>
      </c>
      <c r="D1842" s="46">
        <v>2.9218782235768001E-2</v>
      </c>
      <c r="E1842" s="47">
        <f>SUMIF(Data!$E:$E,$C1842,Data!$AI:$AI)</f>
        <v>0</v>
      </c>
    </row>
    <row r="1843" spans="1:5" x14ac:dyDescent="0.25">
      <c r="A1843" s="46" t="s">
        <v>10841</v>
      </c>
      <c r="B1843" s="46" t="s">
        <v>120</v>
      </c>
      <c r="C1843" s="46" t="s">
        <v>4923</v>
      </c>
      <c r="D1843" s="46">
        <v>0.66512029888491697</v>
      </c>
      <c r="E1843" s="47">
        <f>SUMIF(Data!$E:$E,$C1843,Data!$AI:$AI)</f>
        <v>0</v>
      </c>
    </row>
    <row r="1844" spans="1:5" x14ac:dyDescent="0.25">
      <c r="A1844" s="46" t="s">
        <v>10841</v>
      </c>
      <c r="B1844" s="46" t="s">
        <v>120</v>
      </c>
      <c r="C1844" s="46" t="s">
        <v>5587</v>
      </c>
      <c r="D1844" s="46">
        <v>8.8120705022150005E-3</v>
      </c>
      <c r="E1844" s="47">
        <f>SUMIF(Data!$E:$E,$C1844,Data!$AI:$AI)</f>
        <v>0</v>
      </c>
    </row>
    <row r="1845" spans="1:5" x14ac:dyDescent="0.25">
      <c r="A1845" s="46" t="s">
        <v>10841</v>
      </c>
      <c r="B1845" s="46" t="s">
        <v>120</v>
      </c>
      <c r="C1845" s="46" t="s">
        <v>5218</v>
      </c>
      <c r="D1845" s="46">
        <v>0.24767062294023001</v>
      </c>
      <c r="E1845" s="47">
        <f>SUMIF(Data!$E:$E,$C1845,Data!$AI:$AI)</f>
        <v>0</v>
      </c>
    </row>
    <row r="1846" spans="1:5" x14ac:dyDescent="0.25">
      <c r="A1846" s="46" t="s">
        <v>10841</v>
      </c>
      <c r="B1846" s="46" t="s">
        <v>120</v>
      </c>
      <c r="C1846" s="46" t="s">
        <v>5225</v>
      </c>
      <c r="D1846" s="46">
        <v>0.101701676201189</v>
      </c>
      <c r="E1846" s="47">
        <f>SUMIF(Data!$E:$E,$C1846,Data!$AI:$AI)</f>
        <v>0</v>
      </c>
    </row>
    <row r="1847" spans="1:5" x14ac:dyDescent="0.25">
      <c r="A1847" s="46" t="s">
        <v>10841</v>
      </c>
      <c r="B1847" s="46" t="s">
        <v>120</v>
      </c>
      <c r="C1847" s="46" t="s">
        <v>5595</v>
      </c>
      <c r="D1847" s="46">
        <v>8.2364068749574998E-2</v>
      </c>
      <c r="E1847" s="47">
        <f>SUMIF(Data!$E:$E,$C1847,Data!$AI:$AI)</f>
        <v>0</v>
      </c>
    </row>
    <row r="1848" spans="1:5" x14ac:dyDescent="0.25">
      <c r="A1848" s="46" t="s">
        <v>10841</v>
      </c>
      <c r="B1848" s="46" t="s">
        <v>120</v>
      </c>
      <c r="C1848" s="46" t="s">
        <v>3898</v>
      </c>
      <c r="D1848" s="46">
        <v>0.56881988064608402</v>
      </c>
      <c r="E1848" s="47">
        <f>SUMIF(Data!$E:$E,$C1848,Data!$AI:$AI)</f>
        <v>0</v>
      </c>
    </row>
    <row r="1849" spans="1:5" x14ac:dyDescent="0.25">
      <c r="A1849" s="46" t="s">
        <v>10841</v>
      </c>
      <c r="B1849" s="46" t="s">
        <v>120</v>
      </c>
      <c r="C1849" s="46" t="s">
        <v>5238</v>
      </c>
      <c r="D1849" s="46">
        <v>0.24536820840614099</v>
      </c>
      <c r="E1849" s="47">
        <f>SUMIF(Data!$E:$E,$C1849,Data!$AI:$AI)</f>
        <v>0</v>
      </c>
    </row>
    <row r="1850" spans="1:5" x14ac:dyDescent="0.25">
      <c r="A1850" s="46" t="s">
        <v>10841</v>
      </c>
      <c r="B1850" s="46" t="s">
        <v>120</v>
      </c>
      <c r="C1850" s="46" t="s">
        <v>5602</v>
      </c>
      <c r="D1850" s="46">
        <v>0.124169453134452</v>
      </c>
      <c r="E1850" s="47">
        <f>SUMIF(Data!$E:$E,$C1850,Data!$AI:$AI)</f>
        <v>0</v>
      </c>
    </row>
    <row r="1851" spans="1:5" x14ac:dyDescent="0.25">
      <c r="A1851" s="46" t="s">
        <v>10841</v>
      </c>
      <c r="B1851" s="46" t="s">
        <v>120</v>
      </c>
      <c r="C1851" s="46" t="s">
        <v>4935</v>
      </c>
      <c r="D1851" s="46">
        <v>0.75815884811968104</v>
      </c>
      <c r="E1851" s="47">
        <f>SUMIF(Data!$E:$E,$C1851,Data!$AI:$AI)</f>
        <v>0</v>
      </c>
    </row>
    <row r="1852" spans="1:5" x14ac:dyDescent="0.25">
      <c r="A1852" s="46" t="s">
        <v>10841</v>
      </c>
      <c r="B1852" s="46" t="s">
        <v>120</v>
      </c>
      <c r="C1852" s="46" t="s">
        <v>5609</v>
      </c>
      <c r="D1852" s="46">
        <v>7.3466038294916006E-2</v>
      </c>
      <c r="E1852" s="47">
        <f>SUMIF(Data!$E:$E,$C1852,Data!$AI:$AI)</f>
        <v>0</v>
      </c>
    </row>
    <row r="1853" spans="1:5" x14ac:dyDescent="0.25">
      <c r="A1853" s="46" t="s">
        <v>10841</v>
      </c>
      <c r="B1853" s="46" t="s">
        <v>120</v>
      </c>
      <c r="C1853" s="46" t="s">
        <v>4644</v>
      </c>
      <c r="D1853" s="46">
        <v>1.6369650817341E-2</v>
      </c>
      <c r="E1853" s="47">
        <f>SUMIF(Data!$E:$E,$C1853,Data!$AI:$AI)</f>
        <v>0</v>
      </c>
    </row>
    <row r="1854" spans="1:5" x14ac:dyDescent="0.25">
      <c r="A1854" s="46" t="s">
        <v>10841</v>
      </c>
      <c r="B1854" s="46" t="s">
        <v>120</v>
      </c>
      <c r="C1854" s="46" t="s">
        <v>5622</v>
      </c>
      <c r="D1854" s="46">
        <v>4.0777424553228997E-2</v>
      </c>
      <c r="E1854" s="47">
        <f>SUMIF(Data!$E:$E,$C1854,Data!$AI:$AI)</f>
        <v>0</v>
      </c>
    </row>
    <row r="1855" spans="1:5" x14ac:dyDescent="0.25">
      <c r="A1855" s="46" t="s">
        <v>10841</v>
      </c>
      <c r="B1855" s="46" t="s">
        <v>120</v>
      </c>
      <c r="C1855" s="46" t="s">
        <v>5629</v>
      </c>
      <c r="D1855" s="46">
        <v>4.8599474722737998E-2</v>
      </c>
      <c r="E1855" s="47">
        <f>SUMIF(Data!$E:$E,$C1855,Data!$AI:$AI)</f>
        <v>0</v>
      </c>
    </row>
    <row r="1856" spans="1:5" x14ac:dyDescent="0.25">
      <c r="A1856" s="46" t="s">
        <v>10841</v>
      </c>
      <c r="B1856" s="46" t="s">
        <v>120</v>
      </c>
      <c r="C1856" s="46" t="s">
        <v>5245</v>
      </c>
      <c r="D1856" s="46">
        <v>0.10011277540526201</v>
      </c>
      <c r="E1856" s="47">
        <f>SUMIF(Data!$E:$E,$C1856,Data!$AI:$AI)</f>
        <v>0</v>
      </c>
    </row>
    <row r="1857" spans="1:5" x14ac:dyDescent="0.25">
      <c r="A1857" s="46" t="s">
        <v>10841</v>
      </c>
      <c r="B1857" s="46" t="s">
        <v>120</v>
      </c>
      <c r="C1857" s="46" t="s">
        <v>4006</v>
      </c>
      <c r="D1857" s="46">
        <v>0.193625369417052</v>
      </c>
      <c r="E1857" s="47">
        <f>SUMIF(Data!$E:$E,$C1857,Data!$AI:$AI)</f>
        <v>0</v>
      </c>
    </row>
    <row r="1858" spans="1:5" x14ac:dyDescent="0.25">
      <c r="A1858" s="46" t="s">
        <v>10841</v>
      </c>
      <c r="B1858" s="46" t="s">
        <v>120</v>
      </c>
      <c r="C1858" s="46" t="s">
        <v>4595</v>
      </c>
      <c r="D1858" s="46">
        <v>0.18020550702160501</v>
      </c>
      <c r="E1858" s="47">
        <f>SUMIF(Data!$E:$E,$C1858,Data!$AI:$AI)</f>
        <v>0</v>
      </c>
    </row>
    <row r="1859" spans="1:5" x14ac:dyDescent="0.25">
      <c r="A1859" s="46" t="s">
        <v>10841</v>
      </c>
      <c r="B1859" s="46" t="s">
        <v>120</v>
      </c>
      <c r="C1859" s="46" t="s">
        <v>5636</v>
      </c>
      <c r="D1859" s="46">
        <v>7.4043351742511004E-2</v>
      </c>
      <c r="E1859" s="47">
        <f>SUMIF(Data!$E:$E,$C1859,Data!$AI:$AI)</f>
        <v>0</v>
      </c>
    </row>
    <row r="1860" spans="1:5" x14ac:dyDescent="0.25">
      <c r="A1860" s="46" t="s">
        <v>10841</v>
      </c>
      <c r="B1860" s="46" t="s">
        <v>120</v>
      </c>
      <c r="C1860" s="46" t="s">
        <v>1939</v>
      </c>
      <c r="D1860" s="46">
        <v>8.6988791105736603</v>
      </c>
      <c r="E1860" s="47">
        <f>SUMIF(Data!$E:$E,$C1860,Data!$AI:$AI)</f>
        <v>0</v>
      </c>
    </row>
    <row r="1861" spans="1:5" x14ac:dyDescent="0.25">
      <c r="A1861" s="46" t="s">
        <v>10841</v>
      </c>
      <c r="B1861" s="46" t="s">
        <v>120</v>
      </c>
      <c r="C1861" s="46" t="s">
        <v>4948</v>
      </c>
      <c r="D1861" s="46">
        <v>2.59046674373214</v>
      </c>
      <c r="E1861" s="47">
        <f>SUMIF(Data!$E:$E,$C1861,Data!$AI:$AI)</f>
        <v>0</v>
      </c>
    </row>
    <row r="1862" spans="1:5" x14ac:dyDescent="0.25">
      <c r="A1862" s="46" t="s">
        <v>10841</v>
      </c>
      <c r="B1862" s="46" t="s">
        <v>120</v>
      </c>
      <c r="C1862" s="46" t="s">
        <v>1466</v>
      </c>
      <c r="D1862" s="46">
        <v>1.1610779853048501</v>
      </c>
      <c r="E1862" s="47">
        <f>SUMIF(Data!$E:$E,$C1862,Data!$AI:$AI)</f>
        <v>0</v>
      </c>
    </row>
    <row r="1863" spans="1:5" x14ac:dyDescent="0.25">
      <c r="A1863" s="46" t="s">
        <v>10841</v>
      </c>
      <c r="B1863" s="46" t="s">
        <v>120</v>
      </c>
      <c r="C1863" s="46" t="s">
        <v>5644</v>
      </c>
      <c r="D1863" s="46">
        <v>8.5279425699890006E-3</v>
      </c>
      <c r="E1863" s="47">
        <f>SUMIF(Data!$E:$E,$C1863,Data!$AI:$AI)</f>
        <v>0</v>
      </c>
    </row>
    <row r="1864" spans="1:5" x14ac:dyDescent="0.25">
      <c r="A1864" s="46" t="s">
        <v>10841</v>
      </c>
      <c r="B1864" s="46" t="s">
        <v>120</v>
      </c>
      <c r="C1864" s="46" t="s">
        <v>4961</v>
      </c>
      <c r="D1864" s="46">
        <v>0.62881726245539804</v>
      </c>
      <c r="E1864" s="47">
        <f>SUMIF(Data!$E:$E,$C1864,Data!$AI:$AI)</f>
        <v>0</v>
      </c>
    </row>
    <row r="1865" spans="1:5" x14ac:dyDescent="0.25">
      <c r="A1865" s="46" t="s">
        <v>10841</v>
      </c>
      <c r="B1865" s="46" t="s">
        <v>120</v>
      </c>
      <c r="C1865" s="46" t="s">
        <v>4510</v>
      </c>
      <c r="D1865" s="46">
        <v>4.5991010627268E-2</v>
      </c>
      <c r="E1865" s="47">
        <f>SUMIF(Data!$E:$E,$C1865,Data!$AI:$AI)</f>
        <v>0</v>
      </c>
    </row>
    <row r="1866" spans="1:5" x14ac:dyDescent="0.25">
      <c r="A1866" s="46" t="s">
        <v>10841</v>
      </c>
      <c r="B1866" s="46" t="s">
        <v>120</v>
      </c>
      <c r="C1866" s="46" t="s">
        <v>5268</v>
      </c>
      <c r="D1866" s="46">
        <v>9.1715339222382994E-2</v>
      </c>
      <c r="E1866" s="47">
        <f>SUMIF(Data!$E:$E,$C1866,Data!$AI:$AI)</f>
        <v>0</v>
      </c>
    </row>
    <row r="1867" spans="1:5" x14ac:dyDescent="0.25">
      <c r="A1867" s="46" t="s">
        <v>10841</v>
      </c>
      <c r="B1867" s="46" t="s">
        <v>120</v>
      </c>
      <c r="C1867" s="46" t="s">
        <v>5274</v>
      </c>
      <c r="D1867" s="46">
        <v>0.292913833262955</v>
      </c>
      <c r="E1867" s="47">
        <f>SUMIF(Data!$E:$E,$C1867,Data!$AI:$AI)</f>
        <v>0</v>
      </c>
    </row>
    <row r="1868" spans="1:5" x14ac:dyDescent="0.25">
      <c r="A1868" s="46" t="s">
        <v>10841</v>
      </c>
      <c r="B1868" s="46" t="s">
        <v>120</v>
      </c>
      <c r="C1868" s="46" t="s">
        <v>5281</v>
      </c>
      <c r="D1868" s="46">
        <v>0.26522160343186102</v>
      </c>
      <c r="E1868" s="47">
        <f>SUMIF(Data!$E:$E,$C1868,Data!$AI:$AI)</f>
        <v>0</v>
      </c>
    </row>
    <row r="1869" spans="1:5" x14ac:dyDescent="0.25">
      <c r="A1869" s="46" t="s">
        <v>10841</v>
      </c>
      <c r="B1869" s="46" t="s">
        <v>120</v>
      </c>
      <c r="C1869" s="46" t="s">
        <v>4968</v>
      </c>
      <c r="D1869" s="46">
        <v>0.54064304140471697</v>
      </c>
      <c r="E1869" s="47">
        <f>SUMIF(Data!$E:$E,$C1869,Data!$AI:$AI)</f>
        <v>0</v>
      </c>
    </row>
    <row r="1870" spans="1:5" x14ac:dyDescent="0.25">
      <c r="A1870" s="46" t="s">
        <v>10841</v>
      </c>
      <c r="B1870" s="46" t="s">
        <v>120</v>
      </c>
      <c r="C1870" s="46" t="s">
        <v>4975</v>
      </c>
      <c r="D1870" s="46">
        <v>0.62402126614684805</v>
      </c>
      <c r="E1870" s="47">
        <f>SUMIF(Data!$E:$E,$C1870,Data!$AI:$AI)</f>
        <v>0</v>
      </c>
    </row>
    <row r="1871" spans="1:5" x14ac:dyDescent="0.25">
      <c r="A1871" s="46" t="s">
        <v>10841</v>
      </c>
      <c r="B1871" s="46" t="s">
        <v>120</v>
      </c>
      <c r="C1871" s="46" t="s">
        <v>4567</v>
      </c>
      <c r="D1871" s="46">
        <v>3.9245256330256002E-2</v>
      </c>
      <c r="E1871" s="47">
        <f>SUMIF(Data!$E:$E,$C1871,Data!$AI:$AI)</f>
        <v>0</v>
      </c>
    </row>
    <row r="1872" spans="1:5" x14ac:dyDescent="0.25">
      <c r="A1872" s="46" t="s">
        <v>10841</v>
      </c>
      <c r="B1872" s="46" t="s">
        <v>120</v>
      </c>
      <c r="C1872" s="46" t="s">
        <v>5299</v>
      </c>
      <c r="D1872" s="46">
        <v>0.28624447683166199</v>
      </c>
      <c r="E1872" s="47">
        <f>SUMIF(Data!$E:$E,$C1872,Data!$AI:$AI)</f>
        <v>0</v>
      </c>
    </row>
    <row r="1873" spans="1:5" x14ac:dyDescent="0.25">
      <c r="A1873" s="46" t="s">
        <v>10841</v>
      </c>
      <c r="B1873" s="46" t="s">
        <v>120</v>
      </c>
      <c r="C1873" s="46" t="s">
        <v>6847</v>
      </c>
      <c r="D1873" s="46">
        <v>0.40267032127322999</v>
      </c>
      <c r="E1873" s="47">
        <f>SUMIF(Data!$E:$E,$C1873,Data!$AI:$AI)</f>
        <v>0</v>
      </c>
    </row>
    <row r="1874" spans="1:5" x14ac:dyDescent="0.25">
      <c r="A1874" s="46" t="s">
        <v>10841</v>
      </c>
      <c r="B1874" s="46" t="s">
        <v>120</v>
      </c>
      <c r="C1874" s="46" t="s">
        <v>5662</v>
      </c>
      <c r="D1874" s="46">
        <v>3.6209424016832997E-2</v>
      </c>
      <c r="E1874" s="47">
        <f>SUMIF(Data!$E:$E,$C1874,Data!$AI:$AI)</f>
        <v>0</v>
      </c>
    </row>
    <row r="1875" spans="1:5" x14ac:dyDescent="0.25">
      <c r="A1875" s="46" t="s">
        <v>10841</v>
      </c>
      <c r="B1875" s="46" t="s">
        <v>120</v>
      </c>
      <c r="C1875" s="46" t="s">
        <v>5668</v>
      </c>
      <c r="D1875" s="46">
        <v>0.124417239361911</v>
      </c>
      <c r="E1875" s="47">
        <f>SUMIF(Data!$E:$E,$C1875,Data!$AI:$AI)</f>
        <v>0</v>
      </c>
    </row>
    <row r="1876" spans="1:5" x14ac:dyDescent="0.25">
      <c r="A1876" s="46" t="s">
        <v>10841</v>
      </c>
      <c r="B1876" s="46" t="s">
        <v>120</v>
      </c>
      <c r="C1876" s="46" t="s">
        <v>5675</v>
      </c>
      <c r="D1876" s="46">
        <v>4.8710471741435002E-2</v>
      </c>
      <c r="E1876" s="47">
        <f>SUMIF(Data!$E:$E,$C1876,Data!$AI:$AI)</f>
        <v>0</v>
      </c>
    </row>
    <row r="1877" spans="1:5" x14ac:dyDescent="0.25">
      <c r="A1877" s="46" t="s">
        <v>10841</v>
      </c>
      <c r="B1877" s="46" t="s">
        <v>120</v>
      </c>
      <c r="C1877" s="46" t="s">
        <v>5682</v>
      </c>
      <c r="D1877" s="46">
        <v>5.9202224135602999E-2</v>
      </c>
      <c r="E1877" s="47">
        <f>SUMIF(Data!$E:$E,$C1877,Data!$AI:$AI)</f>
        <v>0</v>
      </c>
    </row>
    <row r="1878" spans="1:5" x14ac:dyDescent="0.25">
      <c r="A1878" s="46" t="s">
        <v>10841</v>
      </c>
      <c r="B1878" s="46" t="s">
        <v>120</v>
      </c>
      <c r="C1878" s="46" t="s">
        <v>5306</v>
      </c>
      <c r="D1878" s="46">
        <v>0.171720764319053</v>
      </c>
      <c r="E1878" s="47">
        <f>SUMIF(Data!$E:$E,$C1878,Data!$AI:$AI)</f>
        <v>0</v>
      </c>
    </row>
    <row r="1879" spans="1:5" x14ac:dyDescent="0.25">
      <c r="A1879" s="46" t="s">
        <v>10841</v>
      </c>
      <c r="B1879" s="46" t="s">
        <v>120</v>
      </c>
      <c r="C1879" s="46" t="s">
        <v>5313</v>
      </c>
      <c r="D1879" s="46">
        <v>7.5766242241797996E-2</v>
      </c>
      <c r="E1879" s="47">
        <f>SUMIF(Data!$E:$E,$C1879,Data!$AI:$AI)</f>
        <v>0</v>
      </c>
    </row>
    <row r="1880" spans="1:5" x14ac:dyDescent="0.25">
      <c r="A1880" s="46" t="s">
        <v>10841</v>
      </c>
      <c r="B1880" s="46" t="s">
        <v>120</v>
      </c>
      <c r="C1880" s="46" t="s">
        <v>5689</v>
      </c>
      <c r="D1880" s="46">
        <v>9.1586234416300996E-2</v>
      </c>
      <c r="E1880" s="47">
        <f>SUMIF(Data!$E:$E,$C1880,Data!$AI:$AI)</f>
        <v>0</v>
      </c>
    </row>
    <row r="1881" spans="1:5" x14ac:dyDescent="0.25">
      <c r="A1881" s="46" t="s">
        <v>10841</v>
      </c>
      <c r="B1881" s="46" t="s">
        <v>120</v>
      </c>
      <c r="C1881" s="46" t="s">
        <v>5696</v>
      </c>
      <c r="D1881" s="46">
        <v>0.12059842131277899</v>
      </c>
      <c r="E1881" s="47">
        <f>SUMIF(Data!$E:$E,$C1881,Data!$AI:$AI)</f>
        <v>0</v>
      </c>
    </row>
    <row r="1882" spans="1:5" x14ac:dyDescent="0.25">
      <c r="A1882" s="46" t="s">
        <v>10841</v>
      </c>
      <c r="B1882" s="46" t="s">
        <v>120</v>
      </c>
      <c r="C1882" s="46" t="s">
        <v>3171</v>
      </c>
      <c r="D1882" s="46">
        <v>0.208576801770672</v>
      </c>
      <c r="E1882" s="47">
        <f>SUMIF(Data!$E:$E,$C1882,Data!$AI:$AI)</f>
        <v>0</v>
      </c>
    </row>
    <row r="1883" spans="1:5" x14ac:dyDescent="0.25">
      <c r="A1883" s="46" t="s">
        <v>10841</v>
      </c>
      <c r="B1883" s="46" t="s">
        <v>120</v>
      </c>
      <c r="C1883" s="46" t="s">
        <v>5703</v>
      </c>
      <c r="D1883" s="46">
        <v>0.120865792157034</v>
      </c>
      <c r="E1883" s="47">
        <f>SUMIF(Data!$E:$E,$C1883,Data!$AI:$AI)</f>
        <v>0</v>
      </c>
    </row>
    <row r="1884" spans="1:5" x14ac:dyDescent="0.25">
      <c r="A1884" s="46" t="s">
        <v>10841</v>
      </c>
      <c r="B1884" s="46" t="s">
        <v>120</v>
      </c>
      <c r="C1884" s="46" t="s">
        <v>5709</v>
      </c>
      <c r="D1884" s="46">
        <v>5.0895980561795999E-2</v>
      </c>
      <c r="E1884" s="47">
        <f>SUMIF(Data!$E:$E,$C1884,Data!$AI:$AI)</f>
        <v>0</v>
      </c>
    </row>
    <row r="1885" spans="1:5" x14ac:dyDescent="0.25">
      <c r="A1885" s="46" t="s">
        <v>10841</v>
      </c>
      <c r="B1885" s="46" t="s">
        <v>120</v>
      </c>
      <c r="C1885" s="46" t="s">
        <v>4517</v>
      </c>
      <c r="D1885" s="46">
        <v>0.36966145785135501</v>
      </c>
      <c r="E1885" s="47">
        <f>SUMIF(Data!$E:$E,$C1885,Data!$AI:$AI)</f>
        <v>0</v>
      </c>
    </row>
    <row r="1886" spans="1:5" x14ac:dyDescent="0.25">
      <c r="A1886" s="46" t="s">
        <v>10841</v>
      </c>
      <c r="B1886" s="46" t="s">
        <v>120</v>
      </c>
      <c r="C1886" s="46" t="s">
        <v>5332</v>
      </c>
      <c r="D1886" s="46">
        <v>0.48795019506911302</v>
      </c>
      <c r="E1886" s="47">
        <f>SUMIF(Data!$E:$E,$C1886,Data!$AI:$AI)</f>
        <v>0</v>
      </c>
    </row>
    <row r="1887" spans="1:5" x14ac:dyDescent="0.25">
      <c r="A1887" s="46" t="s">
        <v>10841</v>
      </c>
      <c r="B1887" s="46" t="s">
        <v>120</v>
      </c>
      <c r="C1887" s="46" t="s">
        <v>3578</v>
      </c>
      <c r="D1887" s="46">
        <v>6.0405487720815998E-2</v>
      </c>
      <c r="E1887" s="47">
        <f>SUMIF(Data!$E:$E,$C1887,Data!$AI:$AI)</f>
        <v>0</v>
      </c>
    </row>
    <row r="1888" spans="1:5" x14ac:dyDescent="0.25">
      <c r="A1888" s="46" t="s">
        <v>10841</v>
      </c>
      <c r="B1888" s="46" t="s">
        <v>120</v>
      </c>
      <c r="C1888" s="46" t="s">
        <v>5345</v>
      </c>
      <c r="D1888" s="46">
        <v>0.172438335812617</v>
      </c>
      <c r="E1888" s="47">
        <f>SUMIF(Data!$E:$E,$C1888,Data!$AI:$AI)</f>
        <v>0</v>
      </c>
    </row>
    <row r="1889" spans="1:5" x14ac:dyDescent="0.25">
      <c r="A1889" s="46" t="s">
        <v>10841</v>
      </c>
      <c r="B1889" s="46" t="s">
        <v>120</v>
      </c>
      <c r="C1889" s="46" t="s">
        <v>5716</v>
      </c>
      <c r="D1889" s="46">
        <v>6.1407639161612002E-2</v>
      </c>
      <c r="E1889" s="47">
        <f>SUMIF(Data!$E:$E,$C1889,Data!$AI:$AI)</f>
        <v>0</v>
      </c>
    </row>
    <row r="1890" spans="1:5" x14ac:dyDescent="0.25">
      <c r="A1890" s="46" t="s">
        <v>10841</v>
      </c>
      <c r="B1890" s="46" t="s">
        <v>120</v>
      </c>
      <c r="C1890" s="46" t="s">
        <v>5351</v>
      </c>
      <c r="D1890" s="46">
        <v>9.2698411205865999E-2</v>
      </c>
      <c r="E1890" s="47">
        <f>SUMIF(Data!$E:$E,$C1890,Data!$AI:$AI)</f>
        <v>0</v>
      </c>
    </row>
    <row r="1891" spans="1:5" x14ac:dyDescent="0.25">
      <c r="A1891" s="46" t="s">
        <v>10841</v>
      </c>
      <c r="B1891" s="46" t="s">
        <v>120</v>
      </c>
      <c r="C1891" s="46" t="s">
        <v>4602</v>
      </c>
      <c r="D1891" s="46">
        <v>0.45388434814292999</v>
      </c>
      <c r="E1891" s="47">
        <f>SUMIF(Data!$E:$E,$C1891,Data!$AI:$AI)</f>
        <v>0</v>
      </c>
    </row>
    <row r="1892" spans="1:5" x14ac:dyDescent="0.25">
      <c r="A1892" s="46" t="s">
        <v>10841</v>
      </c>
      <c r="B1892" s="46" t="s">
        <v>120</v>
      </c>
      <c r="C1892" s="46" t="s">
        <v>5722</v>
      </c>
      <c r="D1892" s="46">
        <v>3.9359244000654998E-2</v>
      </c>
      <c r="E1892" s="47">
        <f>SUMIF(Data!$E:$E,$C1892,Data!$AI:$AI)</f>
        <v>0</v>
      </c>
    </row>
    <row r="1893" spans="1:5" x14ac:dyDescent="0.25">
      <c r="A1893" s="46" t="s">
        <v>10841</v>
      </c>
      <c r="B1893" s="46" t="s">
        <v>120</v>
      </c>
      <c r="C1893" s="46" t="s">
        <v>5729</v>
      </c>
      <c r="D1893" s="46">
        <v>4.6103858224848998E-2</v>
      </c>
      <c r="E1893" s="47">
        <f>SUMIF(Data!$E:$E,$C1893,Data!$AI:$AI)</f>
        <v>0</v>
      </c>
    </row>
    <row r="1894" spans="1:5" x14ac:dyDescent="0.25">
      <c r="A1894" s="46" t="s">
        <v>10841</v>
      </c>
      <c r="B1894" s="46" t="s">
        <v>120</v>
      </c>
      <c r="C1894" s="46" t="s">
        <v>5738</v>
      </c>
      <c r="D1894" s="46">
        <v>5.6416975029818003E-2</v>
      </c>
      <c r="E1894" s="47">
        <f>SUMIF(Data!$E:$E,$C1894,Data!$AI:$AI)</f>
        <v>0</v>
      </c>
    </row>
    <row r="1895" spans="1:5" x14ac:dyDescent="0.25">
      <c r="A1895" s="46" t="s">
        <v>10841</v>
      </c>
      <c r="B1895" s="46" t="s">
        <v>120</v>
      </c>
      <c r="C1895" s="46" t="s">
        <v>5745</v>
      </c>
      <c r="D1895" s="46">
        <v>1.0575677000074999E-2</v>
      </c>
      <c r="E1895" s="47">
        <f>SUMIF(Data!$E:$E,$C1895,Data!$AI:$AI)</f>
        <v>0</v>
      </c>
    </row>
    <row r="1896" spans="1:5" x14ac:dyDescent="0.25">
      <c r="A1896" s="46" t="s">
        <v>10841</v>
      </c>
      <c r="B1896" s="46" t="s">
        <v>120</v>
      </c>
      <c r="C1896" s="46" t="s">
        <v>5752</v>
      </c>
      <c r="D1896" s="46">
        <v>0.123921066198957</v>
      </c>
      <c r="E1896" s="47">
        <f>SUMIF(Data!$E:$E,$C1896,Data!$AI:$AI)</f>
        <v>0</v>
      </c>
    </row>
    <row r="1897" spans="1:5" x14ac:dyDescent="0.25">
      <c r="A1897" s="46" t="s">
        <v>10841</v>
      </c>
      <c r="B1897" s="46" t="s">
        <v>120</v>
      </c>
      <c r="C1897" s="46" t="s">
        <v>5759</v>
      </c>
      <c r="D1897" s="46">
        <v>6.4117421438461997E-2</v>
      </c>
      <c r="E1897" s="47">
        <f>SUMIF(Data!$E:$E,$C1897,Data!$AI:$AI)</f>
        <v>0</v>
      </c>
    </row>
    <row r="1898" spans="1:5" x14ac:dyDescent="0.25">
      <c r="A1898" s="46" t="s">
        <v>10841</v>
      </c>
      <c r="B1898" s="46" t="s">
        <v>120</v>
      </c>
      <c r="C1898" s="46" t="s">
        <v>5358</v>
      </c>
      <c r="D1898" s="46">
        <v>6.2283934250390999E-2</v>
      </c>
      <c r="E1898" s="47">
        <f>SUMIF(Data!$E:$E,$C1898,Data!$AI:$AI)</f>
        <v>0</v>
      </c>
    </row>
    <row r="1899" spans="1:5" x14ac:dyDescent="0.25">
      <c r="A1899" s="46" t="s">
        <v>10841</v>
      </c>
      <c r="B1899" s="46" t="s">
        <v>120</v>
      </c>
      <c r="C1899" s="46" t="s">
        <v>5766</v>
      </c>
      <c r="D1899" s="46">
        <v>3.6939937510386003E-2</v>
      </c>
      <c r="E1899" s="47">
        <f>SUMIF(Data!$E:$E,$C1899,Data!$AI:$AI)</f>
        <v>0</v>
      </c>
    </row>
    <row r="1900" spans="1:5" x14ac:dyDescent="0.25">
      <c r="A1900" s="46" t="s">
        <v>10841</v>
      </c>
      <c r="B1900" s="46" t="s">
        <v>120</v>
      </c>
      <c r="C1900" s="46" t="s">
        <v>4453</v>
      </c>
      <c r="D1900" s="46">
        <v>8.8009366114429E-2</v>
      </c>
      <c r="E1900" s="47">
        <f>SUMIF(Data!$E:$E,$C1900,Data!$AI:$AI)</f>
        <v>0</v>
      </c>
    </row>
    <row r="1901" spans="1:5" x14ac:dyDescent="0.25">
      <c r="A1901" s="46" t="s">
        <v>10841</v>
      </c>
      <c r="B1901" s="46" t="s">
        <v>120</v>
      </c>
      <c r="C1901" s="46" t="s">
        <v>5779</v>
      </c>
      <c r="D1901" s="46">
        <v>3.1640982271419003E-2</v>
      </c>
      <c r="E1901" s="47">
        <f>SUMIF(Data!$E:$E,$C1901,Data!$AI:$AI)</f>
        <v>0</v>
      </c>
    </row>
    <row r="1902" spans="1:5" x14ac:dyDescent="0.25">
      <c r="A1902" s="46" t="s">
        <v>10841</v>
      </c>
      <c r="B1902" s="46" t="s">
        <v>120</v>
      </c>
      <c r="C1902" s="46" t="s">
        <v>1777</v>
      </c>
      <c r="D1902" s="46">
        <v>7.6345204463565006E-2</v>
      </c>
      <c r="E1902" s="47">
        <f>SUMIF(Data!$E:$E,$C1902,Data!$AI:$AI)</f>
        <v>0</v>
      </c>
    </row>
    <row r="1903" spans="1:5" x14ac:dyDescent="0.25">
      <c r="A1903" s="46" t="s">
        <v>10841</v>
      </c>
      <c r="B1903" s="46" t="s">
        <v>120</v>
      </c>
      <c r="C1903" s="46" t="s">
        <v>4610</v>
      </c>
      <c r="D1903" s="46">
        <v>0.16873758194808999</v>
      </c>
      <c r="E1903" s="47">
        <f>SUMIF(Data!$E:$E,$C1903,Data!$AI:$AI)</f>
        <v>0</v>
      </c>
    </row>
    <row r="1904" spans="1:5" x14ac:dyDescent="0.25">
      <c r="A1904" s="46" t="s">
        <v>10841</v>
      </c>
      <c r="B1904" s="46" t="s">
        <v>120</v>
      </c>
      <c r="C1904" s="46" t="s">
        <v>5792</v>
      </c>
      <c r="D1904" s="46">
        <v>7.804354337901E-3</v>
      </c>
      <c r="E1904" s="47">
        <f>SUMIF(Data!$E:$E,$C1904,Data!$AI:$AI)</f>
        <v>0</v>
      </c>
    </row>
    <row r="1905" spans="1:5" x14ac:dyDescent="0.25">
      <c r="A1905" s="46" t="s">
        <v>10841</v>
      </c>
      <c r="B1905" s="46" t="s">
        <v>120</v>
      </c>
      <c r="C1905" s="46" t="s">
        <v>5799</v>
      </c>
      <c r="D1905" s="46">
        <v>1.3754269282038999E-2</v>
      </c>
      <c r="E1905" s="47">
        <f>SUMIF(Data!$E:$E,$C1905,Data!$AI:$AI)</f>
        <v>0</v>
      </c>
    </row>
    <row r="1906" spans="1:5" x14ac:dyDescent="0.25">
      <c r="A1906" s="46" t="s">
        <v>10841</v>
      </c>
      <c r="B1906" s="46" t="s">
        <v>120</v>
      </c>
      <c r="C1906" s="46" t="s">
        <v>4981</v>
      </c>
      <c r="D1906" s="46">
        <v>0.93686805917747296</v>
      </c>
      <c r="E1906" s="47">
        <f>SUMIF(Data!$E:$E,$C1906,Data!$AI:$AI)</f>
        <v>0</v>
      </c>
    </row>
    <row r="1907" spans="1:5" x14ac:dyDescent="0.25">
      <c r="A1907" s="46" t="s">
        <v>10841</v>
      </c>
      <c r="B1907" s="46" t="s">
        <v>120</v>
      </c>
      <c r="C1907" s="46" t="s">
        <v>5365</v>
      </c>
      <c r="D1907" s="46">
        <v>7.8373556425915994E-2</v>
      </c>
      <c r="E1907" s="47">
        <f>SUMIF(Data!$E:$E,$C1907,Data!$AI:$AI)</f>
        <v>0</v>
      </c>
    </row>
    <row r="1908" spans="1:5" x14ac:dyDescent="0.25">
      <c r="A1908" s="46" t="s">
        <v>10841</v>
      </c>
      <c r="B1908" s="46" t="s">
        <v>120</v>
      </c>
      <c r="C1908" s="46" t="s">
        <v>4988</v>
      </c>
      <c r="D1908" s="46">
        <v>0.53655335774958901</v>
      </c>
      <c r="E1908" s="47">
        <f>SUMIF(Data!$E:$E,$C1908,Data!$AI:$AI)</f>
        <v>0</v>
      </c>
    </row>
    <row r="1909" spans="1:5" x14ac:dyDescent="0.25">
      <c r="A1909" s="46" t="s">
        <v>10841</v>
      </c>
      <c r="B1909" s="46" t="s">
        <v>120</v>
      </c>
      <c r="C1909" s="46" t="s">
        <v>4995</v>
      </c>
      <c r="D1909" s="46">
        <v>1.4723150085022501</v>
      </c>
      <c r="E1909" s="47">
        <f>SUMIF(Data!$E:$E,$C1909,Data!$AI:$AI)</f>
        <v>0</v>
      </c>
    </row>
    <row r="1910" spans="1:5" x14ac:dyDescent="0.25">
      <c r="A1910" s="46" t="s">
        <v>10841</v>
      </c>
      <c r="B1910" s="46" t="s">
        <v>120</v>
      </c>
      <c r="C1910" s="46" t="s">
        <v>5372</v>
      </c>
      <c r="D1910" s="46">
        <v>0.112616294110249</v>
      </c>
      <c r="E1910" s="47">
        <f>SUMIF(Data!$E:$E,$C1910,Data!$AI:$AI)</f>
        <v>0</v>
      </c>
    </row>
    <row r="1911" spans="1:5" x14ac:dyDescent="0.25">
      <c r="A1911" s="46" t="s">
        <v>10841</v>
      </c>
      <c r="B1911" s="46" t="s">
        <v>120</v>
      </c>
      <c r="C1911" s="46" t="s">
        <v>6335</v>
      </c>
      <c r="D1911" s="46">
        <v>0.162075454231419</v>
      </c>
      <c r="E1911" s="47">
        <f>SUMIF(Data!$E:$E,$C1911,Data!$AI:$AI)</f>
        <v>0</v>
      </c>
    </row>
    <row r="1912" spans="1:5" x14ac:dyDescent="0.25">
      <c r="A1912" s="46" t="s">
        <v>10841</v>
      </c>
      <c r="B1912" s="46" t="s">
        <v>120</v>
      </c>
      <c r="C1912" s="46" t="s">
        <v>5379</v>
      </c>
      <c r="D1912" s="46">
        <v>0.10801375717431901</v>
      </c>
      <c r="E1912" s="47">
        <f>SUMIF(Data!$E:$E,$C1912,Data!$AI:$AI)</f>
        <v>0</v>
      </c>
    </row>
    <row r="1913" spans="1:5" x14ac:dyDescent="0.25">
      <c r="A1913" s="46" t="s">
        <v>10841</v>
      </c>
      <c r="B1913" s="46" t="s">
        <v>120</v>
      </c>
      <c r="C1913" s="46" t="s">
        <v>5386</v>
      </c>
      <c r="D1913" s="46">
        <v>0.18634763228739401</v>
      </c>
      <c r="E1913" s="47">
        <f>SUMIF(Data!$E:$E,$C1913,Data!$AI:$AI)</f>
        <v>0</v>
      </c>
    </row>
    <row r="1914" spans="1:5" x14ac:dyDescent="0.25">
      <c r="A1914" s="46" t="s">
        <v>10841</v>
      </c>
      <c r="B1914" s="46" t="s">
        <v>120</v>
      </c>
      <c r="C1914" s="46" t="s">
        <v>5806</v>
      </c>
      <c r="D1914" s="46">
        <v>4.0724755884761002E-2</v>
      </c>
      <c r="E1914" s="47">
        <f>SUMIF(Data!$E:$E,$C1914,Data!$AI:$AI)</f>
        <v>0</v>
      </c>
    </row>
    <row r="1915" spans="1:5" x14ac:dyDescent="0.25">
      <c r="A1915" s="46" t="s">
        <v>10841</v>
      </c>
      <c r="B1915" s="46" t="s">
        <v>120</v>
      </c>
      <c r="C1915" s="46" t="s">
        <v>5813</v>
      </c>
      <c r="D1915" s="46">
        <v>6.1200507425497E-2</v>
      </c>
      <c r="E1915" s="47">
        <f>SUMIF(Data!$E:$E,$C1915,Data!$AI:$AI)</f>
        <v>0</v>
      </c>
    </row>
    <row r="1916" spans="1:5" x14ac:dyDescent="0.25">
      <c r="A1916" s="46" t="s">
        <v>10841</v>
      </c>
      <c r="B1916" s="46" t="s">
        <v>120</v>
      </c>
      <c r="C1916" s="46" t="s">
        <v>5002</v>
      </c>
      <c r="D1916" s="46">
        <v>0.69618487839616106</v>
      </c>
      <c r="E1916" s="47">
        <f>SUMIF(Data!$E:$E,$C1916,Data!$AI:$AI)</f>
        <v>0</v>
      </c>
    </row>
    <row r="1917" spans="1:5" x14ac:dyDescent="0.25">
      <c r="A1917" s="46" t="s">
        <v>10841</v>
      </c>
      <c r="B1917" s="46" t="s">
        <v>120</v>
      </c>
      <c r="C1917" s="46" t="s">
        <v>5820</v>
      </c>
      <c r="D1917" s="46">
        <v>4.7697594331846997E-2</v>
      </c>
      <c r="E1917" s="47">
        <f>SUMIF(Data!$E:$E,$C1917,Data!$AI:$AI)</f>
        <v>0</v>
      </c>
    </row>
    <row r="1918" spans="1:5" x14ac:dyDescent="0.25">
      <c r="A1918" s="46" t="s">
        <v>10841</v>
      </c>
      <c r="B1918" s="46" t="s">
        <v>120</v>
      </c>
      <c r="C1918" s="46" t="s">
        <v>5827</v>
      </c>
      <c r="D1918" s="46">
        <v>1.8710073113394E-2</v>
      </c>
      <c r="E1918" s="47">
        <f>SUMIF(Data!$E:$E,$C1918,Data!$AI:$AI)</f>
        <v>0</v>
      </c>
    </row>
    <row r="1919" spans="1:5" x14ac:dyDescent="0.25">
      <c r="A1919" s="46" t="s">
        <v>10841</v>
      </c>
      <c r="B1919" s="46" t="s">
        <v>120</v>
      </c>
      <c r="C1919" s="46" t="s">
        <v>5009</v>
      </c>
      <c r="D1919" s="46">
        <v>0.56074188738367903</v>
      </c>
      <c r="E1919" s="47">
        <f>SUMIF(Data!$E:$E,$C1919,Data!$AI:$AI)</f>
        <v>0</v>
      </c>
    </row>
    <row r="1920" spans="1:5" x14ac:dyDescent="0.25">
      <c r="A1920" s="46" t="s">
        <v>10841</v>
      </c>
      <c r="B1920" s="46" t="s">
        <v>120</v>
      </c>
      <c r="C1920" s="46" t="s">
        <v>5833</v>
      </c>
      <c r="D1920" s="46">
        <v>3.0387343953719E-2</v>
      </c>
      <c r="E1920" s="47">
        <f>SUMIF(Data!$E:$E,$C1920,Data!$AI:$AI)</f>
        <v>0</v>
      </c>
    </row>
    <row r="1921" spans="1:5" x14ac:dyDescent="0.25">
      <c r="A1921" s="46" t="s">
        <v>10841</v>
      </c>
      <c r="B1921" s="46" t="s">
        <v>120</v>
      </c>
      <c r="C1921" s="46" t="s">
        <v>5393</v>
      </c>
      <c r="D1921" s="46">
        <v>1.2850687169268999E-2</v>
      </c>
      <c r="E1921" s="47">
        <f>SUMIF(Data!$E:$E,$C1921,Data!$AI:$AI)</f>
        <v>0</v>
      </c>
    </row>
    <row r="1922" spans="1:5" x14ac:dyDescent="0.25">
      <c r="A1922" s="46" t="s">
        <v>10841</v>
      </c>
      <c r="B1922" s="46" t="s">
        <v>120</v>
      </c>
      <c r="C1922" s="46" t="s">
        <v>5399</v>
      </c>
      <c r="D1922" s="46">
        <v>0.13481198006461501</v>
      </c>
      <c r="E1922" s="47">
        <f>SUMIF(Data!$E:$E,$C1922,Data!$AI:$AI)</f>
        <v>0</v>
      </c>
    </row>
    <row r="1923" spans="1:5" x14ac:dyDescent="0.25">
      <c r="A1923" s="46" t="s">
        <v>10841</v>
      </c>
      <c r="B1923" s="46" t="s">
        <v>120</v>
      </c>
      <c r="C1923" s="46" t="s">
        <v>5016</v>
      </c>
      <c r="D1923" s="46">
        <v>1.7668927873661899</v>
      </c>
      <c r="E1923" s="47">
        <f>SUMIF(Data!$E:$E,$C1923,Data!$AI:$AI)</f>
        <v>0</v>
      </c>
    </row>
    <row r="1924" spans="1:5" x14ac:dyDescent="0.25">
      <c r="A1924" s="46" t="s">
        <v>10841</v>
      </c>
      <c r="B1924" s="46" t="s">
        <v>120</v>
      </c>
      <c r="C1924" s="46" t="s">
        <v>5406</v>
      </c>
      <c r="D1924" s="46">
        <v>0.43077951518829999</v>
      </c>
      <c r="E1924" s="47">
        <f>SUMIF(Data!$E:$E,$C1924,Data!$AI:$AI)</f>
        <v>0</v>
      </c>
    </row>
    <row r="1925" spans="1:5" x14ac:dyDescent="0.25">
      <c r="A1925" s="46" t="s">
        <v>10841</v>
      </c>
      <c r="B1925" s="46" t="s">
        <v>120</v>
      </c>
      <c r="C1925" s="46" t="s">
        <v>5023</v>
      </c>
      <c r="D1925" s="46">
        <v>1.68864186902612</v>
      </c>
      <c r="E1925" s="47">
        <f>SUMIF(Data!$E:$E,$C1925,Data!$AI:$AI)</f>
        <v>0</v>
      </c>
    </row>
    <row r="1926" spans="1:5" x14ac:dyDescent="0.25">
      <c r="A1926" s="46" t="s">
        <v>10841</v>
      </c>
      <c r="B1926" s="46" t="s">
        <v>120</v>
      </c>
      <c r="C1926" s="46" t="s">
        <v>6747</v>
      </c>
      <c r="D1926" s="46">
        <v>0.18305337942365599</v>
      </c>
      <c r="E1926" s="47">
        <f>SUMIF(Data!$E:$E,$C1926,Data!$AI:$AI)</f>
        <v>0</v>
      </c>
    </row>
    <row r="1927" spans="1:5" x14ac:dyDescent="0.25">
      <c r="A1927" s="46" t="s">
        <v>10842</v>
      </c>
      <c r="B1927" s="46" t="s">
        <v>120</v>
      </c>
      <c r="C1927" s="46" t="s">
        <v>5528</v>
      </c>
      <c r="D1927" s="46">
        <v>100</v>
      </c>
      <c r="E1927" s="47">
        <f>SUMIF(Data!$E:$E,$C1927,Data!$AI:$AI)</f>
        <v>0</v>
      </c>
    </row>
    <row r="1928" spans="1:5" x14ac:dyDescent="0.25">
      <c r="A1928" s="46" t="s">
        <v>10843</v>
      </c>
      <c r="B1928" s="46" t="s">
        <v>120</v>
      </c>
      <c r="C1928" s="46" t="s">
        <v>5399</v>
      </c>
      <c r="D1928" s="46">
        <v>100</v>
      </c>
      <c r="E1928" s="47">
        <f>SUMIF(Data!$E:$E,$C1928,Data!$AI:$AI)</f>
        <v>0</v>
      </c>
    </row>
    <row r="1929" spans="1:5" x14ac:dyDescent="0.25">
      <c r="A1929" s="46" t="s">
        <v>10844</v>
      </c>
      <c r="B1929" s="46" t="s">
        <v>120</v>
      </c>
      <c r="C1929" s="46" t="s">
        <v>5441</v>
      </c>
      <c r="D1929" s="46">
        <v>7.5052753346675098</v>
      </c>
      <c r="E1929" s="47">
        <f>SUMIF(Data!$E:$E,$C1929,Data!$AI:$AI)</f>
        <v>0</v>
      </c>
    </row>
    <row r="1930" spans="1:5" x14ac:dyDescent="0.25">
      <c r="A1930" s="46" t="s">
        <v>10844</v>
      </c>
      <c r="B1930" s="46" t="s">
        <v>120</v>
      </c>
      <c r="C1930" s="46" t="s">
        <v>5048</v>
      </c>
      <c r="D1930" s="46">
        <v>28.688262930638299</v>
      </c>
      <c r="E1930" s="47">
        <f>SUMIF(Data!$E:$E,$C1930,Data!$AI:$AI)</f>
        <v>0</v>
      </c>
    </row>
    <row r="1931" spans="1:5" x14ac:dyDescent="0.25">
      <c r="A1931" s="46" t="s">
        <v>10844</v>
      </c>
      <c r="B1931" s="46" t="s">
        <v>120</v>
      </c>
      <c r="C1931" s="46" t="s">
        <v>5163</v>
      </c>
      <c r="D1931" s="46">
        <v>2.7180553217868502</v>
      </c>
      <c r="E1931" s="47">
        <f>SUMIF(Data!$E:$E,$C1931,Data!$AI:$AI)</f>
        <v>0</v>
      </c>
    </row>
    <row r="1932" spans="1:5" x14ac:dyDescent="0.25">
      <c r="A1932" s="46" t="s">
        <v>10844</v>
      </c>
      <c r="B1932" s="46" t="s">
        <v>120</v>
      </c>
      <c r="C1932" s="46" t="s">
        <v>4923</v>
      </c>
      <c r="D1932" s="46">
        <v>36.136176804608098</v>
      </c>
      <c r="E1932" s="47">
        <f>SUMIF(Data!$E:$E,$C1932,Data!$AI:$AI)</f>
        <v>0</v>
      </c>
    </row>
    <row r="1933" spans="1:5" x14ac:dyDescent="0.25">
      <c r="A1933" s="46" t="s">
        <v>10844</v>
      </c>
      <c r="B1933" s="46" t="s">
        <v>120</v>
      </c>
      <c r="C1933" s="46" t="s">
        <v>5225</v>
      </c>
      <c r="D1933" s="46">
        <v>5.5254812681142296</v>
      </c>
      <c r="E1933" s="47">
        <f>SUMIF(Data!$E:$E,$C1933,Data!$AI:$AI)</f>
        <v>0</v>
      </c>
    </row>
    <row r="1934" spans="1:5" x14ac:dyDescent="0.25">
      <c r="A1934" s="46" t="s">
        <v>10844</v>
      </c>
      <c r="B1934" s="46" t="s">
        <v>120</v>
      </c>
      <c r="C1934" s="46" t="s">
        <v>4006</v>
      </c>
      <c r="D1934" s="46">
        <v>10.519721913227601</v>
      </c>
      <c r="E1934" s="47">
        <f>SUMIF(Data!$E:$E,$C1934,Data!$AI:$AI)</f>
        <v>0</v>
      </c>
    </row>
    <row r="1935" spans="1:5" x14ac:dyDescent="0.25">
      <c r="A1935" s="46" t="s">
        <v>10844</v>
      </c>
      <c r="B1935" s="46" t="s">
        <v>120</v>
      </c>
      <c r="C1935" s="46" t="s">
        <v>5662</v>
      </c>
      <c r="D1935" s="46">
        <v>1.96726840311289</v>
      </c>
      <c r="E1935" s="47">
        <f>SUMIF(Data!$E:$E,$C1935,Data!$AI:$AI)</f>
        <v>0</v>
      </c>
    </row>
    <row r="1936" spans="1:5" x14ac:dyDescent="0.25">
      <c r="A1936" s="46" t="s">
        <v>10844</v>
      </c>
      <c r="B1936" s="46" t="s">
        <v>120</v>
      </c>
      <c r="C1936" s="46" t="s">
        <v>3578</v>
      </c>
      <c r="D1936" s="46">
        <v>3.2818474912095299</v>
      </c>
      <c r="E1936" s="47">
        <f>SUMIF(Data!$E:$E,$C1936,Data!$AI:$AI)</f>
        <v>0</v>
      </c>
    </row>
    <row r="1937" spans="1:5" x14ac:dyDescent="0.25">
      <c r="A1937" s="46" t="s">
        <v>10844</v>
      </c>
      <c r="B1937" s="46" t="s">
        <v>120</v>
      </c>
      <c r="C1937" s="46" t="s">
        <v>5766</v>
      </c>
      <c r="D1937" s="46">
        <v>2.0069574109592101</v>
      </c>
      <c r="E1937" s="47">
        <f>SUMIF(Data!$E:$E,$C1937,Data!$AI:$AI)</f>
        <v>0</v>
      </c>
    </row>
    <row r="1938" spans="1:5" x14ac:dyDescent="0.25">
      <c r="A1938" s="46" t="s">
        <v>10844</v>
      </c>
      <c r="B1938" s="46" t="s">
        <v>120</v>
      </c>
      <c r="C1938" s="46" t="s">
        <v>5833</v>
      </c>
      <c r="D1938" s="46">
        <v>1.6509531216758599</v>
      </c>
      <c r="E1938" s="47">
        <f>SUMIF(Data!$E:$E,$C1938,Data!$AI:$AI)</f>
        <v>0</v>
      </c>
    </row>
    <row r="1939" spans="1:5" x14ac:dyDescent="0.25">
      <c r="A1939" s="46" t="s">
        <v>10845</v>
      </c>
      <c r="B1939" s="46" t="s">
        <v>120</v>
      </c>
      <c r="C1939" s="46" t="s">
        <v>5365</v>
      </c>
      <c r="D1939" s="46">
        <v>100</v>
      </c>
      <c r="E1939" s="47">
        <f>SUMIF(Data!$E:$E,$C1939,Data!$AI:$AI)</f>
        <v>0</v>
      </c>
    </row>
    <row r="1940" spans="1:5" x14ac:dyDescent="0.25">
      <c r="A1940" s="46" t="s">
        <v>10846</v>
      </c>
      <c r="B1940" s="46" t="s">
        <v>120</v>
      </c>
      <c r="C1940" s="46" t="s">
        <v>10847</v>
      </c>
      <c r="D1940" s="46">
        <v>100</v>
      </c>
      <c r="E1940" s="47">
        <f>SUMIF(Data!$E:$E,$C1940,Data!$AI:$AI)</f>
        <v>0</v>
      </c>
    </row>
    <row r="1941" spans="1:5" x14ac:dyDescent="0.25">
      <c r="A1941" s="46" t="s">
        <v>10848</v>
      </c>
      <c r="B1941" s="46" t="s">
        <v>120</v>
      </c>
      <c r="C1941" s="46" t="s">
        <v>1939</v>
      </c>
      <c r="D1941" s="46">
        <v>100</v>
      </c>
      <c r="E1941" s="47">
        <f>SUMIF(Data!$E:$E,$C1941,Data!$AI:$AI)</f>
        <v>0</v>
      </c>
    </row>
    <row r="1942" spans="1:5" x14ac:dyDescent="0.25">
      <c r="A1942" s="46" t="s">
        <v>10849</v>
      </c>
      <c r="B1942" s="46" t="s">
        <v>120</v>
      </c>
      <c r="C1942" s="46" t="s">
        <v>4948</v>
      </c>
      <c r="D1942" s="46">
        <v>100</v>
      </c>
      <c r="E1942" s="47">
        <f>SUMIF(Data!$E:$E,$C1942,Data!$AI:$AI)</f>
        <v>0</v>
      </c>
    </row>
    <row r="1943" spans="1:5" x14ac:dyDescent="0.25">
      <c r="A1943" s="46" t="s">
        <v>10850</v>
      </c>
      <c r="B1943" s="46" t="s">
        <v>120</v>
      </c>
      <c r="C1943" s="46" t="s">
        <v>4575</v>
      </c>
      <c r="D1943" s="46">
        <v>3.94066386650861</v>
      </c>
      <c r="E1943" s="47">
        <f>SUMIF(Data!$E:$E,$C1943,Data!$AI:$AI)</f>
        <v>0</v>
      </c>
    </row>
    <row r="1944" spans="1:5" x14ac:dyDescent="0.25">
      <c r="A1944" s="46" t="s">
        <v>10850</v>
      </c>
      <c r="B1944" s="46" t="s">
        <v>120</v>
      </c>
      <c r="C1944" s="46" t="s">
        <v>4765</v>
      </c>
      <c r="D1944" s="46">
        <v>1.39949476093845</v>
      </c>
      <c r="E1944" s="47">
        <f>SUMIF(Data!$E:$E,$C1944,Data!$AI:$AI)</f>
        <v>0</v>
      </c>
    </row>
    <row r="1945" spans="1:5" x14ac:dyDescent="0.25">
      <c r="A1945" s="46" t="s">
        <v>10850</v>
      </c>
      <c r="B1945" s="46" t="s">
        <v>120</v>
      </c>
      <c r="C1945" s="46" t="s">
        <v>4589</v>
      </c>
      <c r="D1945" s="46">
        <v>2.3162205605547301</v>
      </c>
      <c r="E1945" s="47">
        <f>SUMIF(Data!$E:$E,$C1945,Data!$AI:$AI)</f>
        <v>0</v>
      </c>
    </row>
    <row r="1946" spans="1:5" x14ac:dyDescent="0.25">
      <c r="A1946" s="46" t="s">
        <v>10850</v>
      </c>
      <c r="B1946" s="46" t="s">
        <v>120</v>
      </c>
      <c r="C1946" s="46" t="s">
        <v>4779</v>
      </c>
      <c r="D1946" s="46">
        <v>1.46605797492507</v>
      </c>
      <c r="E1946" s="47">
        <f>SUMIF(Data!$E:$E,$C1946,Data!$AI:$AI)</f>
        <v>0</v>
      </c>
    </row>
    <row r="1947" spans="1:5" x14ac:dyDescent="0.25">
      <c r="A1947" s="46" t="s">
        <v>10850</v>
      </c>
      <c r="B1947" s="46" t="s">
        <v>120</v>
      </c>
      <c r="C1947" s="46" t="s">
        <v>4786</v>
      </c>
      <c r="D1947" s="46">
        <v>1.19756598053449</v>
      </c>
      <c r="E1947" s="47">
        <f>SUMIF(Data!$E:$E,$C1947,Data!$AI:$AI)</f>
        <v>0</v>
      </c>
    </row>
    <row r="1948" spans="1:5" x14ac:dyDescent="0.25">
      <c r="A1948" s="46" t="s">
        <v>10850</v>
      </c>
      <c r="B1948" s="46" t="s">
        <v>120</v>
      </c>
      <c r="C1948" s="46" t="s">
        <v>3202</v>
      </c>
      <c r="D1948" s="46">
        <v>1.20450903966247</v>
      </c>
      <c r="E1948" s="47">
        <f>SUMIF(Data!$E:$E,$C1948,Data!$AI:$AI)</f>
        <v>0</v>
      </c>
    </row>
    <row r="1949" spans="1:5" x14ac:dyDescent="0.25">
      <c r="A1949" s="46" t="s">
        <v>10850</v>
      </c>
      <c r="B1949" s="46" t="s">
        <v>120</v>
      </c>
      <c r="C1949" s="46" t="s">
        <v>4798</v>
      </c>
      <c r="D1949" s="46">
        <v>4.4972604273472498</v>
      </c>
      <c r="E1949" s="47">
        <f>SUMIF(Data!$E:$E,$C1949,Data!$AI:$AI)</f>
        <v>0</v>
      </c>
    </row>
    <row r="1950" spans="1:5" x14ac:dyDescent="0.25">
      <c r="A1950" s="46" t="s">
        <v>10850</v>
      </c>
      <c r="B1950" s="46" t="s">
        <v>120</v>
      </c>
      <c r="C1950" s="46" t="s">
        <v>3142</v>
      </c>
      <c r="D1950" s="46">
        <v>1.5554283097008701</v>
      </c>
      <c r="E1950" s="47">
        <f>SUMIF(Data!$E:$E,$C1950,Data!$AI:$AI)</f>
        <v>0</v>
      </c>
    </row>
    <row r="1951" spans="1:5" x14ac:dyDescent="0.25">
      <c r="A1951" s="46" t="s">
        <v>10850</v>
      </c>
      <c r="B1951" s="46" t="s">
        <v>120</v>
      </c>
      <c r="C1951" s="46" t="s">
        <v>4811</v>
      </c>
      <c r="D1951" s="46">
        <v>0.63146385345715805</v>
      </c>
      <c r="E1951" s="47">
        <f>SUMIF(Data!$E:$E,$C1951,Data!$AI:$AI)</f>
        <v>0</v>
      </c>
    </row>
    <row r="1952" spans="1:5" x14ac:dyDescent="0.25">
      <c r="A1952" s="46" t="s">
        <v>10850</v>
      </c>
      <c r="B1952" s="46" t="s">
        <v>120</v>
      </c>
      <c r="C1952" s="46" t="s">
        <v>4818</v>
      </c>
      <c r="D1952" s="46">
        <v>0.751861092705708</v>
      </c>
      <c r="E1952" s="47">
        <f>SUMIF(Data!$E:$E,$C1952,Data!$AI:$AI)</f>
        <v>0</v>
      </c>
    </row>
    <row r="1953" spans="1:5" x14ac:dyDescent="0.25">
      <c r="A1953" s="46" t="s">
        <v>10850</v>
      </c>
      <c r="B1953" s="46" t="s">
        <v>120</v>
      </c>
      <c r="C1953" s="46" t="s">
        <v>5112</v>
      </c>
      <c r="D1953" s="46">
        <v>0.598796426210219</v>
      </c>
      <c r="E1953" s="47">
        <f>SUMIF(Data!$E:$E,$C1953,Data!$AI:$AI)</f>
        <v>0</v>
      </c>
    </row>
    <row r="1954" spans="1:5" x14ac:dyDescent="0.25">
      <c r="A1954" s="46" t="s">
        <v>10850</v>
      </c>
      <c r="B1954" s="46" t="s">
        <v>120</v>
      </c>
      <c r="C1954" s="46" t="s">
        <v>4618</v>
      </c>
      <c r="D1954" s="46">
        <v>0.93752076602670797</v>
      </c>
      <c r="E1954" s="47">
        <f>SUMIF(Data!$E:$E,$C1954,Data!$AI:$AI)</f>
        <v>0</v>
      </c>
    </row>
    <row r="1955" spans="1:5" x14ac:dyDescent="0.25">
      <c r="A1955" s="46" t="s">
        <v>10850</v>
      </c>
      <c r="B1955" s="46" t="s">
        <v>120</v>
      </c>
      <c r="C1955" s="46" t="s">
        <v>4625</v>
      </c>
      <c r="D1955" s="46">
        <v>0.74248988133201599</v>
      </c>
      <c r="E1955" s="47">
        <f>SUMIF(Data!$E:$E,$C1955,Data!$AI:$AI)</f>
        <v>0</v>
      </c>
    </row>
    <row r="1956" spans="1:5" x14ac:dyDescent="0.25">
      <c r="A1956" s="46" t="s">
        <v>10850</v>
      </c>
      <c r="B1956" s="46" t="s">
        <v>120</v>
      </c>
      <c r="C1956" s="46" t="s">
        <v>4838</v>
      </c>
      <c r="D1956" s="46">
        <v>3.48552736273288</v>
      </c>
      <c r="E1956" s="47">
        <f>SUMIF(Data!$E:$E,$C1956,Data!$AI:$AI)</f>
        <v>0</v>
      </c>
    </row>
    <row r="1957" spans="1:5" x14ac:dyDescent="0.25">
      <c r="A1957" s="46" t="s">
        <v>10850</v>
      </c>
      <c r="B1957" s="46" t="s">
        <v>120</v>
      </c>
      <c r="C1957" s="46" t="s">
        <v>4845</v>
      </c>
      <c r="D1957" s="46">
        <v>2.0143639175637902</v>
      </c>
      <c r="E1957" s="47">
        <f>SUMIF(Data!$E:$E,$C1957,Data!$AI:$AI)</f>
        <v>0</v>
      </c>
    </row>
    <row r="1958" spans="1:5" x14ac:dyDescent="0.25">
      <c r="A1958" s="46" t="s">
        <v>10850</v>
      </c>
      <c r="B1958" s="46" t="s">
        <v>120</v>
      </c>
      <c r="C1958" s="46" t="s">
        <v>4852</v>
      </c>
      <c r="D1958" s="46">
        <v>27.2617198964229</v>
      </c>
      <c r="E1958" s="47">
        <f>SUMIF(Data!$E:$E,$C1958,Data!$AI:$AI)</f>
        <v>0</v>
      </c>
    </row>
    <row r="1959" spans="1:5" x14ac:dyDescent="0.25">
      <c r="A1959" s="46" t="s">
        <v>10850</v>
      </c>
      <c r="B1959" s="46" t="s">
        <v>120</v>
      </c>
      <c r="C1959" s="46" t="s">
        <v>4859</v>
      </c>
      <c r="D1959" s="46">
        <v>0.81528663707117799</v>
      </c>
      <c r="E1959" s="47">
        <f>SUMIF(Data!$E:$E,$C1959,Data!$AI:$AI)</f>
        <v>0</v>
      </c>
    </row>
    <row r="1960" spans="1:5" x14ac:dyDescent="0.25">
      <c r="A1960" s="46" t="s">
        <v>10850</v>
      </c>
      <c r="B1960" s="46" t="s">
        <v>120</v>
      </c>
      <c r="C1960" s="46" t="s">
        <v>3157</v>
      </c>
      <c r="D1960" s="46">
        <v>1.1718159898301199</v>
      </c>
      <c r="E1960" s="47">
        <f>SUMIF(Data!$E:$E,$C1960,Data!$AI:$AI)</f>
        <v>0</v>
      </c>
    </row>
    <row r="1961" spans="1:5" x14ac:dyDescent="0.25">
      <c r="A1961" s="46" t="s">
        <v>10850</v>
      </c>
      <c r="B1961" s="46" t="s">
        <v>120</v>
      </c>
      <c r="C1961" s="46" t="s">
        <v>4870</v>
      </c>
      <c r="D1961" s="46">
        <v>2.24965536376172</v>
      </c>
      <c r="E1961" s="47">
        <f>SUMIF(Data!$E:$E,$C1961,Data!$AI:$AI)</f>
        <v>0</v>
      </c>
    </row>
    <row r="1962" spans="1:5" x14ac:dyDescent="0.25">
      <c r="A1962" s="46" t="s">
        <v>10850</v>
      </c>
      <c r="B1962" s="46" t="s">
        <v>120</v>
      </c>
      <c r="C1962" s="46" t="s">
        <v>4877</v>
      </c>
      <c r="D1962" s="46">
        <v>1.06051600759442</v>
      </c>
      <c r="E1962" s="47">
        <f>SUMIF(Data!$E:$E,$C1962,Data!$AI:$AI)</f>
        <v>0</v>
      </c>
    </row>
    <row r="1963" spans="1:5" x14ac:dyDescent="0.25">
      <c r="A1963" s="46" t="s">
        <v>10850</v>
      </c>
      <c r="B1963" s="46" t="s">
        <v>120</v>
      </c>
      <c r="C1963" s="46" t="s">
        <v>517</v>
      </c>
      <c r="D1963" s="46">
        <v>1.04743625435889</v>
      </c>
      <c r="E1963" s="47">
        <f>SUMIF(Data!$E:$E,$C1963,Data!$AI:$AI)</f>
        <v>0</v>
      </c>
    </row>
    <row r="1964" spans="1:5" x14ac:dyDescent="0.25">
      <c r="A1964" s="46" t="s">
        <v>10850</v>
      </c>
      <c r="B1964" s="46" t="s">
        <v>120</v>
      </c>
      <c r="C1964" s="46" t="s">
        <v>4890</v>
      </c>
      <c r="D1964" s="46">
        <v>4.7740776888954102</v>
      </c>
      <c r="E1964" s="47">
        <f>SUMIF(Data!$E:$E,$C1964,Data!$AI:$AI)</f>
        <v>0</v>
      </c>
    </row>
    <row r="1965" spans="1:5" x14ac:dyDescent="0.25">
      <c r="A1965" s="46" t="s">
        <v>10850</v>
      </c>
      <c r="B1965" s="46" t="s">
        <v>120</v>
      </c>
      <c r="C1965" s="46" t="s">
        <v>4897</v>
      </c>
      <c r="D1965" s="46">
        <v>1.9204508122555899</v>
      </c>
      <c r="E1965" s="47">
        <f>SUMIF(Data!$E:$E,$C1965,Data!$AI:$AI)</f>
        <v>0</v>
      </c>
    </row>
    <row r="1966" spans="1:5" x14ac:dyDescent="0.25">
      <c r="A1966" s="46" t="s">
        <v>10850</v>
      </c>
      <c r="B1966" s="46" t="s">
        <v>120</v>
      </c>
      <c r="C1966" s="46" t="s">
        <v>4904</v>
      </c>
      <c r="D1966" s="46">
        <v>2.8384714387555299</v>
      </c>
      <c r="E1966" s="47">
        <f>SUMIF(Data!$E:$E,$C1966,Data!$AI:$AI)</f>
        <v>0</v>
      </c>
    </row>
    <row r="1967" spans="1:5" x14ac:dyDescent="0.25">
      <c r="A1967" s="46" t="s">
        <v>10850</v>
      </c>
      <c r="B1967" s="46" t="s">
        <v>120</v>
      </c>
      <c r="C1967" s="46" t="s">
        <v>4481</v>
      </c>
      <c r="D1967" s="46">
        <v>6.4101987893826502</v>
      </c>
      <c r="E1967" s="47">
        <f>SUMIF(Data!$E:$E,$C1967,Data!$AI:$AI)</f>
        <v>0</v>
      </c>
    </row>
    <row r="1968" spans="1:5" x14ac:dyDescent="0.25">
      <c r="A1968" s="46" t="s">
        <v>10850</v>
      </c>
      <c r="B1968" s="46" t="s">
        <v>120</v>
      </c>
      <c r="C1968" s="46" t="s">
        <v>4916</v>
      </c>
      <c r="D1968" s="46">
        <v>0.75995616826152601</v>
      </c>
      <c r="E1968" s="47">
        <f>SUMIF(Data!$E:$E,$C1968,Data!$AI:$AI)</f>
        <v>0</v>
      </c>
    </row>
    <row r="1969" spans="1:5" x14ac:dyDescent="0.25">
      <c r="A1969" s="46" t="s">
        <v>10850</v>
      </c>
      <c r="B1969" s="46" t="s">
        <v>120</v>
      </c>
      <c r="C1969" s="46" t="s">
        <v>4923</v>
      </c>
      <c r="D1969" s="46">
        <v>0.94467640534979003</v>
      </c>
      <c r="E1969" s="47">
        <f>SUMIF(Data!$E:$E,$C1969,Data!$AI:$AI)</f>
        <v>0</v>
      </c>
    </row>
    <row r="1970" spans="1:5" x14ac:dyDescent="0.25">
      <c r="A1970" s="46" t="s">
        <v>10850</v>
      </c>
      <c r="B1970" s="46" t="s">
        <v>120</v>
      </c>
      <c r="C1970" s="46" t="s">
        <v>3898</v>
      </c>
      <c r="D1970" s="46">
        <v>0.80790004611363397</v>
      </c>
      <c r="E1970" s="47">
        <f>SUMIF(Data!$E:$E,$C1970,Data!$AI:$AI)</f>
        <v>0</v>
      </c>
    </row>
    <row r="1971" spans="1:5" x14ac:dyDescent="0.25">
      <c r="A1971" s="46" t="s">
        <v>10850</v>
      </c>
      <c r="B1971" s="46" t="s">
        <v>120</v>
      </c>
      <c r="C1971" s="46" t="s">
        <v>4935</v>
      </c>
      <c r="D1971" s="46">
        <v>1.07681990239447</v>
      </c>
      <c r="E1971" s="47">
        <f>SUMIF(Data!$E:$E,$C1971,Data!$AI:$AI)</f>
        <v>0</v>
      </c>
    </row>
    <row r="1972" spans="1:5" x14ac:dyDescent="0.25">
      <c r="A1972" s="46" t="s">
        <v>10850</v>
      </c>
      <c r="B1972" s="46" t="s">
        <v>120</v>
      </c>
      <c r="C1972" s="46" t="s">
        <v>1939</v>
      </c>
      <c r="D1972" s="46">
        <v>2.03046349871792</v>
      </c>
      <c r="E1972" s="47">
        <f>SUMIF(Data!$E:$E,$C1972,Data!$AI:$AI)</f>
        <v>0</v>
      </c>
    </row>
    <row r="1973" spans="1:5" x14ac:dyDescent="0.25">
      <c r="A1973" s="46" t="s">
        <v>10850</v>
      </c>
      <c r="B1973" s="46" t="s">
        <v>120</v>
      </c>
      <c r="C1973" s="46" t="s">
        <v>4948</v>
      </c>
      <c r="D1973" s="46">
        <v>3.6792634591813602</v>
      </c>
      <c r="E1973" s="47">
        <f>SUMIF(Data!$E:$E,$C1973,Data!$AI:$AI)</f>
        <v>0</v>
      </c>
    </row>
    <row r="1974" spans="1:5" x14ac:dyDescent="0.25">
      <c r="A1974" s="46" t="s">
        <v>10850</v>
      </c>
      <c r="B1974" s="46" t="s">
        <v>120</v>
      </c>
      <c r="C1974" s="46" t="s">
        <v>1466</v>
      </c>
      <c r="D1974" s="46">
        <v>1.6490896148071701</v>
      </c>
      <c r="E1974" s="47">
        <f>SUMIF(Data!$E:$E,$C1974,Data!$AI:$AI)</f>
        <v>0</v>
      </c>
    </row>
    <row r="1975" spans="1:5" x14ac:dyDescent="0.25">
      <c r="A1975" s="46" t="s">
        <v>10850</v>
      </c>
      <c r="B1975" s="46" t="s">
        <v>120</v>
      </c>
      <c r="C1975" s="46" t="s">
        <v>4961</v>
      </c>
      <c r="D1975" s="46">
        <v>0.89311487277438095</v>
      </c>
      <c r="E1975" s="47">
        <f>SUMIF(Data!$E:$E,$C1975,Data!$AI:$AI)</f>
        <v>0</v>
      </c>
    </row>
    <row r="1976" spans="1:5" x14ac:dyDescent="0.25">
      <c r="A1976" s="46" t="s">
        <v>10850</v>
      </c>
      <c r="B1976" s="46" t="s">
        <v>120</v>
      </c>
      <c r="C1976" s="46" t="s">
        <v>4968</v>
      </c>
      <c r="D1976" s="46">
        <v>0.76788022525825195</v>
      </c>
      <c r="E1976" s="47">
        <f>SUMIF(Data!$E:$E,$C1976,Data!$AI:$AI)</f>
        <v>0</v>
      </c>
    </row>
    <row r="1977" spans="1:5" x14ac:dyDescent="0.25">
      <c r="A1977" s="46" t="s">
        <v>10850</v>
      </c>
      <c r="B1977" s="46" t="s">
        <v>120</v>
      </c>
      <c r="C1977" s="46" t="s">
        <v>4975</v>
      </c>
      <c r="D1977" s="46">
        <v>0.88630307562967303</v>
      </c>
      <c r="E1977" s="47">
        <f>SUMIF(Data!$E:$E,$C1977,Data!$AI:$AI)</f>
        <v>0</v>
      </c>
    </row>
    <row r="1978" spans="1:5" x14ac:dyDescent="0.25">
      <c r="A1978" s="46" t="s">
        <v>10850</v>
      </c>
      <c r="B1978" s="46" t="s">
        <v>120</v>
      </c>
      <c r="C1978" s="46" t="s">
        <v>4981</v>
      </c>
      <c r="D1978" s="46">
        <v>1.3306422190310301</v>
      </c>
      <c r="E1978" s="47">
        <f>SUMIF(Data!$E:$E,$C1978,Data!$AI:$AI)</f>
        <v>0</v>
      </c>
    </row>
    <row r="1979" spans="1:5" x14ac:dyDescent="0.25">
      <c r="A1979" s="46" t="s">
        <v>10850</v>
      </c>
      <c r="B1979" s="46" t="s">
        <v>120</v>
      </c>
      <c r="C1979" s="46" t="s">
        <v>4988</v>
      </c>
      <c r="D1979" s="46">
        <v>0.76207161039441296</v>
      </c>
      <c r="E1979" s="47">
        <f>SUMIF(Data!$E:$E,$C1979,Data!$AI:$AI)</f>
        <v>0</v>
      </c>
    </row>
    <row r="1980" spans="1:5" x14ac:dyDescent="0.25">
      <c r="A1980" s="46" t="s">
        <v>10850</v>
      </c>
      <c r="B1980" s="46" t="s">
        <v>120</v>
      </c>
      <c r="C1980" s="46" t="s">
        <v>4995</v>
      </c>
      <c r="D1980" s="46">
        <v>2.0911423874842598</v>
      </c>
      <c r="E1980" s="47">
        <f>SUMIF(Data!$E:$E,$C1980,Data!$AI:$AI)</f>
        <v>0</v>
      </c>
    </row>
    <row r="1981" spans="1:5" x14ac:dyDescent="0.25">
      <c r="A1981" s="46" t="s">
        <v>10850</v>
      </c>
      <c r="B1981" s="46" t="s">
        <v>120</v>
      </c>
      <c r="C1981" s="46" t="s">
        <v>5002</v>
      </c>
      <c r="D1981" s="46">
        <v>0.98879770995526295</v>
      </c>
      <c r="E1981" s="47">
        <f>SUMIF(Data!$E:$E,$C1981,Data!$AI:$AI)</f>
        <v>0</v>
      </c>
    </row>
    <row r="1982" spans="1:5" x14ac:dyDescent="0.25">
      <c r="A1982" s="46" t="s">
        <v>10850</v>
      </c>
      <c r="B1982" s="46" t="s">
        <v>120</v>
      </c>
      <c r="C1982" s="46" t="s">
        <v>5009</v>
      </c>
      <c r="D1982" s="46">
        <v>0.79642679886744105</v>
      </c>
      <c r="E1982" s="47">
        <f>SUMIF(Data!$E:$E,$C1982,Data!$AI:$AI)</f>
        <v>0</v>
      </c>
    </row>
    <row r="1983" spans="1:5" x14ac:dyDescent="0.25">
      <c r="A1983" s="46" t="s">
        <v>10850</v>
      </c>
      <c r="B1983" s="46" t="s">
        <v>120</v>
      </c>
      <c r="C1983" s="46" t="s">
        <v>5016</v>
      </c>
      <c r="D1983" s="46">
        <v>1.8482055137109199</v>
      </c>
      <c r="E1983" s="47">
        <f>SUMIF(Data!$E:$E,$C1983,Data!$AI:$AI)</f>
        <v>0</v>
      </c>
    </row>
    <row r="1984" spans="1:5" x14ac:dyDescent="0.25">
      <c r="A1984" s="46" t="s">
        <v>10850</v>
      </c>
      <c r="B1984" s="46" t="s">
        <v>120</v>
      </c>
      <c r="C1984" s="46" t="s">
        <v>5023</v>
      </c>
      <c r="D1984" s="46">
        <v>2.3983933935397199</v>
      </c>
      <c r="E1984" s="47">
        <f>SUMIF(Data!$E:$E,$C1984,Data!$AI:$AI)</f>
        <v>0</v>
      </c>
    </row>
    <row r="1985" spans="1:5" x14ac:dyDescent="0.25">
      <c r="A1985" s="46" t="s">
        <v>10851</v>
      </c>
      <c r="B1985" s="46" t="s">
        <v>120</v>
      </c>
      <c r="C1985" s="46" t="s">
        <v>5414</v>
      </c>
      <c r="D1985" s="46">
        <v>2.0363154221843E-2</v>
      </c>
      <c r="E1985" s="47">
        <f>SUMIF(Data!$E:$E,$C1985,Data!$AI:$AI)</f>
        <v>0</v>
      </c>
    </row>
    <row r="1986" spans="1:5" x14ac:dyDescent="0.25">
      <c r="A1986" s="46" t="s">
        <v>10851</v>
      </c>
      <c r="B1986" s="46" t="s">
        <v>120</v>
      </c>
      <c r="C1986" s="46" t="s">
        <v>5421</v>
      </c>
      <c r="D1986" s="46">
        <v>0.139874548025888</v>
      </c>
      <c r="E1986" s="47">
        <f>SUMIF(Data!$E:$E,$C1986,Data!$AI:$AI)</f>
        <v>0</v>
      </c>
    </row>
    <row r="1987" spans="1:5" x14ac:dyDescent="0.25">
      <c r="A1987" s="46" t="s">
        <v>10851</v>
      </c>
      <c r="B1987" s="46" t="s">
        <v>120</v>
      </c>
      <c r="C1987" s="46" t="s">
        <v>4461</v>
      </c>
      <c r="D1987" s="46">
        <v>0.19036530594970899</v>
      </c>
      <c r="E1987" s="47">
        <f>SUMIF(Data!$E:$E,$C1987,Data!$AI:$AI)</f>
        <v>0</v>
      </c>
    </row>
    <row r="1988" spans="1:5" x14ac:dyDescent="0.25">
      <c r="A1988" s="46" t="s">
        <v>10851</v>
      </c>
      <c r="B1988" s="46" t="s">
        <v>120</v>
      </c>
      <c r="C1988" s="46" t="s">
        <v>5428</v>
      </c>
      <c r="D1988" s="46">
        <v>3.8896403164219003E-2</v>
      </c>
      <c r="E1988" s="47">
        <f>SUMIF(Data!$E:$E,$C1988,Data!$AI:$AI)</f>
        <v>0</v>
      </c>
    </row>
    <row r="1989" spans="1:5" x14ac:dyDescent="0.25">
      <c r="A1989" s="46" t="s">
        <v>10851</v>
      </c>
      <c r="B1989" s="46" t="s">
        <v>120</v>
      </c>
      <c r="C1989" s="46" t="s">
        <v>4468</v>
      </c>
      <c r="D1989" s="46">
        <v>7.4651563318289996E-2</v>
      </c>
      <c r="E1989" s="47">
        <f>SUMIF(Data!$E:$E,$C1989,Data!$AI:$AI)</f>
        <v>0</v>
      </c>
    </row>
    <row r="1990" spans="1:5" x14ac:dyDescent="0.25">
      <c r="A1990" s="46" t="s">
        <v>10851</v>
      </c>
      <c r="B1990" s="46" t="s">
        <v>120</v>
      </c>
      <c r="C1990" s="46" t="s">
        <v>4575</v>
      </c>
      <c r="D1990" s="46">
        <v>3.1456404383182099</v>
      </c>
      <c r="E1990" s="47">
        <f>SUMIF(Data!$E:$E,$C1990,Data!$AI:$AI)</f>
        <v>0</v>
      </c>
    </row>
    <row r="1991" spans="1:5" x14ac:dyDescent="0.25">
      <c r="A1991" s="46" t="s">
        <v>10851</v>
      </c>
      <c r="B1991" s="46" t="s">
        <v>120</v>
      </c>
      <c r="C1991" s="46" t="s">
        <v>2014</v>
      </c>
      <c r="D1991" s="46">
        <v>0.54479057065065895</v>
      </c>
      <c r="E1991" s="47">
        <f>SUMIF(Data!$E:$E,$C1991,Data!$AI:$AI)</f>
        <v>0</v>
      </c>
    </row>
    <row r="1992" spans="1:5" x14ac:dyDescent="0.25">
      <c r="A1992" s="46" t="s">
        <v>10851</v>
      </c>
      <c r="B1992" s="46" t="s">
        <v>120</v>
      </c>
      <c r="C1992" s="46" t="s">
        <v>4489</v>
      </c>
      <c r="D1992" s="46">
        <v>0.65441317330767201</v>
      </c>
      <c r="E1992" s="47">
        <f>SUMIF(Data!$E:$E,$C1992,Data!$AI:$AI)</f>
        <v>0</v>
      </c>
    </row>
    <row r="1993" spans="1:5" x14ac:dyDescent="0.25">
      <c r="A1993" s="46" t="s">
        <v>10851</v>
      </c>
      <c r="B1993" s="46" t="s">
        <v>120</v>
      </c>
      <c r="C1993" s="46" t="s">
        <v>4765</v>
      </c>
      <c r="D1993" s="46">
        <v>1.1171486486419999</v>
      </c>
      <c r="E1993" s="47">
        <f>SUMIF(Data!$E:$E,$C1993,Data!$AI:$AI)</f>
        <v>0</v>
      </c>
    </row>
    <row r="1994" spans="1:5" x14ac:dyDescent="0.25">
      <c r="A1994" s="46" t="s">
        <v>10851</v>
      </c>
      <c r="B1994" s="46" t="s">
        <v>120</v>
      </c>
      <c r="C1994" s="46" t="s">
        <v>4582</v>
      </c>
      <c r="D1994" s="46">
        <v>0.24031665001020699</v>
      </c>
      <c r="E1994" s="47">
        <f>SUMIF(Data!$E:$E,$C1994,Data!$AI:$AI)</f>
        <v>0</v>
      </c>
    </row>
    <row r="1995" spans="1:5" x14ac:dyDescent="0.25">
      <c r="A1995" s="46" t="s">
        <v>10851</v>
      </c>
      <c r="B1995" s="46" t="s">
        <v>120</v>
      </c>
      <c r="C1995" s="46" t="s">
        <v>5441</v>
      </c>
      <c r="D1995" s="46">
        <v>0.15661998664468901</v>
      </c>
      <c r="E1995" s="47">
        <f>SUMIF(Data!$E:$E,$C1995,Data!$AI:$AI)</f>
        <v>0</v>
      </c>
    </row>
    <row r="1996" spans="1:5" x14ac:dyDescent="0.25">
      <c r="A1996" s="46" t="s">
        <v>10851</v>
      </c>
      <c r="B1996" s="46" t="s">
        <v>120</v>
      </c>
      <c r="C1996" s="46" t="s">
        <v>5048</v>
      </c>
      <c r="D1996" s="46">
        <v>0.59866629226800405</v>
      </c>
      <c r="E1996" s="47">
        <f>SUMIF(Data!$E:$E,$C1996,Data!$AI:$AI)</f>
        <v>0</v>
      </c>
    </row>
    <row r="1997" spans="1:5" x14ac:dyDescent="0.25">
      <c r="A1997" s="46" t="s">
        <v>10851</v>
      </c>
      <c r="B1997" s="46" t="s">
        <v>120</v>
      </c>
      <c r="C1997" s="46" t="s">
        <v>5055</v>
      </c>
      <c r="D1997" s="46">
        <v>0.21600194612210699</v>
      </c>
      <c r="E1997" s="47">
        <f>SUMIF(Data!$E:$E,$C1997,Data!$AI:$AI)</f>
        <v>0</v>
      </c>
    </row>
    <row r="1998" spans="1:5" x14ac:dyDescent="0.25">
      <c r="A1998" s="46" t="s">
        <v>10851</v>
      </c>
      <c r="B1998" s="46" t="s">
        <v>120</v>
      </c>
      <c r="C1998" s="46" t="s">
        <v>5062</v>
      </c>
      <c r="D1998" s="46">
        <v>0.46579235787929502</v>
      </c>
      <c r="E1998" s="47">
        <f>SUMIF(Data!$E:$E,$C1998,Data!$AI:$AI)</f>
        <v>0</v>
      </c>
    </row>
    <row r="1999" spans="1:5" x14ac:dyDescent="0.25">
      <c r="A1999" s="46" t="s">
        <v>10851</v>
      </c>
      <c r="B1999" s="46" t="s">
        <v>120</v>
      </c>
      <c r="C1999" s="46" t="s">
        <v>4589</v>
      </c>
      <c r="D1999" s="46">
        <v>1.8489262992634701</v>
      </c>
      <c r="E1999" s="47">
        <f>SUMIF(Data!$E:$E,$C1999,Data!$AI:$AI)</f>
        <v>0</v>
      </c>
    </row>
    <row r="2000" spans="1:5" x14ac:dyDescent="0.25">
      <c r="A2000" s="46" t="s">
        <v>10851</v>
      </c>
      <c r="B2000" s="46" t="s">
        <v>120</v>
      </c>
      <c r="C2000" s="46" t="s">
        <v>5448</v>
      </c>
      <c r="D2000" s="46">
        <v>2.4758888717617E-2</v>
      </c>
      <c r="E2000" s="47">
        <f>SUMIF(Data!$E:$E,$C2000,Data!$AI:$AI)</f>
        <v>0</v>
      </c>
    </row>
    <row r="2001" spans="1:5" x14ac:dyDescent="0.25">
      <c r="A2001" s="46" t="s">
        <v>10851</v>
      </c>
      <c r="B2001" s="46" t="s">
        <v>120</v>
      </c>
      <c r="C2001" s="46" t="s">
        <v>4779</v>
      </c>
      <c r="D2001" s="46">
        <v>1.1702828272255399</v>
      </c>
      <c r="E2001" s="47">
        <f>SUMIF(Data!$E:$E,$C2001,Data!$AI:$AI)</f>
        <v>0</v>
      </c>
    </row>
    <row r="2002" spans="1:5" x14ac:dyDescent="0.25">
      <c r="A2002" s="46" t="s">
        <v>10851</v>
      </c>
      <c r="B2002" s="46" t="s">
        <v>120</v>
      </c>
      <c r="C2002" s="46" t="s">
        <v>5454</v>
      </c>
      <c r="D2002" s="46">
        <v>8.0655382274004997E-2</v>
      </c>
      <c r="E2002" s="47">
        <f>SUMIF(Data!$E:$E,$C2002,Data!$AI:$AI)</f>
        <v>0</v>
      </c>
    </row>
    <row r="2003" spans="1:5" x14ac:dyDescent="0.25">
      <c r="A2003" s="46" t="s">
        <v>10851</v>
      </c>
      <c r="B2003" s="46" t="s">
        <v>120</v>
      </c>
      <c r="C2003" s="46" t="s">
        <v>5069</v>
      </c>
      <c r="D2003" s="46">
        <v>0.23383461195310401</v>
      </c>
      <c r="E2003" s="47">
        <f>SUMIF(Data!$E:$E,$C2003,Data!$AI:$AI)</f>
        <v>0</v>
      </c>
    </row>
    <row r="2004" spans="1:5" x14ac:dyDescent="0.25">
      <c r="A2004" s="46" t="s">
        <v>10851</v>
      </c>
      <c r="B2004" s="46" t="s">
        <v>120</v>
      </c>
      <c r="C2004" s="46" t="s">
        <v>4786</v>
      </c>
      <c r="D2004" s="46">
        <v>0.95595871749931904</v>
      </c>
      <c r="E2004" s="47">
        <f>SUMIF(Data!$E:$E,$C2004,Data!$AI:$AI)</f>
        <v>0</v>
      </c>
    </row>
    <row r="2005" spans="1:5" x14ac:dyDescent="0.25">
      <c r="A2005" s="46" t="s">
        <v>10851</v>
      </c>
      <c r="B2005" s="46" t="s">
        <v>120</v>
      </c>
      <c r="C2005" s="46" t="s">
        <v>5460</v>
      </c>
      <c r="D2005" s="46">
        <v>0.109188674047302</v>
      </c>
      <c r="E2005" s="47">
        <f>SUMIF(Data!$E:$E,$C2005,Data!$AI:$AI)</f>
        <v>0</v>
      </c>
    </row>
    <row r="2006" spans="1:5" x14ac:dyDescent="0.25">
      <c r="A2006" s="46" t="s">
        <v>10851</v>
      </c>
      <c r="B2006" s="46" t="s">
        <v>120</v>
      </c>
      <c r="C2006" s="46" t="s">
        <v>3202</v>
      </c>
      <c r="D2006" s="46">
        <v>0.96150102415080296</v>
      </c>
      <c r="E2006" s="47">
        <f>SUMIF(Data!$E:$E,$C2006,Data!$AI:$AI)</f>
        <v>0</v>
      </c>
    </row>
    <row r="2007" spans="1:5" x14ac:dyDescent="0.25">
      <c r="A2007" s="46" t="s">
        <v>10851</v>
      </c>
      <c r="B2007" s="46" t="s">
        <v>120</v>
      </c>
      <c r="C2007" s="46" t="s">
        <v>5467</v>
      </c>
      <c r="D2007" s="46">
        <v>9.1226935412124996E-2</v>
      </c>
      <c r="E2007" s="47">
        <f>SUMIF(Data!$E:$E,$C2007,Data!$AI:$AI)</f>
        <v>0</v>
      </c>
    </row>
    <row r="2008" spans="1:5" x14ac:dyDescent="0.25">
      <c r="A2008" s="46" t="s">
        <v>10851</v>
      </c>
      <c r="B2008" s="46" t="s">
        <v>120</v>
      </c>
      <c r="C2008" s="46" t="s">
        <v>5474</v>
      </c>
      <c r="D2008" s="46">
        <v>0.132999147450758</v>
      </c>
      <c r="E2008" s="47">
        <f>SUMIF(Data!$E:$E,$C2008,Data!$AI:$AI)</f>
        <v>0</v>
      </c>
    </row>
    <row r="2009" spans="1:5" x14ac:dyDescent="0.25">
      <c r="A2009" s="46" t="s">
        <v>10851</v>
      </c>
      <c r="B2009" s="46" t="s">
        <v>120</v>
      </c>
      <c r="C2009" s="46" t="s">
        <v>5481</v>
      </c>
      <c r="D2009" s="46">
        <v>7.4847013298480994E-2</v>
      </c>
      <c r="E2009" s="47">
        <f>SUMIF(Data!$E:$E,$C2009,Data!$AI:$AI)</f>
        <v>0</v>
      </c>
    </row>
    <row r="2010" spans="1:5" x14ac:dyDescent="0.25">
      <c r="A2010" s="46" t="s">
        <v>10851</v>
      </c>
      <c r="B2010" s="46" t="s">
        <v>120</v>
      </c>
      <c r="C2010" s="46" t="s">
        <v>4524</v>
      </c>
      <c r="D2010" s="46">
        <v>0.685534866112532</v>
      </c>
      <c r="E2010" s="47">
        <f>SUMIF(Data!$E:$E,$C2010,Data!$AI:$AI)</f>
        <v>0</v>
      </c>
    </row>
    <row r="2011" spans="1:5" x14ac:dyDescent="0.25">
      <c r="A2011" s="46" t="s">
        <v>10851</v>
      </c>
      <c r="B2011" s="46" t="s">
        <v>120</v>
      </c>
      <c r="C2011" s="46" t="s">
        <v>5082</v>
      </c>
      <c r="D2011" s="46">
        <v>0.15432934640451099</v>
      </c>
      <c r="E2011" s="47">
        <f>SUMIF(Data!$E:$E,$C2011,Data!$AI:$AI)</f>
        <v>0</v>
      </c>
    </row>
    <row r="2012" spans="1:5" x14ac:dyDescent="0.25">
      <c r="A2012" s="46" t="s">
        <v>10851</v>
      </c>
      <c r="B2012" s="46" t="s">
        <v>120</v>
      </c>
      <c r="C2012" s="46" t="s">
        <v>4798</v>
      </c>
      <c r="D2012" s="46">
        <v>3.5899444208230902</v>
      </c>
      <c r="E2012" s="47">
        <f>SUMIF(Data!$E:$E,$C2012,Data!$AI:$AI)</f>
        <v>0</v>
      </c>
    </row>
    <row r="2013" spans="1:5" x14ac:dyDescent="0.25">
      <c r="A2013" s="46" t="s">
        <v>10851</v>
      </c>
      <c r="B2013" s="46" t="s">
        <v>120</v>
      </c>
      <c r="C2013" s="46" t="s">
        <v>4496</v>
      </c>
      <c r="D2013" s="46">
        <v>0.408488792590951</v>
      </c>
      <c r="E2013" s="47">
        <f>SUMIF(Data!$E:$E,$C2013,Data!$AI:$AI)</f>
        <v>0</v>
      </c>
    </row>
    <row r="2014" spans="1:5" x14ac:dyDescent="0.25">
      <c r="A2014" s="46" t="s">
        <v>10851</v>
      </c>
      <c r="B2014" s="46" t="s">
        <v>120</v>
      </c>
      <c r="C2014" s="46" t="s">
        <v>5488</v>
      </c>
      <c r="D2014" s="46">
        <v>5.7732225184773001E-2</v>
      </c>
      <c r="E2014" s="47">
        <f>SUMIF(Data!$E:$E,$C2014,Data!$AI:$AI)</f>
        <v>0</v>
      </c>
    </row>
    <row r="2015" spans="1:5" x14ac:dyDescent="0.25">
      <c r="A2015" s="46" t="s">
        <v>10851</v>
      </c>
      <c r="B2015" s="46" t="s">
        <v>120</v>
      </c>
      <c r="C2015" s="46" t="s">
        <v>3142</v>
      </c>
      <c r="D2015" s="46">
        <v>1.2416228218508201</v>
      </c>
      <c r="E2015" s="47">
        <f>SUMIF(Data!$E:$E,$C2015,Data!$AI:$AI)</f>
        <v>0</v>
      </c>
    </row>
    <row r="2016" spans="1:5" x14ac:dyDescent="0.25">
      <c r="A2016" s="46" t="s">
        <v>10851</v>
      </c>
      <c r="B2016" s="46" t="s">
        <v>120</v>
      </c>
      <c r="C2016" s="46" t="s">
        <v>4503</v>
      </c>
      <c r="D2016" s="46">
        <v>0.145352408432109</v>
      </c>
      <c r="E2016" s="47">
        <f>SUMIF(Data!$E:$E,$C2016,Data!$AI:$AI)</f>
        <v>0</v>
      </c>
    </row>
    <row r="2017" spans="1:5" x14ac:dyDescent="0.25">
      <c r="A2017" s="46" t="s">
        <v>10851</v>
      </c>
      <c r="B2017" s="46" t="s">
        <v>120</v>
      </c>
      <c r="C2017" s="46" t="s">
        <v>5495</v>
      </c>
      <c r="D2017" s="46">
        <v>7.7757539662290001E-2</v>
      </c>
      <c r="E2017" s="47">
        <f>SUMIF(Data!$E:$E,$C2017,Data!$AI:$AI)</f>
        <v>0</v>
      </c>
    </row>
    <row r="2018" spans="1:5" x14ac:dyDescent="0.25">
      <c r="A2018" s="46" t="s">
        <v>10851</v>
      </c>
      <c r="B2018" s="46" t="s">
        <v>120</v>
      </c>
      <c r="C2018" s="46" t="s">
        <v>5501</v>
      </c>
      <c r="D2018" s="46">
        <v>3.3232568084629002E-2</v>
      </c>
      <c r="E2018" s="47">
        <f>SUMIF(Data!$E:$E,$C2018,Data!$AI:$AI)</f>
        <v>0</v>
      </c>
    </row>
    <row r="2019" spans="1:5" x14ac:dyDescent="0.25">
      <c r="A2019" s="46" t="s">
        <v>10851</v>
      </c>
      <c r="B2019" s="46" t="s">
        <v>120</v>
      </c>
      <c r="C2019" s="46" t="s">
        <v>3149</v>
      </c>
      <c r="D2019" s="46">
        <v>0.42745371535788701</v>
      </c>
      <c r="E2019" s="47">
        <f>SUMIF(Data!$E:$E,$C2019,Data!$AI:$AI)</f>
        <v>0</v>
      </c>
    </row>
    <row r="2020" spans="1:5" x14ac:dyDescent="0.25">
      <c r="A2020" s="46" t="s">
        <v>10851</v>
      </c>
      <c r="B2020" s="46" t="s">
        <v>120</v>
      </c>
      <c r="C2020" s="46" t="s">
        <v>4546</v>
      </c>
      <c r="D2020" s="46">
        <v>0.318717445813955</v>
      </c>
      <c r="E2020" s="47">
        <f>SUMIF(Data!$E:$E,$C2020,Data!$AI:$AI)</f>
        <v>0</v>
      </c>
    </row>
    <row r="2021" spans="1:5" x14ac:dyDescent="0.25">
      <c r="A2021" s="46" t="s">
        <v>10851</v>
      </c>
      <c r="B2021" s="46" t="s">
        <v>120</v>
      </c>
      <c r="C2021" s="46" t="s">
        <v>4811</v>
      </c>
      <c r="D2021" s="46">
        <v>0.50406690346085703</v>
      </c>
      <c r="E2021" s="47">
        <f>SUMIF(Data!$E:$E,$C2021,Data!$AI:$AI)</f>
        <v>0</v>
      </c>
    </row>
    <row r="2022" spans="1:5" x14ac:dyDescent="0.25">
      <c r="A2022" s="46" t="s">
        <v>10851</v>
      </c>
      <c r="B2022" s="46" t="s">
        <v>120</v>
      </c>
      <c r="C2022" s="46" t="s">
        <v>4818</v>
      </c>
      <c r="D2022" s="46">
        <v>0.60017416794004197</v>
      </c>
      <c r="E2022" s="47">
        <f>SUMIF(Data!$E:$E,$C2022,Data!$AI:$AI)</f>
        <v>0</v>
      </c>
    </row>
    <row r="2023" spans="1:5" x14ac:dyDescent="0.25">
      <c r="A2023" s="46" t="s">
        <v>10851</v>
      </c>
      <c r="B2023" s="46" t="s">
        <v>120</v>
      </c>
      <c r="C2023" s="46" t="s">
        <v>5112</v>
      </c>
      <c r="D2023" s="46">
        <v>0.47799008400991599</v>
      </c>
      <c r="E2023" s="47">
        <f>SUMIF(Data!$E:$E,$C2023,Data!$AI:$AI)</f>
        <v>0</v>
      </c>
    </row>
    <row r="2024" spans="1:5" x14ac:dyDescent="0.25">
      <c r="A2024" s="46" t="s">
        <v>10851</v>
      </c>
      <c r="B2024" s="46" t="s">
        <v>120</v>
      </c>
      <c r="C2024" s="46" t="s">
        <v>5508</v>
      </c>
      <c r="D2024" s="46">
        <v>2.9720531415748E-2</v>
      </c>
      <c r="E2024" s="47">
        <f>SUMIF(Data!$E:$E,$C2024,Data!$AI:$AI)</f>
        <v>0</v>
      </c>
    </row>
    <row r="2025" spans="1:5" x14ac:dyDescent="0.25">
      <c r="A2025" s="46" t="s">
        <v>10851</v>
      </c>
      <c r="B2025" s="46" t="s">
        <v>120</v>
      </c>
      <c r="C2025" s="46" t="s">
        <v>5118</v>
      </c>
      <c r="D2025" s="46">
        <v>0.24449649328952699</v>
      </c>
      <c r="E2025" s="47">
        <f>SUMIF(Data!$E:$E,$C2025,Data!$AI:$AI)</f>
        <v>0</v>
      </c>
    </row>
    <row r="2026" spans="1:5" x14ac:dyDescent="0.25">
      <c r="A2026" s="46" t="s">
        <v>10851</v>
      </c>
      <c r="B2026" s="46" t="s">
        <v>120</v>
      </c>
      <c r="C2026" s="46" t="s">
        <v>5124</v>
      </c>
      <c r="D2026" s="46">
        <v>0.25907896989057699</v>
      </c>
      <c r="E2026" s="47">
        <f>SUMIF(Data!$E:$E,$C2026,Data!$AI:$AI)</f>
        <v>0</v>
      </c>
    </row>
    <row r="2027" spans="1:5" x14ac:dyDescent="0.25">
      <c r="A2027" s="46" t="s">
        <v>10851</v>
      </c>
      <c r="B2027" s="46" t="s">
        <v>120</v>
      </c>
      <c r="C2027" s="46" t="s">
        <v>4637</v>
      </c>
      <c r="D2027" s="46">
        <v>0.28080116323552901</v>
      </c>
      <c r="E2027" s="47">
        <f>SUMIF(Data!$E:$E,$C2027,Data!$AI:$AI)</f>
        <v>0</v>
      </c>
    </row>
    <row r="2028" spans="1:5" x14ac:dyDescent="0.25">
      <c r="A2028" s="46" t="s">
        <v>10851</v>
      </c>
      <c r="B2028" s="46" t="s">
        <v>120</v>
      </c>
      <c r="C2028" s="46" t="s">
        <v>5131</v>
      </c>
      <c r="D2028" s="46">
        <v>0.229866522399269</v>
      </c>
      <c r="E2028" s="47">
        <f>SUMIF(Data!$E:$E,$C2028,Data!$AI:$AI)</f>
        <v>0</v>
      </c>
    </row>
    <row r="2029" spans="1:5" x14ac:dyDescent="0.25">
      <c r="A2029" s="46" t="s">
        <v>10851</v>
      </c>
      <c r="B2029" s="46" t="s">
        <v>120</v>
      </c>
      <c r="C2029" s="46" t="s">
        <v>5515</v>
      </c>
      <c r="D2029" s="46">
        <v>4.4526349929512002E-2</v>
      </c>
      <c r="E2029" s="47">
        <f>SUMIF(Data!$E:$E,$C2029,Data!$AI:$AI)</f>
        <v>0</v>
      </c>
    </row>
    <row r="2030" spans="1:5" x14ac:dyDescent="0.25">
      <c r="A2030" s="46" t="s">
        <v>10851</v>
      </c>
      <c r="B2030" s="46" t="s">
        <v>120</v>
      </c>
      <c r="C2030" s="46" t="s">
        <v>4553</v>
      </c>
      <c r="D2030" s="46">
        <v>2.2130677130701999E-2</v>
      </c>
      <c r="E2030" s="47">
        <f>SUMIF(Data!$E:$E,$C2030,Data!$AI:$AI)</f>
        <v>0</v>
      </c>
    </row>
    <row r="2031" spans="1:5" x14ac:dyDescent="0.25">
      <c r="A2031" s="46" t="s">
        <v>10851</v>
      </c>
      <c r="B2031" s="46" t="s">
        <v>120</v>
      </c>
      <c r="C2031" s="46" t="s">
        <v>4618</v>
      </c>
      <c r="D2031" s="46">
        <v>0.74837726161849905</v>
      </c>
      <c r="E2031" s="47">
        <f>SUMIF(Data!$E:$E,$C2031,Data!$AI:$AI)</f>
        <v>0</v>
      </c>
    </row>
    <row r="2032" spans="1:5" x14ac:dyDescent="0.25">
      <c r="A2032" s="46" t="s">
        <v>10851</v>
      </c>
      <c r="B2032" s="46" t="s">
        <v>120</v>
      </c>
      <c r="C2032" s="46" t="s">
        <v>4625</v>
      </c>
      <c r="D2032" s="46">
        <v>0.5926935853652</v>
      </c>
      <c r="E2032" s="47">
        <f>SUMIF(Data!$E:$E,$C2032,Data!$AI:$AI)</f>
        <v>0</v>
      </c>
    </row>
    <row r="2033" spans="1:5" x14ac:dyDescent="0.25">
      <c r="A2033" s="46" t="s">
        <v>10851</v>
      </c>
      <c r="B2033" s="46" t="s">
        <v>120</v>
      </c>
      <c r="C2033" s="46" t="s">
        <v>5138</v>
      </c>
      <c r="D2033" s="46">
        <v>0.175683423801475</v>
      </c>
      <c r="E2033" s="47">
        <f>SUMIF(Data!$E:$E,$C2033,Data!$AI:$AI)</f>
        <v>0</v>
      </c>
    </row>
    <row r="2034" spans="1:5" x14ac:dyDescent="0.25">
      <c r="A2034" s="46" t="s">
        <v>10851</v>
      </c>
      <c r="B2034" s="46" t="s">
        <v>120</v>
      </c>
      <c r="C2034" s="46" t="s">
        <v>5528</v>
      </c>
      <c r="D2034" s="46">
        <v>5.8584147782275997E-2</v>
      </c>
      <c r="E2034" s="47">
        <f>SUMIF(Data!$E:$E,$C2034,Data!$AI:$AI)</f>
        <v>0</v>
      </c>
    </row>
    <row r="2035" spans="1:5" x14ac:dyDescent="0.25">
      <c r="A2035" s="46" t="s">
        <v>10851</v>
      </c>
      <c r="B2035" s="46" t="s">
        <v>120</v>
      </c>
      <c r="C2035" s="46" t="s">
        <v>4838</v>
      </c>
      <c r="D2035" s="46">
        <v>2.78232708814908</v>
      </c>
      <c r="E2035" s="47">
        <f>SUMIF(Data!$E:$E,$C2035,Data!$AI:$AI)</f>
        <v>0</v>
      </c>
    </row>
    <row r="2036" spans="1:5" x14ac:dyDescent="0.25">
      <c r="A2036" s="46" t="s">
        <v>10851</v>
      </c>
      <c r="B2036" s="46" t="s">
        <v>120</v>
      </c>
      <c r="C2036" s="46" t="s">
        <v>5535</v>
      </c>
      <c r="D2036" s="46">
        <v>0.118788299279415</v>
      </c>
      <c r="E2036" s="47">
        <f>SUMIF(Data!$E:$E,$C2036,Data!$AI:$AI)</f>
        <v>0</v>
      </c>
    </row>
    <row r="2037" spans="1:5" x14ac:dyDescent="0.25">
      <c r="A2037" s="46" t="s">
        <v>10851</v>
      </c>
      <c r="B2037" s="46" t="s">
        <v>120</v>
      </c>
      <c r="C2037" s="46" t="s">
        <v>4845</v>
      </c>
      <c r="D2037" s="46">
        <v>1.60796881216662</v>
      </c>
      <c r="E2037" s="47">
        <f>SUMIF(Data!$E:$E,$C2037,Data!$AI:$AI)</f>
        <v>0</v>
      </c>
    </row>
    <row r="2038" spans="1:5" x14ac:dyDescent="0.25">
      <c r="A2038" s="46" t="s">
        <v>10851</v>
      </c>
      <c r="B2038" s="46" t="s">
        <v>120</v>
      </c>
      <c r="C2038" s="46" t="s">
        <v>4560</v>
      </c>
      <c r="D2038" s="46">
        <v>0.26570147890236601</v>
      </c>
      <c r="E2038" s="47">
        <f>SUMIF(Data!$E:$E,$C2038,Data!$AI:$AI)</f>
        <v>0</v>
      </c>
    </row>
    <row r="2039" spans="1:5" x14ac:dyDescent="0.25">
      <c r="A2039" s="46" t="s">
        <v>10851</v>
      </c>
      <c r="B2039" s="46" t="s">
        <v>120</v>
      </c>
      <c r="C2039" s="46" t="s">
        <v>5150</v>
      </c>
      <c r="D2039" s="46">
        <v>0.17259650141822699</v>
      </c>
      <c r="E2039" s="47">
        <f>SUMIF(Data!$E:$E,$C2039,Data!$AI:$AI)</f>
        <v>0</v>
      </c>
    </row>
    <row r="2040" spans="1:5" x14ac:dyDescent="0.25">
      <c r="A2040" s="46" t="s">
        <v>10851</v>
      </c>
      <c r="B2040" s="46" t="s">
        <v>120</v>
      </c>
      <c r="C2040" s="46" t="s">
        <v>4852</v>
      </c>
      <c r="D2040" s="46">
        <v>21.7617060041892</v>
      </c>
      <c r="E2040" s="47">
        <f>SUMIF(Data!$E:$E,$C2040,Data!$AI:$AI)</f>
        <v>0</v>
      </c>
    </row>
    <row r="2041" spans="1:5" x14ac:dyDescent="0.25">
      <c r="A2041" s="46" t="s">
        <v>10851</v>
      </c>
      <c r="B2041" s="46" t="s">
        <v>120</v>
      </c>
      <c r="C2041" s="46" t="s">
        <v>4859</v>
      </c>
      <c r="D2041" s="46">
        <v>0.65080369736375698</v>
      </c>
      <c r="E2041" s="47">
        <f>SUMIF(Data!$E:$E,$C2041,Data!$AI:$AI)</f>
        <v>0</v>
      </c>
    </row>
    <row r="2042" spans="1:5" x14ac:dyDescent="0.25">
      <c r="A2042" s="46" t="s">
        <v>10851</v>
      </c>
      <c r="B2042" s="46" t="s">
        <v>120</v>
      </c>
      <c r="C2042" s="46" t="s">
        <v>5163</v>
      </c>
      <c r="D2042" s="46">
        <v>5.6720342587755997E-2</v>
      </c>
      <c r="E2042" s="47">
        <f>SUMIF(Data!$E:$E,$C2042,Data!$AI:$AI)</f>
        <v>0</v>
      </c>
    </row>
    <row r="2043" spans="1:5" x14ac:dyDescent="0.25">
      <c r="A2043" s="46" t="s">
        <v>10851</v>
      </c>
      <c r="B2043" s="46" t="s">
        <v>120</v>
      </c>
      <c r="C2043" s="46" t="s">
        <v>5542</v>
      </c>
      <c r="D2043" s="46">
        <v>6.0558973779637003E-2</v>
      </c>
      <c r="E2043" s="47">
        <f>SUMIF(Data!$E:$E,$C2043,Data!$AI:$AI)</f>
        <v>0</v>
      </c>
    </row>
    <row r="2044" spans="1:5" x14ac:dyDescent="0.25">
      <c r="A2044" s="46" t="s">
        <v>10851</v>
      </c>
      <c r="B2044" s="46" t="s">
        <v>120</v>
      </c>
      <c r="C2044" s="46" t="s">
        <v>4475</v>
      </c>
      <c r="D2044" s="46">
        <v>0.154036337423548</v>
      </c>
      <c r="E2044" s="47">
        <f>SUMIF(Data!$E:$E,$C2044,Data!$AI:$AI)</f>
        <v>0</v>
      </c>
    </row>
    <row r="2045" spans="1:5" x14ac:dyDescent="0.25">
      <c r="A2045" s="46" t="s">
        <v>10851</v>
      </c>
      <c r="B2045" s="46" t="s">
        <v>120</v>
      </c>
      <c r="C2045" s="46" t="s">
        <v>1852</v>
      </c>
      <c r="D2045" s="46">
        <v>6.7606511242629994E-2</v>
      </c>
      <c r="E2045" s="47">
        <f>SUMIF(Data!$E:$E,$C2045,Data!$AI:$AI)</f>
        <v>0</v>
      </c>
    </row>
    <row r="2046" spans="1:5" x14ac:dyDescent="0.25">
      <c r="A2046" s="46" t="s">
        <v>10851</v>
      </c>
      <c r="B2046" s="46" t="s">
        <v>120</v>
      </c>
      <c r="C2046" s="46" t="s">
        <v>5170</v>
      </c>
      <c r="D2046" s="46">
        <v>0.41768633808150901</v>
      </c>
      <c r="E2046" s="47">
        <f>SUMIF(Data!$E:$E,$C2046,Data!$AI:$AI)</f>
        <v>0</v>
      </c>
    </row>
    <row r="2047" spans="1:5" x14ac:dyDescent="0.25">
      <c r="A2047" s="46" t="s">
        <v>10851</v>
      </c>
      <c r="B2047" s="46" t="s">
        <v>120</v>
      </c>
      <c r="C2047" s="46" t="s">
        <v>5560</v>
      </c>
      <c r="D2047" s="46">
        <v>0.15579298841741701</v>
      </c>
      <c r="E2047" s="47">
        <f>SUMIF(Data!$E:$E,$C2047,Data!$AI:$AI)</f>
        <v>0</v>
      </c>
    </row>
    <row r="2048" spans="1:5" x14ac:dyDescent="0.25">
      <c r="A2048" s="46" t="s">
        <v>10851</v>
      </c>
      <c r="B2048" s="46" t="s">
        <v>120</v>
      </c>
      <c r="C2048" s="46" t="s">
        <v>6756</v>
      </c>
      <c r="D2048" s="46">
        <v>0.63968894712195701</v>
      </c>
      <c r="E2048" s="47">
        <f>SUMIF(Data!$E:$E,$C2048,Data!$AI:$AI)</f>
        <v>0</v>
      </c>
    </row>
    <row r="2049" spans="1:5" x14ac:dyDescent="0.25">
      <c r="A2049" s="46" t="s">
        <v>10851</v>
      </c>
      <c r="B2049" s="46" t="s">
        <v>120</v>
      </c>
      <c r="C2049" s="46" t="s">
        <v>5567</v>
      </c>
      <c r="D2049" s="46">
        <v>5.3061941632065998E-2</v>
      </c>
      <c r="E2049" s="47">
        <f>SUMIF(Data!$E:$E,$C2049,Data!$AI:$AI)</f>
        <v>0</v>
      </c>
    </row>
    <row r="2050" spans="1:5" x14ac:dyDescent="0.25">
      <c r="A2050" s="46" t="s">
        <v>10851</v>
      </c>
      <c r="B2050" s="46" t="s">
        <v>120</v>
      </c>
      <c r="C2050" s="46" t="s">
        <v>3157</v>
      </c>
      <c r="D2050" s="46">
        <v>0.93540375143525401</v>
      </c>
      <c r="E2050" s="47">
        <f>SUMIF(Data!$E:$E,$C2050,Data!$AI:$AI)</f>
        <v>0</v>
      </c>
    </row>
    <row r="2051" spans="1:5" x14ac:dyDescent="0.25">
      <c r="A2051" s="46" t="s">
        <v>10851</v>
      </c>
      <c r="B2051" s="46" t="s">
        <v>120</v>
      </c>
      <c r="C2051" s="46" t="s">
        <v>4870</v>
      </c>
      <c r="D2051" s="46">
        <v>1.7957905379019701</v>
      </c>
      <c r="E2051" s="47">
        <f>SUMIF(Data!$E:$E,$C2051,Data!$AI:$AI)</f>
        <v>0</v>
      </c>
    </row>
    <row r="2052" spans="1:5" x14ac:dyDescent="0.25">
      <c r="A2052" s="46" t="s">
        <v>10851</v>
      </c>
      <c r="B2052" s="46" t="s">
        <v>120</v>
      </c>
      <c r="C2052" s="46" t="s">
        <v>3164</v>
      </c>
      <c r="D2052" s="46">
        <v>0.26572329255996602</v>
      </c>
      <c r="E2052" s="47">
        <f>SUMIF(Data!$E:$E,$C2052,Data!$AI:$AI)</f>
        <v>0</v>
      </c>
    </row>
    <row r="2053" spans="1:5" x14ac:dyDescent="0.25">
      <c r="A2053" s="46" t="s">
        <v>10851</v>
      </c>
      <c r="B2053" s="46" t="s">
        <v>120</v>
      </c>
      <c r="C2053" s="46" t="s">
        <v>5183</v>
      </c>
      <c r="D2053" s="46">
        <v>0.21106767116598599</v>
      </c>
      <c r="E2053" s="47">
        <f>SUMIF(Data!$E:$E,$C2053,Data!$AI:$AI)</f>
        <v>0</v>
      </c>
    </row>
    <row r="2054" spans="1:5" x14ac:dyDescent="0.25">
      <c r="A2054" s="46" t="s">
        <v>10851</v>
      </c>
      <c r="B2054" s="46" t="s">
        <v>120</v>
      </c>
      <c r="C2054" s="46" t="s">
        <v>4877</v>
      </c>
      <c r="D2054" s="46">
        <v>0.84655838507953096</v>
      </c>
      <c r="E2054" s="47">
        <f>SUMIF(Data!$E:$E,$C2054,Data!$AI:$AI)</f>
        <v>0</v>
      </c>
    </row>
    <row r="2055" spans="1:5" x14ac:dyDescent="0.25">
      <c r="A2055" s="46" t="s">
        <v>10851</v>
      </c>
      <c r="B2055" s="46" t="s">
        <v>120</v>
      </c>
      <c r="C2055" s="46" t="s">
        <v>5189</v>
      </c>
      <c r="D2055" s="46">
        <v>0.18192529937207499</v>
      </c>
      <c r="E2055" s="47">
        <f>SUMIF(Data!$E:$E,$C2055,Data!$AI:$AI)</f>
        <v>0</v>
      </c>
    </row>
    <row r="2056" spans="1:5" x14ac:dyDescent="0.25">
      <c r="A2056" s="46" t="s">
        <v>10851</v>
      </c>
      <c r="B2056" s="46" t="s">
        <v>120</v>
      </c>
      <c r="C2056" s="46" t="s">
        <v>517</v>
      </c>
      <c r="D2056" s="46">
        <v>0.83611745378098201</v>
      </c>
      <c r="E2056" s="47">
        <f>SUMIF(Data!$E:$E,$C2056,Data!$AI:$AI)</f>
        <v>0</v>
      </c>
    </row>
    <row r="2057" spans="1:5" x14ac:dyDescent="0.25">
      <c r="A2057" s="46" t="s">
        <v>10851</v>
      </c>
      <c r="B2057" s="46" t="s">
        <v>120</v>
      </c>
      <c r="C2057" s="46" t="s">
        <v>4890</v>
      </c>
      <c r="D2057" s="46">
        <v>3.8109141866919898</v>
      </c>
      <c r="E2057" s="47">
        <f>SUMIF(Data!$E:$E,$C2057,Data!$AI:$AI)</f>
        <v>0</v>
      </c>
    </row>
    <row r="2058" spans="1:5" x14ac:dyDescent="0.25">
      <c r="A2058" s="46" t="s">
        <v>10851</v>
      </c>
      <c r="B2058" s="46" t="s">
        <v>120</v>
      </c>
      <c r="C2058" s="46" t="s">
        <v>4897</v>
      </c>
      <c r="D2058" s="46">
        <v>1.53300254461555</v>
      </c>
      <c r="E2058" s="47">
        <f>SUMIF(Data!$E:$E,$C2058,Data!$AI:$AI)</f>
        <v>0</v>
      </c>
    </row>
    <row r="2059" spans="1:5" x14ac:dyDescent="0.25">
      <c r="A2059" s="46" t="s">
        <v>10851</v>
      </c>
      <c r="B2059" s="46" t="s">
        <v>120</v>
      </c>
      <c r="C2059" s="46" t="s">
        <v>4904</v>
      </c>
      <c r="D2059" s="46">
        <v>2.26581379260635</v>
      </c>
      <c r="E2059" s="47">
        <f>SUMIF(Data!$E:$E,$C2059,Data!$AI:$AI)</f>
        <v>0</v>
      </c>
    </row>
    <row r="2060" spans="1:5" x14ac:dyDescent="0.25">
      <c r="A2060" s="46" t="s">
        <v>10851</v>
      </c>
      <c r="B2060" s="46" t="s">
        <v>120</v>
      </c>
      <c r="C2060" s="46" t="s">
        <v>5196</v>
      </c>
      <c r="D2060" s="46">
        <v>0.22526797928944201</v>
      </c>
      <c r="E2060" s="47">
        <f>SUMIF(Data!$E:$E,$C2060,Data!$AI:$AI)</f>
        <v>0</v>
      </c>
    </row>
    <row r="2061" spans="1:5" x14ac:dyDescent="0.25">
      <c r="A2061" s="46" t="s">
        <v>10851</v>
      </c>
      <c r="B2061" s="46" t="s">
        <v>120</v>
      </c>
      <c r="C2061" s="46" t="s">
        <v>4481</v>
      </c>
      <c r="D2061" s="46">
        <v>5.1169501415520999</v>
      </c>
      <c r="E2061" s="47">
        <f>SUMIF(Data!$E:$E,$C2061,Data!$AI:$AI)</f>
        <v>0</v>
      </c>
    </row>
    <row r="2062" spans="1:5" x14ac:dyDescent="0.25">
      <c r="A2062" s="46" t="s">
        <v>10851</v>
      </c>
      <c r="B2062" s="46" t="s">
        <v>120</v>
      </c>
      <c r="C2062" s="46" t="s">
        <v>1783</v>
      </c>
      <c r="D2062" s="46">
        <v>0.248490000914943</v>
      </c>
      <c r="E2062" s="47">
        <f>SUMIF(Data!$E:$E,$C2062,Data!$AI:$AI)</f>
        <v>0</v>
      </c>
    </row>
    <row r="2063" spans="1:5" x14ac:dyDescent="0.25">
      <c r="A2063" s="46" t="s">
        <v>10851</v>
      </c>
      <c r="B2063" s="46" t="s">
        <v>120</v>
      </c>
      <c r="C2063" s="46" t="s">
        <v>4916</v>
      </c>
      <c r="D2063" s="46">
        <v>0.60663607331493097</v>
      </c>
      <c r="E2063" s="47">
        <f>SUMIF(Data!$E:$E,$C2063,Data!$AI:$AI)</f>
        <v>0</v>
      </c>
    </row>
    <row r="2064" spans="1:5" x14ac:dyDescent="0.25">
      <c r="A2064" s="46" t="s">
        <v>10851</v>
      </c>
      <c r="B2064" s="46" t="s">
        <v>120</v>
      </c>
      <c r="C2064" s="46" t="s">
        <v>4365</v>
      </c>
      <c r="D2064" s="46">
        <v>0.13507359602609001</v>
      </c>
      <c r="E2064" s="47">
        <f>SUMIF(Data!$E:$E,$C2064,Data!$AI:$AI)</f>
        <v>0</v>
      </c>
    </row>
    <row r="2065" spans="1:5" x14ac:dyDescent="0.25">
      <c r="A2065" s="46" t="s">
        <v>10851</v>
      </c>
      <c r="B2065" s="46" t="s">
        <v>120</v>
      </c>
      <c r="C2065" s="46" t="s">
        <v>5580</v>
      </c>
      <c r="D2065" s="46">
        <v>3.3127195083192E-2</v>
      </c>
      <c r="E2065" s="47">
        <f>SUMIF(Data!$E:$E,$C2065,Data!$AI:$AI)</f>
        <v>0</v>
      </c>
    </row>
    <row r="2066" spans="1:5" x14ac:dyDescent="0.25">
      <c r="A2066" s="46" t="s">
        <v>10851</v>
      </c>
      <c r="B2066" s="46" t="s">
        <v>120</v>
      </c>
      <c r="C2066" s="46" t="s">
        <v>4923</v>
      </c>
      <c r="D2066" s="46">
        <v>0.75408926070779103</v>
      </c>
      <c r="E2066" s="47">
        <f>SUMIF(Data!$E:$E,$C2066,Data!$AI:$AI)</f>
        <v>0</v>
      </c>
    </row>
    <row r="2067" spans="1:5" x14ac:dyDescent="0.25">
      <c r="A2067" s="46" t="s">
        <v>10851</v>
      </c>
      <c r="B2067" s="46" t="s">
        <v>120</v>
      </c>
      <c r="C2067" s="46" t="s">
        <v>5587</v>
      </c>
      <c r="D2067" s="46">
        <v>9.9908057857509992E-3</v>
      </c>
      <c r="E2067" s="47">
        <f>SUMIF(Data!$E:$E,$C2067,Data!$AI:$AI)</f>
        <v>0</v>
      </c>
    </row>
    <row r="2068" spans="1:5" x14ac:dyDescent="0.25">
      <c r="A2068" s="46" t="s">
        <v>10851</v>
      </c>
      <c r="B2068" s="46" t="s">
        <v>120</v>
      </c>
      <c r="C2068" s="46" t="s">
        <v>5218</v>
      </c>
      <c r="D2068" s="46">
        <v>0.28079996545760499</v>
      </c>
      <c r="E2068" s="47">
        <f>SUMIF(Data!$E:$E,$C2068,Data!$AI:$AI)</f>
        <v>0</v>
      </c>
    </row>
    <row r="2069" spans="1:5" x14ac:dyDescent="0.25">
      <c r="A2069" s="46" t="s">
        <v>10851</v>
      </c>
      <c r="B2069" s="46" t="s">
        <v>120</v>
      </c>
      <c r="C2069" s="46" t="s">
        <v>5225</v>
      </c>
      <c r="D2069" s="46">
        <v>0.115305670189096</v>
      </c>
      <c r="E2069" s="47">
        <f>SUMIF(Data!$E:$E,$C2069,Data!$AI:$AI)</f>
        <v>0</v>
      </c>
    </row>
    <row r="2070" spans="1:5" x14ac:dyDescent="0.25">
      <c r="A2070" s="46" t="s">
        <v>10851</v>
      </c>
      <c r="B2070" s="46" t="s">
        <v>120</v>
      </c>
      <c r="C2070" s="46" t="s">
        <v>5595</v>
      </c>
      <c r="D2070" s="46">
        <v>9.3368727279526997E-2</v>
      </c>
      <c r="E2070" s="47">
        <f>SUMIF(Data!$E:$E,$C2070,Data!$AI:$AI)</f>
        <v>0</v>
      </c>
    </row>
    <row r="2071" spans="1:5" x14ac:dyDescent="0.25">
      <c r="A2071" s="46" t="s">
        <v>10851</v>
      </c>
      <c r="B2071" s="46" t="s">
        <v>120</v>
      </c>
      <c r="C2071" s="46" t="s">
        <v>3898</v>
      </c>
      <c r="D2071" s="46">
        <v>0.64490734080951195</v>
      </c>
      <c r="E2071" s="47">
        <f>SUMIF(Data!$E:$E,$C2071,Data!$AI:$AI)</f>
        <v>0</v>
      </c>
    </row>
    <row r="2072" spans="1:5" x14ac:dyDescent="0.25">
      <c r="A2072" s="46" t="s">
        <v>10851</v>
      </c>
      <c r="B2072" s="46" t="s">
        <v>120</v>
      </c>
      <c r="C2072" s="46" t="s">
        <v>5238</v>
      </c>
      <c r="D2072" s="46">
        <v>0.27818957140292699</v>
      </c>
      <c r="E2072" s="47">
        <f>SUMIF(Data!$E:$E,$C2072,Data!$AI:$AI)</f>
        <v>0</v>
      </c>
    </row>
    <row r="2073" spans="1:5" x14ac:dyDescent="0.25">
      <c r="A2073" s="46" t="s">
        <v>10851</v>
      </c>
      <c r="B2073" s="46" t="s">
        <v>120</v>
      </c>
      <c r="C2073" s="46" t="s">
        <v>5602</v>
      </c>
      <c r="D2073" s="46">
        <v>0.14077882042335799</v>
      </c>
      <c r="E2073" s="47">
        <f>SUMIF(Data!$E:$E,$C2073,Data!$AI:$AI)</f>
        <v>0</v>
      </c>
    </row>
    <row r="2074" spans="1:5" x14ac:dyDescent="0.25">
      <c r="A2074" s="46" t="s">
        <v>10851</v>
      </c>
      <c r="B2074" s="46" t="s">
        <v>120</v>
      </c>
      <c r="C2074" s="46" t="s">
        <v>4935</v>
      </c>
      <c r="D2074" s="46">
        <v>0.859572991887538</v>
      </c>
      <c r="E2074" s="47">
        <f>SUMIF(Data!$E:$E,$C2074,Data!$AI:$AI)</f>
        <v>0</v>
      </c>
    </row>
    <row r="2075" spans="1:5" x14ac:dyDescent="0.25">
      <c r="A2075" s="46" t="s">
        <v>10851</v>
      </c>
      <c r="B2075" s="46" t="s">
        <v>120</v>
      </c>
      <c r="C2075" s="46" t="s">
        <v>5609</v>
      </c>
      <c r="D2075" s="46">
        <v>8.3293128472883005E-2</v>
      </c>
      <c r="E2075" s="47">
        <f>SUMIF(Data!$E:$E,$C2075,Data!$AI:$AI)</f>
        <v>0</v>
      </c>
    </row>
    <row r="2076" spans="1:5" x14ac:dyDescent="0.25">
      <c r="A2076" s="46" t="s">
        <v>10851</v>
      </c>
      <c r="B2076" s="46" t="s">
        <v>120</v>
      </c>
      <c r="C2076" s="46" t="s">
        <v>4644</v>
      </c>
      <c r="D2076" s="46">
        <v>1.8559316117082E-2</v>
      </c>
      <c r="E2076" s="47">
        <f>SUMIF(Data!$E:$E,$C2076,Data!$AI:$AI)</f>
        <v>0</v>
      </c>
    </row>
    <row r="2077" spans="1:5" x14ac:dyDescent="0.25">
      <c r="A2077" s="46" t="s">
        <v>10851</v>
      </c>
      <c r="B2077" s="46" t="s">
        <v>120</v>
      </c>
      <c r="C2077" s="46" t="s">
        <v>5622</v>
      </c>
      <c r="D2077" s="46">
        <v>3.8840476409109002E-2</v>
      </c>
      <c r="E2077" s="47">
        <f>SUMIF(Data!$E:$E,$C2077,Data!$AI:$AI)</f>
        <v>0</v>
      </c>
    </row>
    <row r="2078" spans="1:5" x14ac:dyDescent="0.25">
      <c r="A2078" s="46" t="s">
        <v>10851</v>
      </c>
      <c r="B2078" s="46" t="s">
        <v>120</v>
      </c>
      <c r="C2078" s="46" t="s">
        <v>5629</v>
      </c>
      <c r="D2078" s="46">
        <v>5.5100320988395998E-2</v>
      </c>
      <c r="E2078" s="47">
        <f>SUMIF(Data!$E:$E,$C2078,Data!$AI:$AI)</f>
        <v>0</v>
      </c>
    </row>
    <row r="2079" spans="1:5" x14ac:dyDescent="0.25">
      <c r="A2079" s="46" t="s">
        <v>10851</v>
      </c>
      <c r="B2079" s="46" t="s">
        <v>120</v>
      </c>
      <c r="C2079" s="46" t="s">
        <v>5245</v>
      </c>
      <c r="D2079" s="46">
        <v>0.113504232120604</v>
      </c>
      <c r="E2079" s="47">
        <f>SUMIF(Data!$E:$E,$C2079,Data!$AI:$AI)</f>
        <v>0</v>
      </c>
    </row>
    <row r="2080" spans="1:5" x14ac:dyDescent="0.25">
      <c r="A2080" s="46" t="s">
        <v>10851</v>
      </c>
      <c r="B2080" s="46" t="s">
        <v>120</v>
      </c>
      <c r="C2080" s="46" t="s">
        <v>4006</v>
      </c>
      <c r="D2080" s="46">
        <v>0.21952541806762901</v>
      </c>
      <c r="E2080" s="47">
        <f>SUMIF(Data!$E:$E,$C2080,Data!$AI:$AI)</f>
        <v>0</v>
      </c>
    </row>
    <row r="2081" spans="1:5" x14ac:dyDescent="0.25">
      <c r="A2081" s="46" t="s">
        <v>10851</v>
      </c>
      <c r="B2081" s="46" t="s">
        <v>120</v>
      </c>
      <c r="C2081" s="46" t="s">
        <v>4595</v>
      </c>
      <c r="D2081" s="46">
        <v>0.183423012132301</v>
      </c>
      <c r="E2081" s="47">
        <f>SUMIF(Data!$E:$E,$C2081,Data!$AI:$AI)</f>
        <v>0</v>
      </c>
    </row>
    <row r="2082" spans="1:5" x14ac:dyDescent="0.25">
      <c r="A2082" s="46" t="s">
        <v>10851</v>
      </c>
      <c r="B2082" s="46" t="s">
        <v>120</v>
      </c>
      <c r="C2082" s="46" t="s">
        <v>5636</v>
      </c>
      <c r="D2082" s="46">
        <v>8.3947665511706002E-2</v>
      </c>
      <c r="E2082" s="47">
        <f>SUMIF(Data!$E:$E,$C2082,Data!$AI:$AI)</f>
        <v>0</v>
      </c>
    </row>
    <row r="2083" spans="1:5" x14ac:dyDescent="0.25">
      <c r="A2083" s="46" t="s">
        <v>10851</v>
      </c>
      <c r="B2083" s="46" t="s">
        <v>120</v>
      </c>
      <c r="C2083" s="46" t="s">
        <v>1939</v>
      </c>
      <c r="D2083" s="46">
        <v>1.6208203253212401</v>
      </c>
      <c r="E2083" s="47">
        <f>SUMIF(Data!$E:$E,$C2083,Data!$AI:$AI)</f>
        <v>0</v>
      </c>
    </row>
    <row r="2084" spans="1:5" x14ac:dyDescent="0.25">
      <c r="A2084" s="46" t="s">
        <v>10851</v>
      </c>
      <c r="B2084" s="46" t="s">
        <v>120</v>
      </c>
      <c r="C2084" s="46" t="s">
        <v>4948</v>
      </c>
      <c r="D2084" s="46">
        <v>2.93697719787543</v>
      </c>
      <c r="E2084" s="47">
        <f>SUMIF(Data!$E:$E,$C2084,Data!$AI:$AI)</f>
        <v>0</v>
      </c>
    </row>
    <row r="2085" spans="1:5" x14ac:dyDescent="0.25">
      <c r="A2085" s="46" t="s">
        <v>10851</v>
      </c>
      <c r="B2085" s="46" t="s">
        <v>120</v>
      </c>
      <c r="C2085" s="46" t="s">
        <v>1466</v>
      </c>
      <c r="D2085" s="46">
        <v>1.31638808953885</v>
      </c>
      <c r="E2085" s="47">
        <f>SUMIF(Data!$E:$E,$C2085,Data!$AI:$AI)</f>
        <v>0</v>
      </c>
    </row>
    <row r="2086" spans="1:5" x14ac:dyDescent="0.25">
      <c r="A2086" s="46" t="s">
        <v>10851</v>
      </c>
      <c r="B2086" s="46" t="s">
        <v>120</v>
      </c>
      <c r="C2086" s="46" t="s">
        <v>5644</v>
      </c>
      <c r="D2086" s="46">
        <v>9.6686718458939992E-3</v>
      </c>
      <c r="E2086" s="47">
        <f>SUMIF(Data!$E:$E,$C2086,Data!$AI:$AI)</f>
        <v>0</v>
      </c>
    </row>
    <row r="2087" spans="1:5" x14ac:dyDescent="0.25">
      <c r="A2087" s="46" t="s">
        <v>10851</v>
      </c>
      <c r="B2087" s="46" t="s">
        <v>120</v>
      </c>
      <c r="C2087" s="46" t="s">
        <v>4961</v>
      </c>
      <c r="D2087" s="46">
        <v>0.71293019527484702</v>
      </c>
      <c r="E2087" s="47">
        <f>SUMIF(Data!$E:$E,$C2087,Data!$AI:$AI)</f>
        <v>0</v>
      </c>
    </row>
    <row r="2088" spans="1:5" x14ac:dyDescent="0.25">
      <c r="A2088" s="46" t="s">
        <v>10851</v>
      </c>
      <c r="B2088" s="46" t="s">
        <v>120</v>
      </c>
      <c r="C2088" s="46" t="s">
        <v>4510</v>
      </c>
      <c r="D2088" s="46">
        <v>5.2142939046161997E-2</v>
      </c>
      <c r="E2088" s="47">
        <f>SUMIF(Data!$E:$E,$C2088,Data!$AI:$AI)</f>
        <v>0</v>
      </c>
    </row>
    <row r="2089" spans="1:5" x14ac:dyDescent="0.25">
      <c r="A2089" s="46" t="s">
        <v>10851</v>
      </c>
      <c r="B2089" s="46" t="s">
        <v>120</v>
      </c>
      <c r="C2089" s="46" t="s">
        <v>5268</v>
      </c>
      <c r="D2089" s="46">
        <v>0.103983523680937</v>
      </c>
      <c r="E2089" s="47">
        <f>SUMIF(Data!$E:$E,$C2089,Data!$AI:$AI)</f>
        <v>0</v>
      </c>
    </row>
    <row r="2090" spans="1:5" x14ac:dyDescent="0.25">
      <c r="A2090" s="46" t="s">
        <v>10851</v>
      </c>
      <c r="B2090" s="46" t="s">
        <v>120</v>
      </c>
      <c r="C2090" s="46" t="s">
        <v>5274</v>
      </c>
      <c r="D2090" s="46">
        <v>0.33209507565272101</v>
      </c>
      <c r="E2090" s="47">
        <f>SUMIF(Data!$E:$E,$C2090,Data!$AI:$AI)</f>
        <v>0</v>
      </c>
    </row>
    <row r="2091" spans="1:5" x14ac:dyDescent="0.25">
      <c r="A2091" s="46" t="s">
        <v>10851</v>
      </c>
      <c r="B2091" s="46" t="s">
        <v>120</v>
      </c>
      <c r="C2091" s="46" t="s">
        <v>5281</v>
      </c>
      <c r="D2091" s="46">
        <v>0.30069863029435601</v>
      </c>
      <c r="E2091" s="47">
        <f>SUMIF(Data!$E:$E,$C2091,Data!$AI:$AI)</f>
        <v>0</v>
      </c>
    </row>
    <row r="2092" spans="1:5" x14ac:dyDescent="0.25">
      <c r="A2092" s="46" t="s">
        <v>10851</v>
      </c>
      <c r="B2092" s="46" t="s">
        <v>120</v>
      </c>
      <c r="C2092" s="46" t="s">
        <v>4968</v>
      </c>
      <c r="D2092" s="46">
        <v>0.61296146288603504</v>
      </c>
      <c r="E2092" s="47">
        <f>SUMIF(Data!$E:$E,$C2092,Data!$AI:$AI)</f>
        <v>0</v>
      </c>
    </row>
    <row r="2093" spans="1:5" x14ac:dyDescent="0.25">
      <c r="A2093" s="46" t="s">
        <v>10851</v>
      </c>
      <c r="B2093" s="46" t="s">
        <v>120</v>
      </c>
      <c r="C2093" s="46" t="s">
        <v>4975</v>
      </c>
      <c r="D2093" s="46">
        <v>0.70749266868494298</v>
      </c>
      <c r="E2093" s="47">
        <f>SUMIF(Data!$E:$E,$C2093,Data!$AI:$AI)</f>
        <v>0</v>
      </c>
    </row>
    <row r="2094" spans="1:5" x14ac:dyDescent="0.25">
      <c r="A2094" s="46" t="s">
        <v>10851</v>
      </c>
      <c r="B2094" s="46" t="s">
        <v>120</v>
      </c>
      <c r="C2094" s="46" t="s">
        <v>4567</v>
      </c>
      <c r="D2094" s="46">
        <v>4.4494847596722002E-2</v>
      </c>
      <c r="E2094" s="47">
        <f>SUMIF(Data!$E:$E,$C2094,Data!$AI:$AI)</f>
        <v>0</v>
      </c>
    </row>
    <row r="2095" spans="1:5" x14ac:dyDescent="0.25">
      <c r="A2095" s="46" t="s">
        <v>10851</v>
      </c>
      <c r="B2095" s="46" t="s">
        <v>120</v>
      </c>
      <c r="C2095" s="46" t="s">
        <v>5299</v>
      </c>
      <c r="D2095" s="46">
        <v>0.32453360133130599</v>
      </c>
      <c r="E2095" s="47">
        <f>SUMIF(Data!$E:$E,$C2095,Data!$AI:$AI)</f>
        <v>0</v>
      </c>
    </row>
    <row r="2096" spans="1:5" x14ac:dyDescent="0.25">
      <c r="A2096" s="46" t="s">
        <v>10851</v>
      </c>
      <c r="B2096" s="46" t="s">
        <v>120</v>
      </c>
      <c r="C2096" s="46" t="s">
        <v>6847</v>
      </c>
      <c r="D2096" s="46">
        <v>0.45653299919874801</v>
      </c>
      <c r="E2096" s="47">
        <f>SUMIF(Data!$E:$E,$C2096,Data!$AI:$AI)</f>
        <v>0</v>
      </c>
    </row>
    <row r="2097" spans="1:5" x14ac:dyDescent="0.25">
      <c r="A2097" s="46" t="s">
        <v>10851</v>
      </c>
      <c r="B2097" s="46" t="s">
        <v>120</v>
      </c>
      <c r="C2097" s="46" t="s">
        <v>5662</v>
      </c>
      <c r="D2097" s="46">
        <v>4.1052931076206001E-2</v>
      </c>
      <c r="E2097" s="47">
        <f>SUMIF(Data!$E:$E,$C2097,Data!$AI:$AI)</f>
        <v>0</v>
      </c>
    </row>
    <row r="2098" spans="1:5" x14ac:dyDescent="0.25">
      <c r="A2098" s="46" t="s">
        <v>10851</v>
      </c>
      <c r="B2098" s="46" t="s">
        <v>120</v>
      </c>
      <c r="C2098" s="46" t="s">
        <v>5668</v>
      </c>
      <c r="D2098" s="46">
        <v>0.14105975145702401</v>
      </c>
      <c r="E2098" s="47">
        <f>SUMIF(Data!$E:$E,$C2098,Data!$AI:$AI)</f>
        <v>0</v>
      </c>
    </row>
    <row r="2099" spans="1:5" x14ac:dyDescent="0.25">
      <c r="A2099" s="46" t="s">
        <v>10851</v>
      </c>
      <c r="B2099" s="46" t="s">
        <v>120</v>
      </c>
      <c r="C2099" s="46" t="s">
        <v>5675</v>
      </c>
      <c r="D2099" s="46">
        <v>5.5226165380621001E-2</v>
      </c>
      <c r="E2099" s="47">
        <f>SUMIF(Data!$E:$E,$C2099,Data!$AI:$AI)</f>
        <v>0</v>
      </c>
    </row>
    <row r="2100" spans="1:5" x14ac:dyDescent="0.25">
      <c r="A2100" s="46" t="s">
        <v>10851</v>
      </c>
      <c r="B2100" s="46" t="s">
        <v>120</v>
      </c>
      <c r="C2100" s="46" t="s">
        <v>5682</v>
      </c>
      <c r="D2100" s="46">
        <v>6.7121333547510001E-2</v>
      </c>
      <c r="E2100" s="47">
        <f>SUMIF(Data!$E:$E,$C2100,Data!$AI:$AI)</f>
        <v>0</v>
      </c>
    </row>
    <row r="2101" spans="1:5" x14ac:dyDescent="0.25">
      <c r="A2101" s="46" t="s">
        <v>10851</v>
      </c>
      <c r="B2101" s="46" t="s">
        <v>120</v>
      </c>
      <c r="C2101" s="46" t="s">
        <v>5306</v>
      </c>
      <c r="D2101" s="46">
        <v>0.19469077162526499</v>
      </c>
      <c r="E2101" s="47">
        <f>SUMIF(Data!$E:$E,$C2101,Data!$AI:$AI)</f>
        <v>0</v>
      </c>
    </row>
    <row r="2102" spans="1:5" x14ac:dyDescent="0.25">
      <c r="A2102" s="46" t="s">
        <v>10851</v>
      </c>
      <c r="B2102" s="46" t="s">
        <v>120</v>
      </c>
      <c r="C2102" s="46" t="s">
        <v>5313</v>
      </c>
      <c r="D2102" s="46">
        <v>8.5901016243996001E-2</v>
      </c>
      <c r="E2102" s="47">
        <f>SUMIF(Data!$E:$E,$C2102,Data!$AI:$AI)</f>
        <v>0</v>
      </c>
    </row>
    <row r="2103" spans="1:5" x14ac:dyDescent="0.25">
      <c r="A2103" s="46" t="s">
        <v>10851</v>
      </c>
      <c r="B2103" s="46" t="s">
        <v>120</v>
      </c>
      <c r="C2103" s="46" t="s">
        <v>5689</v>
      </c>
      <c r="D2103" s="46">
        <v>0.103837149336422</v>
      </c>
      <c r="E2103" s="47">
        <f>SUMIF(Data!$E:$E,$C2103,Data!$AI:$AI)</f>
        <v>0</v>
      </c>
    </row>
    <row r="2104" spans="1:5" x14ac:dyDescent="0.25">
      <c r="A2104" s="46" t="s">
        <v>10851</v>
      </c>
      <c r="B2104" s="46" t="s">
        <v>120</v>
      </c>
      <c r="C2104" s="46" t="s">
        <v>5696</v>
      </c>
      <c r="D2104" s="46">
        <v>0.13673011412032701</v>
      </c>
      <c r="E2104" s="47">
        <f>SUMIF(Data!$E:$E,$C2104,Data!$AI:$AI)</f>
        <v>0</v>
      </c>
    </row>
    <row r="2105" spans="1:5" x14ac:dyDescent="0.25">
      <c r="A2105" s="46" t="s">
        <v>10851</v>
      </c>
      <c r="B2105" s="46" t="s">
        <v>120</v>
      </c>
      <c r="C2105" s="46" t="s">
        <v>3171</v>
      </c>
      <c r="D2105" s="46">
        <v>0.23647680955119399</v>
      </c>
      <c r="E2105" s="47">
        <f>SUMIF(Data!$E:$E,$C2105,Data!$AI:$AI)</f>
        <v>0</v>
      </c>
    </row>
    <row r="2106" spans="1:5" x14ac:dyDescent="0.25">
      <c r="A2106" s="46" t="s">
        <v>10851</v>
      </c>
      <c r="B2106" s="46" t="s">
        <v>120</v>
      </c>
      <c r="C2106" s="46" t="s">
        <v>5703</v>
      </c>
      <c r="D2106" s="46">
        <v>0.13703324948188</v>
      </c>
      <c r="E2106" s="47">
        <f>SUMIF(Data!$E:$E,$C2106,Data!$AI:$AI)</f>
        <v>0</v>
      </c>
    </row>
    <row r="2107" spans="1:5" x14ac:dyDescent="0.25">
      <c r="A2107" s="46" t="s">
        <v>10851</v>
      </c>
      <c r="B2107" s="46" t="s">
        <v>120</v>
      </c>
      <c r="C2107" s="46" t="s">
        <v>5709</v>
      </c>
      <c r="D2107" s="46">
        <v>5.7704015979046001E-2</v>
      </c>
      <c r="E2107" s="47">
        <f>SUMIF(Data!$E:$E,$C2107,Data!$AI:$AI)</f>
        <v>0</v>
      </c>
    </row>
    <row r="2108" spans="1:5" x14ac:dyDescent="0.25">
      <c r="A2108" s="46" t="s">
        <v>10851</v>
      </c>
      <c r="B2108" s="46" t="s">
        <v>120</v>
      </c>
      <c r="C2108" s="46" t="s">
        <v>4517</v>
      </c>
      <c r="D2108" s="46">
        <v>0.34655609285387301</v>
      </c>
      <c r="E2108" s="47">
        <f>SUMIF(Data!$E:$E,$C2108,Data!$AI:$AI)</f>
        <v>0</v>
      </c>
    </row>
    <row r="2109" spans="1:5" x14ac:dyDescent="0.25">
      <c r="A2109" s="46" t="s">
        <v>10851</v>
      </c>
      <c r="B2109" s="46" t="s">
        <v>120</v>
      </c>
      <c r="C2109" s="46" t="s">
        <v>5332</v>
      </c>
      <c r="D2109" s="46">
        <v>0.31589690486845701</v>
      </c>
      <c r="E2109" s="47">
        <f>SUMIF(Data!$E:$E,$C2109,Data!$AI:$AI)</f>
        <v>0</v>
      </c>
    </row>
    <row r="2110" spans="1:5" x14ac:dyDescent="0.25">
      <c r="A2110" s="46" t="s">
        <v>10851</v>
      </c>
      <c r="B2110" s="46" t="s">
        <v>120</v>
      </c>
      <c r="C2110" s="46" t="s">
        <v>3578</v>
      </c>
      <c r="D2110" s="46">
        <v>6.8485550139501999E-2</v>
      </c>
      <c r="E2110" s="47">
        <f>SUMIF(Data!$E:$E,$C2110,Data!$AI:$AI)</f>
        <v>0</v>
      </c>
    </row>
    <row r="2111" spans="1:5" x14ac:dyDescent="0.25">
      <c r="A2111" s="46" t="s">
        <v>10851</v>
      </c>
      <c r="B2111" s="46" t="s">
        <v>120</v>
      </c>
      <c r="C2111" s="46" t="s">
        <v>5345</v>
      </c>
      <c r="D2111" s="46">
        <v>0.19514325396895499</v>
      </c>
      <c r="E2111" s="47">
        <f>SUMIF(Data!$E:$E,$C2111,Data!$AI:$AI)</f>
        <v>0</v>
      </c>
    </row>
    <row r="2112" spans="1:5" x14ac:dyDescent="0.25">
      <c r="A2112" s="46" t="s">
        <v>10851</v>
      </c>
      <c r="B2112" s="46" t="s">
        <v>120</v>
      </c>
      <c r="C2112" s="46" t="s">
        <v>5716</v>
      </c>
      <c r="D2112" s="46">
        <v>6.9621753079592993E-2</v>
      </c>
      <c r="E2112" s="47">
        <f>SUMIF(Data!$E:$E,$C2112,Data!$AI:$AI)</f>
        <v>0</v>
      </c>
    </row>
    <row r="2113" spans="1:5" x14ac:dyDescent="0.25">
      <c r="A2113" s="46" t="s">
        <v>10851</v>
      </c>
      <c r="B2113" s="46" t="s">
        <v>120</v>
      </c>
      <c r="C2113" s="46" t="s">
        <v>5351</v>
      </c>
      <c r="D2113" s="46">
        <v>0.10509809502463199</v>
      </c>
      <c r="E2113" s="47">
        <f>SUMIF(Data!$E:$E,$C2113,Data!$AI:$AI)</f>
        <v>0</v>
      </c>
    </row>
    <row r="2114" spans="1:5" x14ac:dyDescent="0.25">
      <c r="A2114" s="46" t="s">
        <v>10851</v>
      </c>
      <c r="B2114" s="46" t="s">
        <v>120</v>
      </c>
      <c r="C2114" s="46" t="s">
        <v>4602</v>
      </c>
      <c r="D2114" s="46">
        <v>0.51459760454125203</v>
      </c>
      <c r="E2114" s="47">
        <f>SUMIF(Data!$E:$E,$C2114,Data!$AI:$AI)</f>
        <v>0</v>
      </c>
    </row>
    <row r="2115" spans="1:5" x14ac:dyDescent="0.25">
      <c r="A2115" s="46" t="s">
        <v>10851</v>
      </c>
      <c r="B2115" s="46" t="s">
        <v>120</v>
      </c>
      <c r="C2115" s="46" t="s">
        <v>5722</v>
      </c>
      <c r="D2115" s="46">
        <v>4.4624082681330002E-2</v>
      </c>
      <c r="E2115" s="47">
        <f>SUMIF(Data!$E:$E,$C2115,Data!$AI:$AI)</f>
        <v>0</v>
      </c>
    </row>
    <row r="2116" spans="1:5" x14ac:dyDescent="0.25">
      <c r="A2116" s="46" t="s">
        <v>10851</v>
      </c>
      <c r="B2116" s="46" t="s">
        <v>120</v>
      </c>
      <c r="C2116" s="46" t="s">
        <v>5729</v>
      </c>
      <c r="D2116" s="46">
        <v>5.2270881557576997E-2</v>
      </c>
      <c r="E2116" s="47">
        <f>SUMIF(Data!$E:$E,$C2116,Data!$AI:$AI)</f>
        <v>0</v>
      </c>
    </row>
    <row r="2117" spans="1:5" x14ac:dyDescent="0.25">
      <c r="A2117" s="46" t="s">
        <v>10851</v>
      </c>
      <c r="B2117" s="46" t="s">
        <v>120</v>
      </c>
      <c r="C2117" s="46" t="s">
        <v>5738</v>
      </c>
      <c r="D2117" s="46">
        <v>6.3963519175297995E-2</v>
      </c>
      <c r="E2117" s="47">
        <f>SUMIF(Data!$E:$E,$C2117,Data!$AI:$AI)</f>
        <v>0</v>
      </c>
    </row>
    <row r="2118" spans="1:5" x14ac:dyDescent="0.25">
      <c r="A2118" s="46" t="s">
        <v>10851</v>
      </c>
      <c r="B2118" s="46" t="s">
        <v>120</v>
      </c>
      <c r="C2118" s="46" t="s">
        <v>5745</v>
      </c>
      <c r="D2118" s="46">
        <v>1.1990318839826999E-2</v>
      </c>
      <c r="E2118" s="47">
        <f>SUMIF(Data!$E:$E,$C2118,Data!$AI:$AI)</f>
        <v>0</v>
      </c>
    </row>
    <row r="2119" spans="1:5" x14ac:dyDescent="0.25">
      <c r="A2119" s="46" t="s">
        <v>10851</v>
      </c>
      <c r="B2119" s="46" t="s">
        <v>120</v>
      </c>
      <c r="C2119" s="46" t="s">
        <v>5752</v>
      </c>
      <c r="D2119" s="46">
        <v>0.14049720832871701</v>
      </c>
      <c r="E2119" s="47">
        <f>SUMIF(Data!$E:$E,$C2119,Data!$AI:$AI)</f>
        <v>0</v>
      </c>
    </row>
    <row r="2120" spans="1:5" x14ac:dyDescent="0.25">
      <c r="A2120" s="46" t="s">
        <v>10851</v>
      </c>
      <c r="B2120" s="46" t="s">
        <v>120</v>
      </c>
      <c r="C2120" s="46" t="s">
        <v>5759</v>
      </c>
      <c r="D2120" s="46">
        <v>7.2694005899504005E-2</v>
      </c>
      <c r="E2120" s="47">
        <f>SUMIF(Data!$E:$E,$C2120,Data!$AI:$AI)</f>
        <v>0</v>
      </c>
    </row>
    <row r="2121" spans="1:5" x14ac:dyDescent="0.25">
      <c r="A2121" s="46" t="s">
        <v>10851</v>
      </c>
      <c r="B2121" s="46" t="s">
        <v>120</v>
      </c>
      <c r="C2121" s="46" t="s">
        <v>5358</v>
      </c>
      <c r="D2121" s="46">
        <v>7.0615264654518006E-2</v>
      </c>
      <c r="E2121" s="47">
        <f>SUMIF(Data!$E:$E,$C2121,Data!$AI:$AI)</f>
        <v>0</v>
      </c>
    </row>
    <row r="2122" spans="1:5" x14ac:dyDescent="0.25">
      <c r="A2122" s="46" t="s">
        <v>10851</v>
      </c>
      <c r="B2122" s="46" t="s">
        <v>120</v>
      </c>
      <c r="C2122" s="46" t="s">
        <v>5766</v>
      </c>
      <c r="D2122" s="46">
        <v>4.1881160768210003E-2</v>
      </c>
      <c r="E2122" s="47">
        <f>SUMIF(Data!$E:$E,$C2122,Data!$AI:$AI)</f>
        <v>0</v>
      </c>
    </row>
    <row r="2123" spans="1:5" x14ac:dyDescent="0.25">
      <c r="A2123" s="46" t="s">
        <v>10851</v>
      </c>
      <c r="B2123" s="46" t="s">
        <v>120</v>
      </c>
      <c r="C2123" s="46" t="s">
        <v>4453</v>
      </c>
      <c r="D2123" s="46">
        <v>9.9781825843919994E-2</v>
      </c>
      <c r="E2123" s="47">
        <f>SUMIF(Data!$E:$E,$C2123,Data!$AI:$AI)</f>
        <v>0</v>
      </c>
    </row>
    <row r="2124" spans="1:5" x14ac:dyDescent="0.25">
      <c r="A2124" s="46" t="s">
        <v>10851</v>
      </c>
      <c r="B2124" s="46" t="s">
        <v>120</v>
      </c>
      <c r="C2124" s="46" t="s">
        <v>5779</v>
      </c>
      <c r="D2124" s="46">
        <v>3.5873397593073002E-2</v>
      </c>
      <c r="E2124" s="47">
        <f>SUMIF(Data!$E:$E,$C2124,Data!$AI:$AI)</f>
        <v>0</v>
      </c>
    </row>
    <row r="2125" spans="1:5" x14ac:dyDescent="0.25">
      <c r="A2125" s="46" t="s">
        <v>10851</v>
      </c>
      <c r="B2125" s="46" t="s">
        <v>120</v>
      </c>
      <c r="C2125" s="46" t="s">
        <v>1777</v>
      </c>
      <c r="D2125" s="46">
        <v>8.6557422603149997E-2</v>
      </c>
      <c r="E2125" s="47">
        <f>SUMIF(Data!$E:$E,$C2125,Data!$AI:$AI)</f>
        <v>0</v>
      </c>
    </row>
    <row r="2126" spans="1:5" x14ac:dyDescent="0.25">
      <c r="A2126" s="46" t="s">
        <v>10851</v>
      </c>
      <c r="B2126" s="46" t="s">
        <v>120</v>
      </c>
      <c r="C2126" s="46" t="s">
        <v>4610</v>
      </c>
      <c r="D2126" s="46">
        <v>0.19130854769908601</v>
      </c>
      <c r="E2126" s="47">
        <f>SUMIF(Data!$E:$E,$C2126,Data!$AI:$AI)</f>
        <v>0</v>
      </c>
    </row>
    <row r="2127" spans="1:5" x14ac:dyDescent="0.25">
      <c r="A2127" s="46" t="s">
        <v>10851</v>
      </c>
      <c r="B2127" s="46" t="s">
        <v>120</v>
      </c>
      <c r="C2127" s="46" t="s">
        <v>5792</v>
      </c>
      <c r="D2127" s="46">
        <v>8.848293764055E-3</v>
      </c>
      <c r="E2127" s="47">
        <f>SUMIF(Data!$E:$E,$C2127,Data!$AI:$AI)</f>
        <v>0</v>
      </c>
    </row>
    <row r="2128" spans="1:5" x14ac:dyDescent="0.25">
      <c r="A2128" s="46" t="s">
        <v>10851</v>
      </c>
      <c r="B2128" s="46" t="s">
        <v>120</v>
      </c>
      <c r="C2128" s="46" t="s">
        <v>5799</v>
      </c>
      <c r="D2128" s="46">
        <v>1.5594091432569001E-2</v>
      </c>
      <c r="E2128" s="47">
        <f>SUMIF(Data!$E:$E,$C2128,Data!$AI:$AI)</f>
        <v>0</v>
      </c>
    </row>
    <row r="2129" spans="1:5" x14ac:dyDescent="0.25">
      <c r="A2129" s="46" t="s">
        <v>10851</v>
      </c>
      <c r="B2129" s="46" t="s">
        <v>120</v>
      </c>
      <c r="C2129" s="46" t="s">
        <v>4981</v>
      </c>
      <c r="D2129" s="46">
        <v>1.0621870108464799</v>
      </c>
      <c r="E2129" s="47">
        <f>SUMIF(Data!$E:$E,$C2129,Data!$AI:$AI)</f>
        <v>0</v>
      </c>
    </row>
    <row r="2130" spans="1:5" x14ac:dyDescent="0.25">
      <c r="A2130" s="46" t="s">
        <v>10851</v>
      </c>
      <c r="B2130" s="46" t="s">
        <v>120</v>
      </c>
      <c r="C2130" s="46" t="s">
        <v>5365</v>
      </c>
      <c r="D2130" s="46">
        <v>8.8857094458465E-2</v>
      </c>
      <c r="E2130" s="47">
        <f>SUMIF(Data!$E:$E,$C2130,Data!$AI:$AI)</f>
        <v>0</v>
      </c>
    </row>
    <row r="2131" spans="1:5" x14ac:dyDescent="0.25">
      <c r="A2131" s="46" t="s">
        <v>10851</v>
      </c>
      <c r="B2131" s="46" t="s">
        <v>120</v>
      </c>
      <c r="C2131" s="46" t="s">
        <v>4988</v>
      </c>
      <c r="D2131" s="46">
        <v>0.60832472795373105</v>
      </c>
      <c r="E2131" s="47">
        <f>SUMIF(Data!$E:$E,$C2131,Data!$AI:$AI)</f>
        <v>0</v>
      </c>
    </row>
    <row r="2132" spans="1:5" x14ac:dyDescent="0.25">
      <c r="A2132" s="46" t="s">
        <v>10851</v>
      </c>
      <c r="B2132" s="46" t="s">
        <v>120</v>
      </c>
      <c r="C2132" s="46" t="s">
        <v>4995</v>
      </c>
      <c r="D2132" s="46">
        <v>1.6692573330746501</v>
      </c>
      <c r="E2132" s="47">
        <f>SUMIF(Data!$E:$E,$C2132,Data!$AI:$AI)</f>
        <v>0</v>
      </c>
    </row>
    <row r="2133" spans="1:5" x14ac:dyDescent="0.25">
      <c r="A2133" s="46" t="s">
        <v>10851</v>
      </c>
      <c r="B2133" s="46" t="s">
        <v>120</v>
      </c>
      <c r="C2133" s="46" t="s">
        <v>5372</v>
      </c>
      <c r="D2133" s="46">
        <v>0.12768026793291801</v>
      </c>
      <c r="E2133" s="47">
        <f>SUMIF(Data!$E:$E,$C2133,Data!$AI:$AI)</f>
        <v>0</v>
      </c>
    </row>
    <row r="2134" spans="1:5" x14ac:dyDescent="0.25">
      <c r="A2134" s="46" t="s">
        <v>10851</v>
      </c>
      <c r="B2134" s="46" t="s">
        <v>120</v>
      </c>
      <c r="C2134" s="46" t="s">
        <v>6335</v>
      </c>
      <c r="D2134" s="46">
        <v>0.183755269032012</v>
      </c>
      <c r="E2134" s="47">
        <f>SUMIF(Data!$E:$E,$C2134,Data!$AI:$AI)</f>
        <v>0</v>
      </c>
    </row>
    <row r="2135" spans="1:5" x14ac:dyDescent="0.25">
      <c r="A2135" s="46" t="s">
        <v>10851</v>
      </c>
      <c r="B2135" s="46" t="s">
        <v>120</v>
      </c>
      <c r="C2135" s="46" t="s">
        <v>5379</v>
      </c>
      <c r="D2135" s="46">
        <v>0.122462078559937</v>
      </c>
      <c r="E2135" s="47">
        <f>SUMIF(Data!$E:$E,$C2135,Data!$AI:$AI)</f>
        <v>0</v>
      </c>
    </row>
    <row r="2136" spans="1:5" x14ac:dyDescent="0.25">
      <c r="A2136" s="46" t="s">
        <v>10851</v>
      </c>
      <c r="B2136" s="46" t="s">
        <v>120</v>
      </c>
      <c r="C2136" s="46" t="s">
        <v>5386</v>
      </c>
      <c r="D2136" s="46">
        <v>0.21127418378575499</v>
      </c>
      <c r="E2136" s="47">
        <f>SUMIF(Data!$E:$E,$C2136,Data!$AI:$AI)</f>
        <v>0</v>
      </c>
    </row>
    <row r="2137" spans="1:5" x14ac:dyDescent="0.25">
      <c r="A2137" s="46" t="s">
        <v>10851</v>
      </c>
      <c r="B2137" s="46" t="s">
        <v>120</v>
      </c>
      <c r="C2137" s="46" t="s">
        <v>5806</v>
      </c>
      <c r="D2137" s="46">
        <v>4.6172250507359999E-2</v>
      </c>
      <c r="E2137" s="47">
        <f>SUMIF(Data!$E:$E,$C2137,Data!$AI:$AI)</f>
        <v>0</v>
      </c>
    </row>
    <row r="2138" spans="1:5" x14ac:dyDescent="0.25">
      <c r="A2138" s="46" t="s">
        <v>10851</v>
      </c>
      <c r="B2138" s="46" t="s">
        <v>120</v>
      </c>
      <c r="C2138" s="46" t="s">
        <v>5813</v>
      </c>
      <c r="D2138" s="46">
        <v>6.9386914633047997E-2</v>
      </c>
      <c r="E2138" s="47">
        <f>SUMIF(Data!$E:$E,$C2138,Data!$AI:$AI)</f>
        <v>0</v>
      </c>
    </row>
    <row r="2139" spans="1:5" x14ac:dyDescent="0.25">
      <c r="A2139" s="46" t="s">
        <v>10851</v>
      </c>
      <c r="B2139" s="46" t="s">
        <v>120</v>
      </c>
      <c r="C2139" s="46" t="s">
        <v>5002</v>
      </c>
      <c r="D2139" s="46">
        <v>0.78930915376639399</v>
      </c>
      <c r="E2139" s="47">
        <f>SUMIF(Data!$E:$E,$C2139,Data!$AI:$AI)</f>
        <v>0</v>
      </c>
    </row>
    <row r="2140" spans="1:5" x14ac:dyDescent="0.25">
      <c r="A2140" s="46" t="s">
        <v>10851</v>
      </c>
      <c r="B2140" s="46" t="s">
        <v>120</v>
      </c>
      <c r="C2140" s="46" t="s">
        <v>5820</v>
      </c>
      <c r="D2140" s="46">
        <v>5.407780172631E-2</v>
      </c>
      <c r="E2140" s="47">
        <f>SUMIF(Data!$E:$E,$C2140,Data!$AI:$AI)</f>
        <v>0</v>
      </c>
    </row>
    <row r="2141" spans="1:5" x14ac:dyDescent="0.25">
      <c r="A2141" s="46" t="s">
        <v>10851</v>
      </c>
      <c r="B2141" s="46" t="s">
        <v>120</v>
      </c>
      <c r="C2141" s="46" t="s">
        <v>5827</v>
      </c>
      <c r="D2141" s="46">
        <v>2.1212801993145999E-2</v>
      </c>
      <c r="E2141" s="47">
        <f>SUMIF(Data!$E:$E,$C2141,Data!$AI:$AI)</f>
        <v>0</v>
      </c>
    </row>
    <row r="2142" spans="1:5" x14ac:dyDescent="0.25">
      <c r="A2142" s="46" t="s">
        <v>10851</v>
      </c>
      <c r="B2142" s="46" t="s">
        <v>120</v>
      </c>
      <c r="C2142" s="46" t="s">
        <v>5009</v>
      </c>
      <c r="D2142" s="46">
        <v>0.63574880516195698</v>
      </c>
      <c r="E2142" s="47">
        <f>SUMIF(Data!$E:$E,$C2142,Data!$AI:$AI)</f>
        <v>0</v>
      </c>
    </row>
    <row r="2143" spans="1:5" x14ac:dyDescent="0.25">
      <c r="A2143" s="46" t="s">
        <v>10851</v>
      </c>
      <c r="B2143" s="46" t="s">
        <v>120</v>
      </c>
      <c r="C2143" s="46" t="s">
        <v>5833</v>
      </c>
      <c r="D2143" s="46">
        <v>3.4452067957255E-2</v>
      </c>
      <c r="E2143" s="47">
        <f>SUMIF(Data!$E:$E,$C2143,Data!$AI:$AI)</f>
        <v>0</v>
      </c>
    </row>
    <row r="2144" spans="1:5" x14ac:dyDescent="0.25">
      <c r="A2144" s="46" t="s">
        <v>10851</v>
      </c>
      <c r="B2144" s="46" t="s">
        <v>120</v>
      </c>
      <c r="C2144" s="46" t="s">
        <v>5393</v>
      </c>
      <c r="D2144" s="46">
        <v>1.4569642819964E-2</v>
      </c>
      <c r="E2144" s="47">
        <f>SUMIF(Data!$E:$E,$C2144,Data!$AI:$AI)</f>
        <v>0</v>
      </c>
    </row>
    <row r="2145" spans="1:5" x14ac:dyDescent="0.25">
      <c r="A2145" s="46" t="s">
        <v>10851</v>
      </c>
      <c r="B2145" s="46" t="s">
        <v>120</v>
      </c>
      <c r="C2145" s="46" t="s">
        <v>5399</v>
      </c>
      <c r="D2145" s="46">
        <v>0.15284493128824</v>
      </c>
      <c r="E2145" s="47">
        <f>SUMIF(Data!$E:$E,$C2145,Data!$AI:$AI)</f>
        <v>0</v>
      </c>
    </row>
    <row r="2146" spans="1:5" x14ac:dyDescent="0.25">
      <c r="A2146" s="46" t="s">
        <v>10851</v>
      </c>
      <c r="B2146" s="46" t="s">
        <v>120</v>
      </c>
      <c r="C2146" s="46" t="s">
        <v>5016</v>
      </c>
      <c r="D2146" s="46">
        <v>1.4753326340931301</v>
      </c>
      <c r="E2146" s="47">
        <f>SUMIF(Data!$E:$E,$C2146,Data!$AI:$AI)</f>
        <v>0</v>
      </c>
    </row>
    <row r="2147" spans="1:5" x14ac:dyDescent="0.25">
      <c r="A2147" s="46" t="s">
        <v>10851</v>
      </c>
      <c r="B2147" s="46" t="s">
        <v>120</v>
      </c>
      <c r="C2147" s="46" t="s">
        <v>5406</v>
      </c>
      <c r="D2147" s="46">
        <v>0.48840218330580898</v>
      </c>
      <c r="E2147" s="47">
        <f>SUMIF(Data!$E:$E,$C2147,Data!$AI:$AI)</f>
        <v>0</v>
      </c>
    </row>
    <row r="2148" spans="1:5" x14ac:dyDescent="0.25">
      <c r="A2148" s="46" t="s">
        <v>10851</v>
      </c>
      <c r="B2148" s="46" t="s">
        <v>120</v>
      </c>
      <c r="C2148" s="46" t="s">
        <v>5023</v>
      </c>
      <c r="D2148" s="46">
        <v>1.9145208780261</v>
      </c>
      <c r="E2148" s="47">
        <f>SUMIF(Data!$E:$E,$C2148,Data!$AI:$AI)</f>
        <v>0</v>
      </c>
    </row>
    <row r="2149" spans="1:5" x14ac:dyDescent="0.25">
      <c r="A2149" s="46" t="s">
        <v>10851</v>
      </c>
      <c r="B2149" s="46" t="s">
        <v>120</v>
      </c>
      <c r="C2149" s="46" t="s">
        <v>6747</v>
      </c>
      <c r="D2149" s="46">
        <v>0.20753927942219</v>
      </c>
      <c r="E2149" s="47">
        <f>SUMIF(Data!$E:$E,$C2149,Data!$AI:$AI)</f>
        <v>0</v>
      </c>
    </row>
    <row r="2150" spans="1:5" x14ac:dyDescent="0.25">
      <c r="A2150" s="46" t="s">
        <v>10852</v>
      </c>
      <c r="B2150" s="46" t="s">
        <v>120</v>
      </c>
      <c r="C2150" s="46" t="s">
        <v>5414</v>
      </c>
      <c r="D2150" s="46">
        <v>2.4E-2</v>
      </c>
      <c r="E2150" s="47">
        <f>SUMIF(Data!$E:$E,$C2150,Data!$AI:$AI)</f>
        <v>0</v>
      </c>
    </row>
    <row r="2151" spans="1:5" x14ac:dyDescent="0.25">
      <c r="A2151" s="46" t="s">
        <v>10852</v>
      </c>
      <c r="B2151" s="46" t="s">
        <v>120</v>
      </c>
      <c r="C2151" s="46" t="s">
        <v>5421</v>
      </c>
      <c r="D2151" s="46">
        <v>0.17299999999999999</v>
      </c>
      <c r="E2151" s="47">
        <f>SUMIF(Data!$E:$E,$C2151,Data!$AI:$AI)</f>
        <v>0</v>
      </c>
    </row>
    <row r="2152" spans="1:5" x14ac:dyDescent="0.25">
      <c r="A2152" s="46" t="s">
        <v>10852</v>
      </c>
      <c r="B2152" s="46" t="s">
        <v>120</v>
      </c>
      <c r="C2152" s="46" t="s">
        <v>4461</v>
      </c>
      <c r="D2152" s="46">
        <v>0.21099999999999999</v>
      </c>
      <c r="E2152" s="47">
        <f>SUMIF(Data!$E:$E,$C2152,Data!$AI:$AI)</f>
        <v>0</v>
      </c>
    </row>
    <row r="2153" spans="1:5" x14ac:dyDescent="0.25">
      <c r="A2153" s="46" t="s">
        <v>10852</v>
      </c>
      <c r="B2153" s="46" t="s">
        <v>120</v>
      </c>
      <c r="C2153" s="46" t="s">
        <v>5428</v>
      </c>
      <c r="D2153" s="46">
        <v>4.2999999999999997E-2</v>
      </c>
      <c r="E2153" s="47">
        <f>SUMIF(Data!$E:$E,$C2153,Data!$AI:$AI)</f>
        <v>0</v>
      </c>
    </row>
    <row r="2154" spans="1:5" x14ac:dyDescent="0.25">
      <c r="A2154" s="46" t="s">
        <v>10852</v>
      </c>
      <c r="B2154" s="46" t="s">
        <v>120</v>
      </c>
      <c r="C2154" s="46" t="s">
        <v>4468</v>
      </c>
      <c r="D2154" s="46">
        <v>6.0999999999999999E-2</v>
      </c>
      <c r="E2154" s="47">
        <f>SUMIF(Data!$E:$E,$C2154,Data!$AI:$AI)</f>
        <v>0</v>
      </c>
    </row>
    <row r="2155" spans="1:5" x14ac:dyDescent="0.25">
      <c r="A2155" s="46" t="s">
        <v>10852</v>
      </c>
      <c r="B2155" s="46" t="s">
        <v>120</v>
      </c>
      <c r="C2155" s="46" t="s">
        <v>4575</v>
      </c>
      <c r="D2155" s="46">
        <v>2.786</v>
      </c>
      <c r="E2155" s="47">
        <f>SUMIF(Data!$E:$E,$C2155,Data!$AI:$AI)</f>
        <v>0</v>
      </c>
    </row>
    <row r="2156" spans="1:5" x14ac:dyDescent="0.25">
      <c r="A2156" s="46" t="s">
        <v>10852</v>
      </c>
      <c r="B2156" s="46" t="s">
        <v>120</v>
      </c>
      <c r="C2156" s="46" t="s">
        <v>2014</v>
      </c>
      <c r="D2156" s="46">
        <v>0.44500000000000001</v>
      </c>
      <c r="E2156" s="47">
        <f>SUMIF(Data!$E:$E,$C2156,Data!$AI:$AI)</f>
        <v>0</v>
      </c>
    </row>
    <row r="2157" spans="1:5" x14ac:dyDescent="0.25">
      <c r="A2157" s="46" t="s">
        <v>10852</v>
      </c>
      <c r="B2157" s="46" t="s">
        <v>120</v>
      </c>
      <c r="C2157" s="46" t="s">
        <v>4489</v>
      </c>
      <c r="D2157" s="46">
        <v>0.57899999999999996</v>
      </c>
      <c r="E2157" s="47">
        <f>SUMIF(Data!$E:$E,$C2157,Data!$AI:$AI)</f>
        <v>0</v>
      </c>
    </row>
    <row r="2158" spans="1:5" x14ac:dyDescent="0.25">
      <c r="A2158" s="46" t="s">
        <v>10852</v>
      </c>
      <c r="B2158" s="46" t="s">
        <v>120</v>
      </c>
      <c r="C2158" s="46" t="s">
        <v>4765</v>
      </c>
      <c r="D2158" s="46">
        <v>2.0590000000000002</v>
      </c>
      <c r="E2158" s="47">
        <f>SUMIF(Data!$E:$E,$C2158,Data!$AI:$AI)</f>
        <v>0</v>
      </c>
    </row>
    <row r="2159" spans="1:5" x14ac:dyDescent="0.25">
      <c r="A2159" s="46" t="s">
        <v>10852</v>
      </c>
      <c r="B2159" s="46" t="s">
        <v>120</v>
      </c>
      <c r="C2159" s="46" t="s">
        <v>4582</v>
      </c>
      <c r="D2159" s="46">
        <v>0.23300000000000001</v>
      </c>
      <c r="E2159" s="47">
        <f>SUMIF(Data!$E:$E,$C2159,Data!$AI:$AI)</f>
        <v>0</v>
      </c>
    </row>
    <row r="2160" spans="1:5" x14ac:dyDescent="0.25">
      <c r="A2160" s="46" t="s">
        <v>10852</v>
      </c>
      <c r="B2160" s="46" t="s">
        <v>120</v>
      </c>
      <c r="C2160" s="46" t="s">
        <v>5441</v>
      </c>
      <c r="D2160" s="46">
        <v>0.14499999999999999</v>
      </c>
      <c r="E2160" s="47">
        <f>SUMIF(Data!$E:$E,$C2160,Data!$AI:$AI)</f>
        <v>0</v>
      </c>
    </row>
    <row r="2161" spans="1:5" x14ac:dyDescent="0.25">
      <c r="A2161" s="46" t="s">
        <v>10852</v>
      </c>
      <c r="B2161" s="46" t="s">
        <v>120</v>
      </c>
      <c r="C2161" s="46" t="s">
        <v>5048</v>
      </c>
      <c r="D2161" s="46">
        <v>0.60799999999999998</v>
      </c>
      <c r="E2161" s="47">
        <f>SUMIF(Data!$E:$E,$C2161,Data!$AI:$AI)</f>
        <v>0</v>
      </c>
    </row>
    <row r="2162" spans="1:5" x14ac:dyDescent="0.25">
      <c r="A2162" s="46" t="s">
        <v>10852</v>
      </c>
      <c r="B2162" s="46" t="s">
        <v>120</v>
      </c>
      <c r="C2162" s="46" t="s">
        <v>5055</v>
      </c>
      <c r="D2162" s="46">
        <v>0.32800000000000001</v>
      </c>
      <c r="E2162" s="47">
        <f>SUMIF(Data!$E:$E,$C2162,Data!$AI:$AI)</f>
        <v>0</v>
      </c>
    </row>
    <row r="2163" spans="1:5" x14ac:dyDescent="0.25">
      <c r="A2163" s="46" t="s">
        <v>10852</v>
      </c>
      <c r="B2163" s="46" t="s">
        <v>120</v>
      </c>
      <c r="C2163" s="46" t="s">
        <v>5062</v>
      </c>
      <c r="D2163" s="46">
        <v>0.54800000000000004</v>
      </c>
      <c r="E2163" s="47">
        <f>SUMIF(Data!$E:$E,$C2163,Data!$AI:$AI)</f>
        <v>0</v>
      </c>
    </row>
    <row r="2164" spans="1:5" x14ac:dyDescent="0.25">
      <c r="A2164" s="46" t="s">
        <v>10852</v>
      </c>
      <c r="B2164" s="46" t="s">
        <v>120</v>
      </c>
      <c r="C2164" s="46" t="s">
        <v>4589</v>
      </c>
      <c r="D2164" s="46">
        <v>1.6850000000000001</v>
      </c>
      <c r="E2164" s="47">
        <f>SUMIF(Data!$E:$E,$C2164,Data!$AI:$AI)</f>
        <v>0</v>
      </c>
    </row>
    <row r="2165" spans="1:5" x14ac:dyDescent="0.25">
      <c r="A2165" s="46" t="s">
        <v>10852</v>
      </c>
      <c r="B2165" s="46" t="s">
        <v>120</v>
      </c>
      <c r="C2165" s="46" t="s">
        <v>5448</v>
      </c>
      <c r="D2165" s="46">
        <v>3.7999999999999999E-2</v>
      </c>
      <c r="E2165" s="47">
        <f>SUMIF(Data!$E:$E,$C2165,Data!$AI:$AI)</f>
        <v>0</v>
      </c>
    </row>
    <row r="2166" spans="1:5" x14ac:dyDescent="0.25">
      <c r="A2166" s="46" t="s">
        <v>10852</v>
      </c>
      <c r="B2166" s="46" t="s">
        <v>120</v>
      </c>
      <c r="C2166" s="46" t="s">
        <v>4779</v>
      </c>
      <c r="D2166" s="46">
        <v>1.071</v>
      </c>
      <c r="E2166" s="47">
        <f>SUMIF(Data!$E:$E,$C2166,Data!$AI:$AI)</f>
        <v>0</v>
      </c>
    </row>
    <row r="2167" spans="1:5" x14ac:dyDescent="0.25">
      <c r="A2167" s="46" t="s">
        <v>10852</v>
      </c>
      <c r="B2167" s="46" t="s">
        <v>120</v>
      </c>
      <c r="C2167" s="46" t="s">
        <v>945</v>
      </c>
      <c r="D2167" s="46">
        <v>5.1999999999999998E-2</v>
      </c>
      <c r="E2167" s="47">
        <f>SUMIF(Data!$E:$E,$C2167,Data!$AI:$AI)</f>
        <v>0</v>
      </c>
    </row>
    <row r="2168" spans="1:5" x14ac:dyDescent="0.25">
      <c r="A2168" s="46" t="s">
        <v>10852</v>
      </c>
      <c r="B2168" s="46" t="s">
        <v>120</v>
      </c>
      <c r="C2168" s="46" t="s">
        <v>5454</v>
      </c>
      <c r="D2168" s="46">
        <v>0.08</v>
      </c>
      <c r="E2168" s="47">
        <f>SUMIF(Data!$E:$E,$C2168,Data!$AI:$AI)</f>
        <v>0</v>
      </c>
    </row>
    <row r="2169" spans="1:5" x14ac:dyDescent="0.25">
      <c r="A2169" s="46" t="s">
        <v>10852</v>
      </c>
      <c r="B2169" s="46" t="s">
        <v>120</v>
      </c>
      <c r="C2169" s="46" t="s">
        <v>5069</v>
      </c>
      <c r="D2169" s="46">
        <v>0.35399999999999998</v>
      </c>
      <c r="E2169" s="47">
        <f>SUMIF(Data!$E:$E,$C2169,Data!$AI:$AI)</f>
        <v>0</v>
      </c>
    </row>
    <row r="2170" spans="1:5" x14ac:dyDescent="0.25">
      <c r="A2170" s="46" t="s">
        <v>10852</v>
      </c>
      <c r="B2170" s="46" t="s">
        <v>120</v>
      </c>
      <c r="C2170" s="46" t="s">
        <v>4786</v>
      </c>
      <c r="D2170" s="46">
        <v>0.94</v>
      </c>
      <c r="E2170" s="47">
        <f>SUMIF(Data!$E:$E,$C2170,Data!$AI:$AI)</f>
        <v>0</v>
      </c>
    </row>
    <row r="2171" spans="1:5" x14ac:dyDescent="0.25">
      <c r="A2171" s="46" t="s">
        <v>10852</v>
      </c>
      <c r="B2171" s="46" t="s">
        <v>120</v>
      </c>
      <c r="C2171" s="46" t="s">
        <v>5460</v>
      </c>
      <c r="D2171" s="46">
        <v>0.14399999999999999</v>
      </c>
      <c r="E2171" s="47">
        <f>SUMIF(Data!$E:$E,$C2171,Data!$AI:$AI)</f>
        <v>0</v>
      </c>
    </row>
    <row r="2172" spans="1:5" x14ac:dyDescent="0.25">
      <c r="A2172" s="46" t="s">
        <v>10852</v>
      </c>
      <c r="B2172" s="46" t="s">
        <v>120</v>
      </c>
      <c r="C2172" s="46" t="s">
        <v>3202</v>
      </c>
      <c r="D2172" s="46">
        <v>0.93300000000000005</v>
      </c>
      <c r="E2172" s="47">
        <f>SUMIF(Data!$E:$E,$C2172,Data!$AI:$AI)</f>
        <v>0</v>
      </c>
    </row>
    <row r="2173" spans="1:5" x14ac:dyDescent="0.25">
      <c r="A2173" s="46" t="s">
        <v>10852</v>
      </c>
      <c r="B2173" s="46" t="s">
        <v>120</v>
      </c>
      <c r="C2173" s="46" t="s">
        <v>5467</v>
      </c>
      <c r="D2173" s="46">
        <v>0.215</v>
      </c>
      <c r="E2173" s="47">
        <f>SUMIF(Data!$E:$E,$C2173,Data!$AI:$AI)</f>
        <v>0</v>
      </c>
    </row>
    <row r="2174" spans="1:5" x14ac:dyDescent="0.25">
      <c r="A2174" s="46" t="s">
        <v>10852</v>
      </c>
      <c r="B2174" s="46" t="s">
        <v>120</v>
      </c>
      <c r="C2174" s="46" t="s">
        <v>5474</v>
      </c>
      <c r="D2174" s="46">
        <v>9.4E-2</v>
      </c>
      <c r="E2174" s="47">
        <f>SUMIF(Data!$E:$E,$C2174,Data!$AI:$AI)</f>
        <v>0</v>
      </c>
    </row>
    <row r="2175" spans="1:5" x14ac:dyDescent="0.25">
      <c r="A2175" s="46" t="s">
        <v>10852</v>
      </c>
      <c r="B2175" s="46" t="s">
        <v>120</v>
      </c>
      <c r="C2175" s="46" t="s">
        <v>5481</v>
      </c>
      <c r="D2175" s="46">
        <v>0.253</v>
      </c>
      <c r="E2175" s="47">
        <f>SUMIF(Data!$E:$E,$C2175,Data!$AI:$AI)</f>
        <v>0</v>
      </c>
    </row>
    <row r="2176" spans="1:5" x14ac:dyDescent="0.25">
      <c r="A2176" s="46" t="s">
        <v>10852</v>
      </c>
      <c r="B2176" s="46" t="s">
        <v>120</v>
      </c>
      <c r="C2176" s="46" t="s">
        <v>4524</v>
      </c>
      <c r="D2176" s="46">
        <v>0.45500000000000002</v>
      </c>
      <c r="E2176" s="47">
        <f>SUMIF(Data!$E:$E,$C2176,Data!$AI:$AI)</f>
        <v>0</v>
      </c>
    </row>
    <row r="2177" spans="1:5" x14ac:dyDescent="0.25">
      <c r="A2177" s="46" t="s">
        <v>10852</v>
      </c>
      <c r="B2177" s="46" t="s">
        <v>120</v>
      </c>
      <c r="C2177" s="46" t="s">
        <v>5082</v>
      </c>
      <c r="D2177" s="46">
        <v>0.14699999999999999</v>
      </c>
      <c r="E2177" s="47">
        <f>SUMIF(Data!$E:$E,$C2177,Data!$AI:$AI)</f>
        <v>0</v>
      </c>
    </row>
    <row r="2178" spans="1:5" x14ac:dyDescent="0.25">
      <c r="A2178" s="46" t="s">
        <v>10852</v>
      </c>
      <c r="B2178" s="46" t="s">
        <v>120</v>
      </c>
      <c r="C2178" s="46" t="s">
        <v>4798</v>
      </c>
      <c r="D2178" s="46">
        <v>3.12</v>
      </c>
      <c r="E2178" s="47">
        <f>SUMIF(Data!$E:$E,$C2178,Data!$AI:$AI)</f>
        <v>0</v>
      </c>
    </row>
    <row r="2179" spans="1:5" x14ac:dyDescent="0.25">
      <c r="A2179" s="46" t="s">
        <v>10852</v>
      </c>
      <c r="B2179" s="46" t="s">
        <v>120</v>
      </c>
      <c r="C2179" s="46" t="s">
        <v>4496</v>
      </c>
      <c r="D2179" s="46">
        <v>0.54300000000000004</v>
      </c>
      <c r="E2179" s="47">
        <f>SUMIF(Data!$E:$E,$C2179,Data!$AI:$AI)</f>
        <v>0</v>
      </c>
    </row>
    <row r="2180" spans="1:5" x14ac:dyDescent="0.25">
      <c r="A2180" s="46" t="s">
        <v>10852</v>
      </c>
      <c r="B2180" s="46" t="s">
        <v>120</v>
      </c>
      <c r="C2180" s="46" t="s">
        <v>5488</v>
      </c>
      <c r="D2180" s="46">
        <v>0.127</v>
      </c>
      <c r="E2180" s="47">
        <f>SUMIF(Data!$E:$E,$C2180,Data!$AI:$AI)</f>
        <v>0</v>
      </c>
    </row>
    <row r="2181" spans="1:5" x14ac:dyDescent="0.25">
      <c r="A2181" s="46" t="s">
        <v>10852</v>
      </c>
      <c r="B2181" s="46" t="s">
        <v>120</v>
      </c>
      <c r="C2181" s="46" t="s">
        <v>3142</v>
      </c>
      <c r="D2181" s="46">
        <v>1.256</v>
      </c>
      <c r="E2181" s="47">
        <f>SUMIF(Data!$E:$E,$C2181,Data!$AI:$AI)</f>
        <v>0</v>
      </c>
    </row>
    <row r="2182" spans="1:5" x14ac:dyDescent="0.25">
      <c r="A2182" s="46" t="s">
        <v>10852</v>
      </c>
      <c r="B2182" s="46" t="s">
        <v>120</v>
      </c>
      <c r="C2182" s="46" t="s">
        <v>4503</v>
      </c>
      <c r="D2182" s="46">
        <v>0.10100000000000001</v>
      </c>
      <c r="E2182" s="47">
        <f>SUMIF(Data!$E:$E,$C2182,Data!$AI:$AI)</f>
        <v>0</v>
      </c>
    </row>
    <row r="2183" spans="1:5" x14ac:dyDescent="0.25">
      <c r="A2183" s="46" t="s">
        <v>10852</v>
      </c>
      <c r="B2183" s="46" t="s">
        <v>120</v>
      </c>
      <c r="C2183" s="46" t="s">
        <v>5495</v>
      </c>
      <c r="D2183" s="46">
        <v>6.9000000000000006E-2</v>
      </c>
      <c r="E2183" s="47">
        <f>SUMIF(Data!$E:$E,$C2183,Data!$AI:$AI)</f>
        <v>0</v>
      </c>
    </row>
    <row r="2184" spans="1:5" x14ac:dyDescent="0.25">
      <c r="A2184" s="46" t="s">
        <v>10852</v>
      </c>
      <c r="B2184" s="46" t="s">
        <v>120</v>
      </c>
      <c r="C2184" s="46" t="s">
        <v>3149</v>
      </c>
      <c r="D2184" s="46">
        <v>0.48299999999999998</v>
      </c>
      <c r="E2184" s="47">
        <f>SUMIF(Data!$E:$E,$C2184,Data!$AI:$AI)</f>
        <v>0</v>
      </c>
    </row>
    <row r="2185" spans="1:5" x14ac:dyDescent="0.25">
      <c r="A2185" s="46" t="s">
        <v>10852</v>
      </c>
      <c r="B2185" s="46" t="s">
        <v>120</v>
      </c>
      <c r="C2185" s="46" t="s">
        <v>4546</v>
      </c>
      <c r="D2185" s="46">
        <v>0.48199999999999998</v>
      </c>
      <c r="E2185" s="47">
        <f>SUMIF(Data!$E:$E,$C2185,Data!$AI:$AI)</f>
        <v>0</v>
      </c>
    </row>
    <row r="2186" spans="1:5" x14ac:dyDescent="0.25">
      <c r="A2186" s="46" t="s">
        <v>10852</v>
      </c>
      <c r="B2186" s="46" t="s">
        <v>120</v>
      </c>
      <c r="C2186" s="46" t="s">
        <v>4811</v>
      </c>
      <c r="D2186" s="46">
        <v>0.50600000000000001</v>
      </c>
      <c r="E2186" s="47">
        <f>SUMIF(Data!$E:$E,$C2186,Data!$AI:$AI)</f>
        <v>0</v>
      </c>
    </row>
    <row r="2187" spans="1:5" x14ac:dyDescent="0.25">
      <c r="A2187" s="46" t="s">
        <v>10852</v>
      </c>
      <c r="B2187" s="46" t="s">
        <v>120</v>
      </c>
      <c r="C2187" s="46" t="s">
        <v>4818</v>
      </c>
      <c r="D2187" s="46">
        <v>0.61699999999999999</v>
      </c>
      <c r="E2187" s="47">
        <f>SUMIF(Data!$E:$E,$C2187,Data!$AI:$AI)</f>
        <v>0</v>
      </c>
    </row>
    <row r="2188" spans="1:5" x14ac:dyDescent="0.25">
      <c r="A2188" s="46" t="s">
        <v>10852</v>
      </c>
      <c r="B2188" s="46" t="s">
        <v>120</v>
      </c>
      <c r="C2188" s="46" t="s">
        <v>5112</v>
      </c>
      <c r="D2188" s="46">
        <v>0.60399999999999998</v>
      </c>
      <c r="E2188" s="47">
        <f>SUMIF(Data!$E:$E,$C2188,Data!$AI:$AI)</f>
        <v>0</v>
      </c>
    </row>
    <row r="2189" spans="1:5" x14ac:dyDescent="0.25">
      <c r="A2189" s="46" t="s">
        <v>10852</v>
      </c>
      <c r="B2189" s="46" t="s">
        <v>120</v>
      </c>
      <c r="C2189" s="46" t="s">
        <v>5508</v>
      </c>
      <c r="D2189" s="46">
        <v>5.0999999999999997E-2</v>
      </c>
      <c r="E2189" s="47">
        <f>SUMIF(Data!$E:$E,$C2189,Data!$AI:$AI)</f>
        <v>0</v>
      </c>
    </row>
    <row r="2190" spans="1:5" x14ac:dyDescent="0.25">
      <c r="A2190" s="46" t="s">
        <v>10852</v>
      </c>
      <c r="B2190" s="46" t="s">
        <v>120</v>
      </c>
      <c r="C2190" s="46" t="s">
        <v>5118</v>
      </c>
      <c r="D2190" s="46">
        <v>0.215</v>
      </c>
      <c r="E2190" s="47">
        <f>SUMIF(Data!$E:$E,$C2190,Data!$AI:$AI)</f>
        <v>0</v>
      </c>
    </row>
    <row r="2191" spans="1:5" x14ac:dyDescent="0.25">
      <c r="A2191" s="46" t="s">
        <v>10852</v>
      </c>
      <c r="B2191" s="46" t="s">
        <v>120</v>
      </c>
      <c r="C2191" s="46" t="s">
        <v>5124</v>
      </c>
      <c r="D2191" s="46">
        <v>0.23599999999999999</v>
      </c>
      <c r="E2191" s="47">
        <f>SUMIF(Data!$E:$E,$C2191,Data!$AI:$AI)</f>
        <v>0</v>
      </c>
    </row>
    <row r="2192" spans="1:5" x14ac:dyDescent="0.25">
      <c r="A2192" s="46" t="s">
        <v>10852</v>
      </c>
      <c r="B2192" s="46" t="s">
        <v>120</v>
      </c>
      <c r="C2192" s="46" t="s">
        <v>4637</v>
      </c>
      <c r="D2192" s="46">
        <v>0.26100000000000001</v>
      </c>
      <c r="E2192" s="47">
        <f>SUMIF(Data!$E:$E,$C2192,Data!$AI:$AI)</f>
        <v>0</v>
      </c>
    </row>
    <row r="2193" spans="1:5" x14ac:dyDescent="0.25">
      <c r="A2193" s="46" t="s">
        <v>10852</v>
      </c>
      <c r="B2193" s="46" t="s">
        <v>120</v>
      </c>
      <c r="C2193" s="46" t="s">
        <v>5131</v>
      </c>
      <c r="D2193" s="46">
        <v>0.25</v>
      </c>
      <c r="E2193" s="47">
        <f>SUMIF(Data!$E:$E,$C2193,Data!$AI:$AI)</f>
        <v>0</v>
      </c>
    </row>
    <row r="2194" spans="1:5" x14ac:dyDescent="0.25">
      <c r="A2194" s="46" t="s">
        <v>10852</v>
      </c>
      <c r="B2194" s="46" t="s">
        <v>120</v>
      </c>
      <c r="C2194" s="46" t="s">
        <v>5515</v>
      </c>
      <c r="D2194" s="46">
        <v>4.3999999999999997E-2</v>
      </c>
      <c r="E2194" s="47">
        <f>SUMIF(Data!$E:$E,$C2194,Data!$AI:$AI)</f>
        <v>0</v>
      </c>
    </row>
    <row r="2195" spans="1:5" x14ac:dyDescent="0.25">
      <c r="A2195" s="46" t="s">
        <v>10852</v>
      </c>
      <c r="B2195" s="46" t="s">
        <v>120</v>
      </c>
      <c r="C2195" s="46" t="s">
        <v>4553</v>
      </c>
      <c r="D2195" s="46">
        <v>3.9E-2</v>
      </c>
      <c r="E2195" s="47">
        <f>SUMIF(Data!$E:$E,$C2195,Data!$AI:$AI)</f>
        <v>0</v>
      </c>
    </row>
    <row r="2196" spans="1:5" x14ac:dyDescent="0.25">
      <c r="A2196" s="46" t="s">
        <v>10852</v>
      </c>
      <c r="B2196" s="46" t="s">
        <v>120</v>
      </c>
      <c r="C2196" s="46" t="s">
        <v>4618</v>
      </c>
      <c r="D2196" s="46">
        <v>0.753</v>
      </c>
      <c r="E2196" s="47">
        <f>SUMIF(Data!$E:$E,$C2196,Data!$AI:$AI)</f>
        <v>0</v>
      </c>
    </row>
    <row r="2197" spans="1:5" x14ac:dyDescent="0.25">
      <c r="A2197" s="46" t="s">
        <v>10852</v>
      </c>
      <c r="B2197" s="46" t="s">
        <v>120</v>
      </c>
      <c r="C2197" s="46" t="s">
        <v>4625</v>
      </c>
      <c r="D2197" s="46">
        <v>0.64</v>
      </c>
      <c r="E2197" s="47">
        <f>SUMIF(Data!$E:$E,$C2197,Data!$AI:$AI)</f>
        <v>0</v>
      </c>
    </row>
    <row r="2198" spans="1:5" x14ac:dyDescent="0.25">
      <c r="A2198" s="46" t="s">
        <v>10852</v>
      </c>
      <c r="B2198" s="46" t="s">
        <v>120</v>
      </c>
      <c r="C2198" s="46" t="s">
        <v>5138</v>
      </c>
      <c r="D2198" s="46">
        <v>0.21299999999999999</v>
      </c>
      <c r="E2198" s="47">
        <f>SUMIF(Data!$E:$E,$C2198,Data!$AI:$AI)</f>
        <v>0</v>
      </c>
    </row>
    <row r="2199" spans="1:5" x14ac:dyDescent="0.25">
      <c r="A2199" s="46" t="s">
        <v>10852</v>
      </c>
      <c r="B2199" s="46" t="s">
        <v>120</v>
      </c>
      <c r="C2199" s="46" t="s">
        <v>5528</v>
      </c>
      <c r="D2199" s="46">
        <v>7.0000000000000007E-2</v>
      </c>
      <c r="E2199" s="47">
        <f>SUMIF(Data!$E:$E,$C2199,Data!$AI:$AI)</f>
        <v>0</v>
      </c>
    </row>
    <row r="2200" spans="1:5" x14ac:dyDescent="0.25">
      <c r="A2200" s="46" t="s">
        <v>10852</v>
      </c>
      <c r="B2200" s="46" t="s">
        <v>120</v>
      </c>
      <c r="C2200" s="46" t="s">
        <v>4838</v>
      </c>
      <c r="D2200" s="46">
        <v>4.1689999999999996</v>
      </c>
      <c r="E2200" s="47">
        <f>SUMIF(Data!$E:$E,$C2200,Data!$AI:$AI)</f>
        <v>0</v>
      </c>
    </row>
    <row r="2201" spans="1:5" x14ac:dyDescent="0.25">
      <c r="A2201" s="46" t="s">
        <v>10852</v>
      </c>
      <c r="B2201" s="46" t="s">
        <v>120</v>
      </c>
      <c r="C2201" s="46" t="s">
        <v>5535</v>
      </c>
      <c r="D2201" s="46">
        <v>0.11799999999999999</v>
      </c>
      <c r="E2201" s="47">
        <f>SUMIF(Data!$E:$E,$C2201,Data!$AI:$AI)</f>
        <v>0</v>
      </c>
    </row>
    <row r="2202" spans="1:5" x14ac:dyDescent="0.25">
      <c r="A2202" s="46" t="s">
        <v>10852</v>
      </c>
      <c r="B2202" s="46" t="s">
        <v>120</v>
      </c>
      <c r="C2202" s="46" t="s">
        <v>4845</v>
      </c>
      <c r="D2202" s="46">
        <v>0.82699999999999996</v>
      </c>
      <c r="E2202" s="47">
        <f>SUMIF(Data!$E:$E,$C2202,Data!$AI:$AI)</f>
        <v>0</v>
      </c>
    </row>
    <row r="2203" spans="1:5" x14ac:dyDescent="0.25">
      <c r="A2203" s="46" t="s">
        <v>10852</v>
      </c>
      <c r="B2203" s="46" t="s">
        <v>120</v>
      </c>
      <c r="C2203" s="46" t="s">
        <v>4560</v>
      </c>
      <c r="D2203" s="46">
        <v>0.34599999999999997</v>
      </c>
      <c r="E2203" s="47">
        <f>SUMIF(Data!$E:$E,$C2203,Data!$AI:$AI)</f>
        <v>0</v>
      </c>
    </row>
    <row r="2204" spans="1:5" x14ac:dyDescent="0.25">
      <c r="A2204" s="46" t="s">
        <v>10852</v>
      </c>
      <c r="B2204" s="46" t="s">
        <v>120</v>
      </c>
      <c r="C2204" s="46" t="s">
        <v>5150</v>
      </c>
      <c r="D2204" s="46">
        <v>0.22500000000000001</v>
      </c>
      <c r="E2204" s="47">
        <f>SUMIF(Data!$E:$E,$C2204,Data!$AI:$AI)</f>
        <v>0</v>
      </c>
    </row>
    <row r="2205" spans="1:5" x14ac:dyDescent="0.25">
      <c r="A2205" s="46" t="s">
        <v>10852</v>
      </c>
      <c r="B2205" s="46" t="s">
        <v>120</v>
      </c>
      <c r="C2205" s="46" t="s">
        <v>4852</v>
      </c>
      <c r="D2205" s="46">
        <v>11.643000000000001</v>
      </c>
      <c r="E2205" s="47">
        <f>SUMIF(Data!$E:$E,$C2205,Data!$AI:$AI)</f>
        <v>0</v>
      </c>
    </row>
    <row r="2206" spans="1:5" x14ac:dyDescent="0.25">
      <c r="A2206" s="46" t="s">
        <v>10852</v>
      </c>
      <c r="B2206" s="46" t="s">
        <v>120</v>
      </c>
      <c r="C2206" s="46" t="s">
        <v>4859</v>
      </c>
      <c r="D2206" s="46">
        <v>0.67900000000000005</v>
      </c>
      <c r="E2206" s="47">
        <f>SUMIF(Data!$E:$E,$C2206,Data!$AI:$AI)</f>
        <v>0</v>
      </c>
    </row>
    <row r="2207" spans="1:5" x14ac:dyDescent="0.25">
      <c r="A2207" s="46" t="s">
        <v>10852</v>
      </c>
      <c r="B2207" s="46" t="s">
        <v>120</v>
      </c>
      <c r="C2207" s="46" t="s">
        <v>5163</v>
      </c>
      <c r="D2207" s="46">
        <v>6.2E-2</v>
      </c>
      <c r="E2207" s="47">
        <f>SUMIF(Data!$E:$E,$C2207,Data!$AI:$AI)</f>
        <v>0</v>
      </c>
    </row>
    <row r="2208" spans="1:5" x14ac:dyDescent="0.25">
      <c r="A2208" s="46" t="s">
        <v>10852</v>
      </c>
      <c r="B2208" s="46" t="s">
        <v>120</v>
      </c>
      <c r="C2208" s="46" t="s">
        <v>5542</v>
      </c>
      <c r="D2208" s="46">
        <v>7.0000000000000007E-2</v>
      </c>
      <c r="E2208" s="47">
        <f>SUMIF(Data!$E:$E,$C2208,Data!$AI:$AI)</f>
        <v>0</v>
      </c>
    </row>
    <row r="2209" spans="1:5" x14ac:dyDescent="0.25">
      <c r="A2209" s="46" t="s">
        <v>10852</v>
      </c>
      <c r="B2209" s="46" t="s">
        <v>120</v>
      </c>
      <c r="C2209" s="46" t="s">
        <v>10853</v>
      </c>
      <c r="D2209" s="46">
        <v>1.948</v>
      </c>
      <c r="E2209" s="47">
        <f>SUMIF(Data!$E:$E,$C2209,Data!$AI:$AI)</f>
        <v>0</v>
      </c>
    </row>
    <row r="2210" spans="1:5" x14ac:dyDescent="0.25">
      <c r="A2210" s="46" t="s">
        <v>10852</v>
      </c>
      <c r="B2210" s="46" t="s">
        <v>120</v>
      </c>
      <c r="C2210" s="46" t="s">
        <v>4475</v>
      </c>
      <c r="D2210" s="46">
        <v>0.16900000000000001</v>
      </c>
      <c r="E2210" s="47">
        <f>SUMIF(Data!$E:$E,$C2210,Data!$AI:$AI)</f>
        <v>0</v>
      </c>
    </row>
    <row r="2211" spans="1:5" x14ac:dyDescent="0.25">
      <c r="A2211" s="46" t="s">
        <v>10852</v>
      </c>
      <c r="B2211" s="46" t="s">
        <v>120</v>
      </c>
      <c r="C2211" s="46" t="s">
        <v>1852</v>
      </c>
      <c r="D2211" s="46">
        <v>8.8999999999999996E-2</v>
      </c>
      <c r="E2211" s="47">
        <f>SUMIF(Data!$E:$E,$C2211,Data!$AI:$AI)</f>
        <v>0</v>
      </c>
    </row>
    <row r="2212" spans="1:5" x14ac:dyDescent="0.25">
      <c r="A2212" s="46" t="s">
        <v>10852</v>
      </c>
      <c r="B2212" s="46" t="s">
        <v>120</v>
      </c>
      <c r="C2212" s="46" t="s">
        <v>5170</v>
      </c>
      <c r="D2212" s="46">
        <v>0.39500000000000002</v>
      </c>
      <c r="E2212" s="47">
        <f>SUMIF(Data!$E:$E,$C2212,Data!$AI:$AI)</f>
        <v>0</v>
      </c>
    </row>
    <row r="2213" spans="1:5" x14ac:dyDescent="0.25">
      <c r="A2213" s="46" t="s">
        <v>10852</v>
      </c>
      <c r="B2213" s="46" t="s">
        <v>120</v>
      </c>
      <c r="C2213" s="46" t="s">
        <v>5560</v>
      </c>
      <c r="D2213" s="46">
        <v>0.19400000000000001</v>
      </c>
      <c r="E2213" s="47">
        <f>SUMIF(Data!$E:$E,$C2213,Data!$AI:$AI)</f>
        <v>0</v>
      </c>
    </row>
    <row r="2214" spans="1:5" x14ac:dyDescent="0.25">
      <c r="A2214" s="46" t="s">
        <v>10852</v>
      </c>
      <c r="B2214" s="46" t="s">
        <v>120</v>
      </c>
      <c r="C2214" s="46" t="s">
        <v>6756</v>
      </c>
      <c r="D2214" s="46">
        <v>0.48399999999999999</v>
      </c>
      <c r="E2214" s="47">
        <f>SUMIF(Data!$E:$E,$C2214,Data!$AI:$AI)</f>
        <v>0</v>
      </c>
    </row>
    <row r="2215" spans="1:5" x14ac:dyDescent="0.25">
      <c r="A2215" s="46" t="s">
        <v>10852</v>
      </c>
      <c r="B2215" s="46" t="s">
        <v>120</v>
      </c>
      <c r="C2215" s="46" t="s">
        <v>5567</v>
      </c>
      <c r="D2215" s="46">
        <v>4.9000000000000002E-2</v>
      </c>
      <c r="E2215" s="47">
        <f>SUMIF(Data!$E:$E,$C2215,Data!$AI:$AI)</f>
        <v>0</v>
      </c>
    </row>
    <row r="2216" spans="1:5" x14ac:dyDescent="0.25">
      <c r="A2216" s="46" t="s">
        <v>10852</v>
      </c>
      <c r="B2216" s="46" t="s">
        <v>120</v>
      </c>
      <c r="C2216" s="46" t="s">
        <v>3157</v>
      </c>
      <c r="D2216" s="46">
        <v>1.01</v>
      </c>
      <c r="E2216" s="47">
        <f>SUMIF(Data!$E:$E,$C2216,Data!$AI:$AI)</f>
        <v>0</v>
      </c>
    </row>
    <row r="2217" spans="1:5" x14ac:dyDescent="0.25">
      <c r="A2217" s="46" t="s">
        <v>10852</v>
      </c>
      <c r="B2217" s="46" t="s">
        <v>120</v>
      </c>
      <c r="C2217" s="46" t="s">
        <v>4870</v>
      </c>
      <c r="D2217" s="46">
        <v>2.0760000000000001</v>
      </c>
      <c r="E2217" s="47">
        <f>SUMIF(Data!$E:$E,$C2217,Data!$AI:$AI)</f>
        <v>0</v>
      </c>
    </row>
    <row r="2218" spans="1:5" x14ac:dyDescent="0.25">
      <c r="A2218" s="46" t="s">
        <v>10852</v>
      </c>
      <c r="B2218" s="46" t="s">
        <v>120</v>
      </c>
      <c r="C2218" s="46" t="s">
        <v>3164</v>
      </c>
      <c r="D2218" s="46">
        <v>0.80100000000000005</v>
      </c>
      <c r="E2218" s="47">
        <f>SUMIF(Data!$E:$E,$C2218,Data!$AI:$AI)</f>
        <v>0</v>
      </c>
    </row>
    <row r="2219" spans="1:5" x14ac:dyDescent="0.25">
      <c r="A2219" s="46" t="s">
        <v>10852</v>
      </c>
      <c r="B2219" s="46" t="s">
        <v>120</v>
      </c>
      <c r="C2219" s="46" t="s">
        <v>5183</v>
      </c>
      <c r="D2219" s="46">
        <v>0.215</v>
      </c>
      <c r="E2219" s="47">
        <f>SUMIF(Data!$E:$E,$C2219,Data!$AI:$AI)</f>
        <v>0</v>
      </c>
    </row>
    <row r="2220" spans="1:5" x14ac:dyDescent="0.25">
      <c r="A2220" s="46" t="s">
        <v>10852</v>
      </c>
      <c r="B2220" s="46" t="s">
        <v>120</v>
      </c>
      <c r="C2220" s="46" t="s">
        <v>4877</v>
      </c>
      <c r="D2220" s="46">
        <v>0.79100000000000004</v>
      </c>
      <c r="E2220" s="47">
        <f>SUMIF(Data!$E:$E,$C2220,Data!$AI:$AI)</f>
        <v>0</v>
      </c>
    </row>
    <row r="2221" spans="1:5" x14ac:dyDescent="0.25">
      <c r="A2221" s="46" t="s">
        <v>10852</v>
      </c>
      <c r="B2221" s="46" t="s">
        <v>120</v>
      </c>
      <c r="C2221" s="46" t="s">
        <v>5189</v>
      </c>
      <c r="D2221" s="46">
        <v>0.22800000000000001</v>
      </c>
      <c r="E2221" s="47">
        <f>SUMIF(Data!$E:$E,$C2221,Data!$AI:$AI)</f>
        <v>0</v>
      </c>
    </row>
    <row r="2222" spans="1:5" x14ac:dyDescent="0.25">
      <c r="A2222" s="46" t="s">
        <v>10852</v>
      </c>
      <c r="B2222" s="46" t="s">
        <v>120</v>
      </c>
      <c r="C2222" s="46" t="s">
        <v>517</v>
      </c>
      <c r="D2222" s="46">
        <v>1</v>
      </c>
      <c r="E2222" s="47">
        <f>SUMIF(Data!$E:$E,$C2222,Data!$AI:$AI)</f>
        <v>0</v>
      </c>
    </row>
    <row r="2223" spans="1:5" x14ac:dyDescent="0.25">
      <c r="A2223" s="46" t="s">
        <v>10852</v>
      </c>
      <c r="B2223" s="46" t="s">
        <v>120</v>
      </c>
      <c r="C2223" s="46" t="s">
        <v>4890</v>
      </c>
      <c r="D2223" s="46">
        <v>3.9159999999999999</v>
      </c>
      <c r="E2223" s="47">
        <f>SUMIF(Data!$E:$E,$C2223,Data!$AI:$AI)</f>
        <v>0</v>
      </c>
    </row>
    <row r="2224" spans="1:5" x14ac:dyDescent="0.25">
      <c r="A2224" s="46" t="s">
        <v>10852</v>
      </c>
      <c r="B2224" s="46" t="s">
        <v>120</v>
      </c>
      <c r="C2224" s="46" t="s">
        <v>4897</v>
      </c>
      <c r="D2224" s="46">
        <v>1.6990000000000001</v>
      </c>
      <c r="E2224" s="47">
        <f>SUMIF(Data!$E:$E,$C2224,Data!$AI:$AI)</f>
        <v>0</v>
      </c>
    </row>
    <row r="2225" spans="1:5" x14ac:dyDescent="0.25">
      <c r="A2225" s="46" t="s">
        <v>10852</v>
      </c>
      <c r="B2225" s="46" t="s">
        <v>120</v>
      </c>
      <c r="C2225" s="46" t="s">
        <v>4904</v>
      </c>
      <c r="D2225" s="46">
        <v>2.2490000000000001</v>
      </c>
      <c r="E2225" s="47">
        <f>SUMIF(Data!$E:$E,$C2225,Data!$AI:$AI)</f>
        <v>0</v>
      </c>
    </row>
    <row r="2226" spans="1:5" x14ac:dyDescent="0.25">
      <c r="A2226" s="46" t="s">
        <v>10852</v>
      </c>
      <c r="B2226" s="46" t="s">
        <v>120</v>
      </c>
      <c r="C2226" s="46" t="s">
        <v>5196</v>
      </c>
      <c r="D2226" s="46">
        <v>0.17499999999999999</v>
      </c>
      <c r="E2226" s="47">
        <f>SUMIF(Data!$E:$E,$C2226,Data!$AI:$AI)</f>
        <v>0</v>
      </c>
    </row>
    <row r="2227" spans="1:5" x14ac:dyDescent="0.25">
      <c r="A2227" s="46" t="s">
        <v>10852</v>
      </c>
      <c r="B2227" s="46" t="s">
        <v>120</v>
      </c>
      <c r="C2227" s="46" t="s">
        <v>4481</v>
      </c>
      <c r="D2227" s="46">
        <v>4.2169999999999996</v>
      </c>
      <c r="E2227" s="47">
        <f>SUMIF(Data!$E:$E,$C2227,Data!$AI:$AI)</f>
        <v>0</v>
      </c>
    </row>
    <row r="2228" spans="1:5" x14ac:dyDescent="0.25">
      <c r="A2228" s="46" t="s">
        <v>10852</v>
      </c>
      <c r="B2228" s="46" t="s">
        <v>120</v>
      </c>
      <c r="C2228" s="46" t="s">
        <v>1783</v>
      </c>
      <c r="D2228" s="46">
        <v>0.26100000000000001</v>
      </c>
      <c r="E2228" s="47">
        <f>SUMIF(Data!$E:$E,$C2228,Data!$AI:$AI)</f>
        <v>0</v>
      </c>
    </row>
    <row r="2229" spans="1:5" x14ac:dyDescent="0.25">
      <c r="A2229" s="46" t="s">
        <v>10852</v>
      </c>
      <c r="B2229" s="46" t="s">
        <v>120</v>
      </c>
      <c r="C2229" s="46" t="s">
        <v>4916</v>
      </c>
      <c r="D2229" s="46">
        <v>0.60299999999999998</v>
      </c>
      <c r="E2229" s="47">
        <f>SUMIF(Data!$E:$E,$C2229,Data!$AI:$AI)</f>
        <v>0</v>
      </c>
    </row>
    <row r="2230" spans="1:5" x14ac:dyDescent="0.25">
      <c r="A2230" s="46" t="s">
        <v>10852</v>
      </c>
      <c r="B2230" s="46" t="s">
        <v>120</v>
      </c>
      <c r="C2230" s="46" t="s">
        <v>4365</v>
      </c>
      <c r="D2230" s="46">
        <v>9.2999999999999999E-2</v>
      </c>
      <c r="E2230" s="47">
        <f>SUMIF(Data!$E:$E,$C2230,Data!$AI:$AI)</f>
        <v>0</v>
      </c>
    </row>
    <row r="2231" spans="1:5" x14ac:dyDescent="0.25">
      <c r="A2231" s="46" t="s">
        <v>10852</v>
      </c>
      <c r="B2231" s="46" t="s">
        <v>120</v>
      </c>
      <c r="C2231" s="46" t="s">
        <v>5580</v>
      </c>
      <c r="D2231" s="46">
        <v>4.1000000000000002E-2</v>
      </c>
      <c r="E2231" s="47">
        <f>SUMIF(Data!$E:$E,$C2231,Data!$AI:$AI)</f>
        <v>0</v>
      </c>
    </row>
    <row r="2232" spans="1:5" x14ac:dyDescent="0.25">
      <c r="A2232" s="46" t="s">
        <v>10852</v>
      </c>
      <c r="B2232" s="46" t="s">
        <v>120</v>
      </c>
      <c r="C2232" s="46" t="s">
        <v>4923</v>
      </c>
      <c r="D2232" s="46">
        <v>1.1910000000000001</v>
      </c>
      <c r="E2232" s="47">
        <f>SUMIF(Data!$E:$E,$C2232,Data!$AI:$AI)</f>
        <v>0</v>
      </c>
    </row>
    <row r="2233" spans="1:5" x14ac:dyDescent="0.25">
      <c r="A2233" s="46" t="s">
        <v>10852</v>
      </c>
      <c r="B2233" s="46" t="s">
        <v>120</v>
      </c>
      <c r="C2233" s="46" t="s">
        <v>5587</v>
      </c>
      <c r="D2233" s="46">
        <v>0.02</v>
      </c>
      <c r="E2233" s="47">
        <f>SUMIF(Data!$E:$E,$C2233,Data!$AI:$AI)</f>
        <v>0</v>
      </c>
    </row>
    <row r="2234" spans="1:5" x14ac:dyDescent="0.25">
      <c r="A2234" s="46" t="s">
        <v>10852</v>
      </c>
      <c r="B2234" s="46" t="s">
        <v>120</v>
      </c>
      <c r="C2234" s="46" t="s">
        <v>5218</v>
      </c>
      <c r="D2234" s="46">
        <v>0.307</v>
      </c>
      <c r="E2234" s="47">
        <f>SUMIF(Data!$E:$E,$C2234,Data!$AI:$AI)</f>
        <v>0</v>
      </c>
    </row>
    <row r="2235" spans="1:5" x14ac:dyDescent="0.25">
      <c r="A2235" s="46" t="s">
        <v>10852</v>
      </c>
      <c r="B2235" s="46" t="s">
        <v>120</v>
      </c>
      <c r="C2235" s="46" t="s">
        <v>5225</v>
      </c>
      <c r="D2235" s="46">
        <v>0.23799999999999999</v>
      </c>
      <c r="E2235" s="47">
        <f>SUMIF(Data!$E:$E,$C2235,Data!$AI:$AI)</f>
        <v>0</v>
      </c>
    </row>
    <row r="2236" spans="1:5" x14ac:dyDescent="0.25">
      <c r="A2236" s="46" t="s">
        <v>10852</v>
      </c>
      <c r="B2236" s="46" t="s">
        <v>120</v>
      </c>
      <c r="C2236" s="46" t="s">
        <v>5595</v>
      </c>
      <c r="D2236" s="46">
        <v>0.14699999999999999</v>
      </c>
      <c r="E2236" s="47">
        <f>SUMIF(Data!$E:$E,$C2236,Data!$AI:$AI)</f>
        <v>0</v>
      </c>
    </row>
    <row r="2237" spans="1:5" x14ac:dyDescent="0.25">
      <c r="A2237" s="46" t="s">
        <v>10852</v>
      </c>
      <c r="B2237" s="46" t="s">
        <v>120</v>
      </c>
      <c r="C2237" s="46" t="s">
        <v>3898</v>
      </c>
      <c r="D2237" s="46">
        <v>0.60899999999999999</v>
      </c>
      <c r="E2237" s="47">
        <f>SUMIF(Data!$E:$E,$C2237,Data!$AI:$AI)</f>
        <v>0</v>
      </c>
    </row>
    <row r="2238" spans="1:5" x14ac:dyDescent="0.25">
      <c r="A2238" s="46" t="s">
        <v>10852</v>
      </c>
      <c r="B2238" s="46" t="s">
        <v>120</v>
      </c>
      <c r="C2238" s="46" t="s">
        <v>5238</v>
      </c>
      <c r="D2238" s="46">
        <v>0.255</v>
      </c>
      <c r="E2238" s="47">
        <f>SUMIF(Data!$E:$E,$C2238,Data!$AI:$AI)</f>
        <v>0</v>
      </c>
    </row>
    <row r="2239" spans="1:5" x14ac:dyDescent="0.25">
      <c r="A2239" s="46" t="s">
        <v>10852</v>
      </c>
      <c r="B2239" s="46" t="s">
        <v>120</v>
      </c>
      <c r="C2239" s="46" t="s">
        <v>5602</v>
      </c>
      <c r="D2239" s="46">
        <v>0.14499999999999999</v>
      </c>
      <c r="E2239" s="47">
        <f>SUMIF(Data!$E:$E,$C2239,Data!$AI:$AI)</f>
        <v>0</v>
      </c>
    </row>
    <row r="2240" spans="1:5" x14ac:dyDescent="0.25">
      <c r="A2240" s="46" t="s">
        <v>10852</v>
      </c>
      <c r="B2240" s="46" t="s">
        <v>120</v>
      </c>
      <c r="C2240" s="46" t="s">
        <v>4935</v>
      </c>
      <c r="D2240" s="46">
        <v>1.0249999999999999</v>
      </c>
      <c r="E2240" s="47">
        <f>SUMIF(Data!$E:$E,$C2240,Data!$AI:$AI)</f>
        <v>0</v>
      </c>
    </row>
    <row r="2241" spans="1:5" x14ac:dyDescent="0.25">
      <c r="A2241" s="46" t="s">
        <v>10852</v>
      </c>
      <c r="B2241" s="46" t="s">
        <v>120</v>
      </c>
      <c r="C2241" s="46" t="s">
        <v>5609</v>
      </c>
      <c r="D2241" s="46">
        <v>0.11700000000000001</v>
      </c>
      <c r="E2241" s="47">
        <f>SUMIF(Data!$E:$E,$C2241,Data!$AI:$AI)</f>
        <v>0</v>
      </c>
    </row>
    <row r="2242" spans="1:5" x14ac:dyDescent="0.25">
      <c r="A2242" s="46" t="s">
        <v>10852</v>
      </c>
      <c r="B2242" s="46" t="s">
        <v>120</v>
      </c>
      <c r="C2242" s="46" t="s">
        <v>4644</v>
      </c>
      <c r="D2242" s="46">
        <v>3.5000000000000003E-2</v>
      </c>
      <c r="E2242" s="47">
        <f>SUMIF(Data!$E:$E,$C2242,Data!$AI:$AI)</f>
        <v>0</v>
      </c>
    </row>
    <row r="2243" spans="1:5" x14ac:dyDescent="0.25">
      <c r="A2243" s="46" t="s">
        <v>10852</v>
      </c>
      <c r="B2243" s="46" t="s">
        <v>120</v>
      </c>
      <c r="C2243" s="46" t="s">
        <v>5629</v>
      </c>
      <c r="D2243" s="46">
        <v>0.13100000000000001</v>
      </c>
      <c r="E2243" s="47">
        <f>SUMIF(Data!$E:$E,$C2243,Data!$AI:$AI)</f>
        <v>0</v>
      </c>
    </row>
    <row r="2244" spans="1:5" x14ac:dyDescent="0.25">
      <c r="A2244" s="46" t="s">
        <v>10852</v>
      </c>
      <c r="B2244" s="46" t="s">
        <v>120</v>
      </c>
      <c r="C2244" s="46" t="s">
        <v>5245</v>
      </c>
      <c r="D2244" s="46">
        <v>0.11799999999999999</v>
      </c>
      <c r="E2244" s="47">
        <f>SUMIF(Data!$E:$E,$C2244,Data!$AI:$AI)</f>
        <v>0</v>
      </c>
    </row>
    <row r="2245" spans="1:5" x14ac:dyDescent="0.25">
      <c r="A2245" s="46" t="s">
        <v>10852</v>
      </c>
      <c r="B2245" s="46" t="s">
        <v>120</v>
      </c>
      <c r="C2245" s="46" t="s">
        <v>4006</v>
      </c>
      <c r="D2245" s="46">
        <v>0.32400000000000001</v>
      </c>
      <c r="E2245" s="47">
        <f>SUMIF(Data!$E:$E,$C2245,Data!$AI:$AI)</f>
        <v>0</v>
      </c>
    </row>
    <row r="2246" spans="1:5" x14ac:dyDescent="0.25">
      <c r="A2246" s="46" t="s">
        <v>10852</v>
      </c>
      <c r="B2246" s="46" t="s">
        <v>120</v>
      </c>
      <c r="C2246" s="46" t="s">
        <v>4595</v>
      </c>
      <c r="D2246" s="46">
        <v>0.17899999999999999</v>
      </c>
      <c r="E2246" s="47">
        <f>SUMIF(Data!$E:$E,$C2246,Data!$AI:$AI)</f>
        <v>0</v>
      </c>
    </row>
    <row r="2247" spans="1:5" x14ac:dyDescent="0.25">
      <c r="A2247" s="46" t="s">
        <v>10852</v>
      </c>
      <c r="B2247" s="46" t="s">
        <v>120</v>
      </c>
      <c r="C2247" s="46" t="s">
        <v>5636</v>
      </c>
      <c r="D2247" s="46">
        <v>8.1000000000000003E-2</v>
      </c>
      <c r="E2247" s="47">
        <f>SUMIF(Data!$E:$E,$C2247,Data!$AI:$AI)</f>
        <v>0</v>
      </c>
    </row>
    <row r="2248" spans="1:5" x14ac:dyDescent="0.25">
      <c r="A2248" s="46" t="s">
        <v>10852</v>
      </c>
      <c r="B2248" s="46" t="s">
        <v>120</v>
      </c>
      <c r="C2248" s="46" t="s">
        <v>1939</v>
      </c>
      <c r="D2248" s="46">
        <v>2.0859999999999999</v>
      </c>
      <c r="E2248" s="47">
        <f>SUMIF(Data!$E:$E,$C2248,Data!$AI:$AI)</f>
        <v>0</v>
      </c>
    </row>
    <row r="2249" spans="1:5" x14ac:dyDescent="0.25">
      <c r="A2249" s="46" t="s">
        <v>10852</v>
      </c>
      <c r="B2249" s="46" t="s">
        <v>120</v>
      </c>
      <c r="C2249" s="46" t="s">
        <v>10854</v>
      </c>
      <c r="D2249" s="46">
        <v>0.82099999999999995</v>
      </c>
      <c r="E2249" s="47">
        <f>SUMIF(Data!$E:$E,$C2249,Data!$AI:$AI)</f>
        <v>0</v>
      </c>
    </row>
    <row r="2250" spans="1:5" x14ac:dyDescent="0.25">
      <c r="A2250" s="46" t="s">
        <v>10852</v>
      </c>
      <c r="B2250" s="46" t="s">
        <v>120</v>
      </c>
      <c r="C2250" s="46" t="s">
        <v>4948</v>
      </c>
      <c r="D2250" s="46">
        <v>5.1970000000000001</v>
      </c>
      <c r="E2250" s="47">
        <f>SUMIF(Data!$E:$E,$C2250,Data!$AI:$AI)</f>
        <v>0</v>
      </c>
    </row>
    <row r="2251" spans="1:5" x14ac:dyDescent="0.25">
      <c r="A2251" s="46" t="s">
        <v>10852</v>
      </c>
      <c r="B2251" s="46" t="s">
        <v>120</v>
      </c>
      <c r="C2251" s="46" t="s">
        <v>1466</v>
      </c>
      <c r="D2251" s="46">
        <v>1.7210000000000001</v>
      </c>
      <c r="E2251" s="47">
        <f>SUMIF(Data!$E:$E,$C2251,Data!$AI:$AI)</f>
        <v>0</v>
      </c>
    </row>
    <row r="2252" spans="1:5" x14ac:dyDescent="0.25">
      <c r="A2252" s="46" t="s">
        <v>10852</v>
      </c>
      <c r="B2252" s="46" t="s">
        <v>120</v>
      </c>
      <c r="C2252" s="46" t="s">
        <v>5644</v>
      </c>
      <c r="D2252" s="46">
        <v>2.5000000000000001E-2</v>
      </c>
      <c r="E2252" s="47">
        <f>SUMIF(Data!$E:$E,$C2252,Data!$AI:$AI)</f>
        <v>0</v>
      </c>
    </row>
    <row r="2253" spans="1:5" x14ac:dyDescent="0.25">
      <c r="A2253" s="46" t="s">
        <v>10852</v>
      </c>
      <c r="B2253" s="46" t="s">
        <v>120</v>
      </c>
      <c r="C2253" s="46" t="s">
        <v>4961</v>
      </c>
      <c r="D2253" s="46">
        <v>0.72199999999999998</v>
      </c>
      <c r="E2253" s="47">
        <f>SUMIF(Data!$E:$E,$C2253,Data!$AI:$AI)</f>
        <v>0</v>
      </c>
    </row>
    <row r="2254" spans="1:5" x14ac:dyDescent="0.25">
      <c r="A2254" s="46" t="s">
        <v>10852</v>
      </c>
      <c r="B2254" s="46" t="s">
        <v>120</v>
      </c>
      <c r="C2254" s="46" t="s">
        <v>4510</v>
      </c>
      <c r="D2254" s="46">
        <v>7.5999999999999998E-2</v>
      </c>
      <c r="E2254" s="47">
        <f>SUMIF(Data!$E:$E,$C2254,Data!$AI:$AI)</f>
        <v>0</v>
      </c>
    </row>
    <row r="2255" spans="1:5" x14ac:dyDescent="0.25">
      <c r="A2255" s="46" t="s">
        <v>10852</v>
      </c>
      <c r="B2255" s="46" t="s">
        <v>120</v>
      </c>
      <c r="C2255" s="46" t="s">
        <v>5268</v>
      </c>
      <c r="D2255" s="46">
        <v>8.8999999999999996E-2</v>
      </c>
      <c r="E2255" s="47">
        <f>SUMIF(Data!$E:$E,$C2255,Data!$AI:$AI)</f>
        <v>0</v>
      </c>
    </row>
    <row r="2256" spans="1:5" x14ac:dyDescent="0.25">
      <c r="A2256" s="46" t="s">
        <v>10852</v>
      </c>
      <c r="B2256" s="46" t="s">
        <v>120</v>
      </c>
      <c r="C2256" s="46" t="s">
        <v>5274</v>
      </c>
      <c r="D2256" s="46">
        <v>0.35799999999999998</v>
      </c>
      <c r="E2256" s="47">
        <f>SUMIF(Data!$E:$E,$C2256,Data!$AI:$AI)</f>
        <v>0</v>
      </c>
    </row>
    <row r="2257" spans="1:5" x14ac:dyDescent="0.25">
      <c r="A2257" s="46" t="s">
        <v>10852</v>
      </c>
      <c r="B2257" s="46" t="s">
        <v>120</v>
      </c>
      <c r="C2257" s="46" t="s">
        <v>5281</v>
      </c>
      <c r="D2257" s="46">
        <v>0.41399999999999998</v>
      </c>
      <c r="E2257" s="47">
        <f>SUMIF(Data!$E:$E,$C2257,Data!$AI:$AI)</f>
        <v>0</v>
      </c>
    </row>
    <row r="2258" spans="1:5" x14ac:dyDescent="0.25">
      <c r="A2258" s="46" t="s">
        <v>10852</v>
      </c>
      <c r="B2258" s="46" t="s">
        <v>120</v>
      </c>
      <c r="C2258" s="46" t="s">
        <v>4968</v>
      </c>
      <c r="D2258" s="46">
        <v>0.66900000000000004</v>
      </c>
      <c r="E2258" s="47">
        <f>SUMIF(Data!$E:$E,$C2258,Data!$AI:$AI)</f>
        <v>0</v>
      </c>
    </row>
    <row r="2259" spans="1:5" x14ac:dyDescent="0.25">
      <c r="A2259" s="46" t="s">
        <v>10852</v>
      </c>
      <c r="B2259" s="46" t="s">
        <v>120</v>
      </c>
      <c r="C2259" s="46" t="s">
        <v>7489</v>
      </c>
      <c r="D2259" s="46">
        <v>3.6999999999999998E-2</v>
      </c>
      <c r="E2259" s="47">
        <f>SUMIF(Data!$E:$E,$C2259,Data!$AI:$AI)</f>
        <v>0</v>
      </c>
    </row>
    <row r="2260" spans="1:5" x14ac:dyDescent="0.25">
      <c r="A2260" s="46" t="s">
        <v>10852</v>
      </c>
      <c r="B2260" s="46" t="s">
        <v>120</v>
      </c>
      <c r="C2260" s="46" t="s">
        <v>4975</v>
      </c>
      <c r="D2260" s="46">
        <v>0.55600000000000005</v>
      </c>
      <c r="E2260" s="47">
        <f>SUMIF(Data!$E:$E,$C2260,Data!$AI:$AI)</f>
        <v>0</v>
      </c>
    </row>
    <row r="2261" spans="1:5" x14ac:dyDescent="0.25">
      <c r="A2261" s="46" t="s">
        <v>10852</v>
      </c>
      <c r="B2261" s="46" t="s">
        <v>120</v>
      </c>
      <c r="C2261" s="46" t="s">
        <v>4567</v>
      </c>
      <c r="D2261" s="46">
        <v>4.2999999999999997E-2</v>
      </c>
      <c r="E2261" s="47">
        <f>SUMIF(Data!$E:$E,$C2261,Data!$AI:$AI)</f>
        <v>0</v>
      </c>
    </row>
    <row r="2262" spans="1:5" x14ac:dyDescent="0.25">
      <c r="A2262" s="46" t="s">
        <v>10852</v>
      </c>
      <c r="B2262" s="46" t="s">
        <v>120</v>
      </c>
      <c r="C2262" s="46" t="s">
        <v>5299</v>
      </c>
      <c r="D2262" s="46">
        <v>0.35899999999999999</v>
      </c>
      <c r="E2262" s="47">
        <f>SUMIF(Data!$E:$E,$C2262,Data!$AI:$AI)</f>
        <v>0</v>
      </c>
    </row>
    <row r="2263" spans="1:5" x14ac:dyDescent="0.25">
      <c r="A2263" s="46" t="s">
        <v>10852</v>
      </c>
      <c r="B2263" s="46" t="s">
        <v>120</v>
      </c>
      <c r="C2263" s="46" t="s">
        <v>6847</v>
      </c>
      <c r="D2263" s="46">
        <v>0.501</v>
      </c>
      <c r="E2263" s="47">
        <f>SUMIF(Data!$E:$E,$C2263,Data!$AI:$AI)</f>
        <v>0</v>
      </c>
    </row>
    <row r="2264" spans="1:5" x14ac:dyDescent="0.25">
      <c r="A2264" s="46" t="s">
        <v>10852</v>
      </c>
      <c r="B2264" s="46" t="s">
        <v>120</v>
      </c>
      <c r="C2264" s="46" t="s">
        <v>5662</v>
      </c>
      <c r="D2264" s="46">
        <v>3.7999999999999999E-2</v>
      </c>
      <c r="E2264" s="47">
        <f>SUMIF(Data!$E:$E,$C2264,Data!$AI:$AI)</f>
        <v>0</v>
      </c>
    </row>
    <row r="2265" spans="1:5" x14ac:dyDescent="0.25">
      <c r="A2265" s="46" t="s">
        <v>10852</v>
      </c>
      <c r="B2265" s="46" t="s">
        <v>120</v>
      </c>
      <c r="C2265" s="46" t="s">
        <v>5668</v>
      </c>
      <c r="D2265" s="46">
        <v>0.14299999999999999</v>
      </c>
      <c r="E2265" s="47">
        <f>SUMIF(Data!$E:$E,$C2265,Data!$AI:$AI)</f>
        <v>0</v>
      </c>
    </row>
    <row r="2266" spans="1:5" x14ac:dyDescent="0.25">
      <c r="A2266" s="46" t="s">
        <v>10852</v>
      </c>
      <c r="B2266" s="46" t="s">
        <v>120</v>
      </c>
      <c r="C2266" s="46" t="s">
        <v>5675</v>
      </c>
      <c r="D2266" s="46">
        <v>9.8000000000000004E-2</v>
      </c>
      <c r="E2266" s="47">
        <f>SUMIF(Data!$E:$E,$C2266,Data!$AI:$AI)</f>
        <v>0</v>
      </c>
    </row>
    <row r="2267" spans="1:5" x14ac:dyDescent="0.25">
      <c r="A2267" s="46" t="s">
        <v>10852</v>
      </c>
      <c r="B2267" s="46" t="s">
        <v>120</v>
      </c>
      <c r="C2267" s="46" t="s">
        <v>5682</v>
      </c>
      <c r="D2267" s="46">
        <v>8.2000000000000003E-2</v>
      </c>
      <c r="E2267" s="47">
        <f>SUMIF(Data!$E:$E,$C2267,Data!$AI:$AI)</f>
        <v>0</v>
      </c>
    </row>
    <row r="2268" spans="1:5" x14ac:dyDescent="0.25">
      <c r="A2268" s="46" t="s">
        <v>10852</v>
      </c>
      <c r="B2268" s="46" t="s">
        <v>120</v>
      </c>
      <c r="C2268" s="46" t="s">
        <v>10855</v>
      </c>
      <c r="D2268" s="46">
        <v>3.9E-2</v>
      </c>
      <c r="E2268" s="47">
        <f>SUMIF(Data!$E:$E,$C2268,Data!$AI:$AI)</f>
        <v>0</v>
      </c>
    </row>
    <row r="2269" spans="1:5" x14ac:dyDescent="0.25">
      <c r="A2269" s="46" t="s">
        <v>10852</v>
      </c>
      <c r="B2269" s="46" t="s">
        <v>120</v>
      </c>
      <c r="C2269" s="46" t="s">
        <v>5306</v>
      </c>
      <c r="D2269" s="46">
        <v>0.193</v>
      </c>
      <c r="E2269" s="47">
        <f>SUMIF(Data!$E:$E,$C2269,Data!$AI:$AI)</f>
        <v>0</v>
      </c>
    </row>
    <row r="2270" spans="1:5" x14ac:dyDescent="0.25">
      <c r="A2270" s="46" t="s">
        <v>10852</v>
      </c>
      <c r="B2270" s="46" t="s">
        <v>120</v>
      </c>
      <c r="C2270" s="46" t="s">
        <v>5313</v>
      </c>
      <c r="D2270" s="46">
        <v>0.111</v>
      </c>
      <c r="E2270" s="47">
        <f>SUMIF(Data!$E:$E,$C2270,Data!$AI:$AI)</f>
        <v>0</v>
      </c>
    </row>
    <row r="2271" spans="1:5" x14ac:dyDescent="0.25">
      <c r="A2271" s="46" t="s">
        <v>10852</v>
      </c>
      <c r="B2271" s="46" t="s">
        <v>120</v>
      </c>
      <c r="C2271" s="46" t="s">
        <v>5689</v>
      </c>
      <c r="D2271" s="46">
        <v>0.14899999999999999</v>
      </c>
      <c r="E2271" s="47">
        <f>SUMIF(Data!$E:$E,$C2271,Data!$AI:$AI)</f>
        <v>0</v>
      </c>
    </row>
    <row r="2272" spans="1:5" x14ac:dyDescent="0.25">
      <c r="A2272" s="46" t="s">
        <v>10852</v>
      </c>
      <c r="B2272" s="46" t="s">
        <v>120</v>
      </c>
      <c r="C2272" s="46" t="s">
        <v>5696</v>
      </c>
      <c r="D2272" s="46">
        <v>0.14399999999999999</v>
      </c>
      <c r="E2272" s="47">
        <f>SUMIF(Data!$E:$E,$C2272,Data!$AI:$AI)</f>
        <v>0</v>
      </c>
    </row>
    <row r="2273" spans="1:5" x14ac:dyDescent="0.25">
      <c r="A2273" s="46" t="s">
        <v>10852</v>
      </c>
      <c r="B2273" s="46" t="s">
        <v>120</v>
      </c>
      <c r="C2273" s="46" t="s">
        <v>10856</v>
      </c>
      <c r="D2273" s="46">
        <v>0.249</v>
      </c>
      <c r="E2273" s="47">
        <f>SUMIF(Data!$E:$E,$C2273,Data!$AI:$AI)</f>
        <v>0</v>
      </c>
    </row>
    <row r="2274" spans="1:5" x14ac:dyDescent="0.25">
      <c r="A2274" s="46" t="s">
        <v>10852</v>
      </c>
      <c r="B2274" s="46" t="s">
        <v>120</v>
      </c>
      <c r="C2274" s="46" t="s">
        <v>3171</v>
      </c>
      <c r="D2274" s="46">
        <v>0.56599999999999995</v>
      </c>
      <c r="E2274" s="47">
        <f>SUMIF(Data!$E:$E,$C2274,Data!$AI:$AI)</f>
        <v>0</v>
      </c>
    </row>
    <row r="2275" spans="1:5" x14ac:dyDescent="0.25">
      <c r="A2275" s="46" t="s">
        <v>10852</v>
      </c>
      <c r="B2275" s="46" t="s">
        <v>120</v>
      </c>
      <c r="C2275" s="46" t="s">
        <v>10857</v>
      </c>
      <c r="D2275" s="46">
        <v>0.115</v>
      </c>
      <c r="E2275" s="47">
        <f>SUMIF(Data!$E:$E,$C2275,Data!$AI:$AI)</f>
        <v>0</v>
      </c>
    </row>
    <row r="2276" spans="1:5" x14ac:dyDescent="0.25">
      <c r="A2276" s="46" t="s">
        <v>10852</v>
      </c>
      <c r="B2276" s="46" t="s">
        <v>120</v>
      </c>
      <c r="C2276" s="46" t="s">
        <v>5703</v>
      </c>
      <c r="D2276" s="46">
        <v>9.0999999999999998E-2</v>
      </c>
      <c r="E2276" s="47">
        <f>SUMIF(Data!$E:$E,$C2276,Data!$AI:$AI)</f>
        <v>0</v>
      </c>
    </row>
    <row r="2277" spans="1:5" x14ac:dyDescent="0.25">
      <c r="A2277" s="46" t="s">
        <v>10852</v>
      </c>
      <c r="B2277" s="46" t="s">
        <v>120</v>
      </c>
      <c r="C2277" s="46" t="s">
        <v>5709</v>
      </c>
      <c r="D2277" s="46">
        <v>7.2999999999999995E-2</v>
      </c>
      <c r="E2277" s="47">
        <f>SUMIF(Data!$E:$E,$C2277,Data!$AI:$AI)</f>
        <v>0</v>
      </c>
    </row>
    <row r="2278" spans="1:5" x14ac:dyDescent="0.25">
      <c r="A2278" s="46" t="s">
        <v>10852</v>
      </c>
      <c r="B2278" s="46" t="s">
        <v>120</v>
      </c>
      <c r="C2278" s="46" t="s">
        <v>7496</v>
      </c>
      <c r="D2278" s="46">
        <v>2.9000000000000001E-2</v>
      </c>
      <c r="E2278" s="47">
        <f>SUMIF(Data!$E:$E,$C2278,Data!$AI:$AI)</f>
        <v>0</v>
      </c>
    </row>
    <row r="2279" spans="1:5" x14ac:dyDescent="0.25">
      <c r="A2279" s="46" t="s">
        <v>10852</v>
      </c>
      <c r="B2279" s="46" t="s">
        <v>120</v>
      </c>
      <c r="C2279" s="46" t="s">
        <v>10858</v>
      </c>
      <c r="D2279" s="46">
        <v>3.4000000000000002E-2</v>
      </c>
      <c r="E2279" s="47">
        <f>SUMIF(Data!$E:$E,$C2279,Data!$AI:$AI)</f>
        <v>0</v>
      </c>
    </row>
    <row r="2280" spans="1:5" x14ac:dyDescent="0.25">
      <c r="A2280" s="46" t="s">
        <v>10852</v>
      </c>
      <c r="B2280" s="46" t="s">
        <v>120</v>
      </c>
      <c r="C2280" s="46" t="s">
        <v>4517</v>
      </c>
      <c r="D2280" s="46">
        <v>0.57599999999999996</v>
      </c>
      <c r="E2280" s="47">
        <f>SUMIF(Data!$E:$E,$C2280,Data!$AI:$AI)</f>
        <v>0</v>
      </c>
    </row>
    <row r="2281" spans="1:5" x14ac:dyDescent="0.25">
      <c r="A2281" s="46" t="s">
        <v>10852</v>
      </c>
      <c r="B2281" s="46" t="s">
        <v>120</v>
      </c>
      <c r="C2281" s="46" t="s">
        <v>5332</v>
      </c>
      <c r="D2281" s="46">
        <v>0.34599999999999997</v>
      </c>
      <c r="E2281" s="47">
        <f>SUMIF(Data!$E:$E,$C2281,Data!$AI:$AI)</f>
        <v>0</v>
      </c>
    </row>
    <row r="2282" spans="1:5" x14ac:dyDescent="0.25">
      <c r="A2282" s="46" t="s">
        <v>10852</v>
      </c>
      <c r="B2282" s="46" t="s">
        <v>120</v>
      </c>
      <c r="C2282" s="46" t="s">
        <v>10859</v>
      </c>
      <c r="D2282" s="46">
        <v>1.7070000000000001</v>
      </c>
      <c r="E2282" s="47">
        <f>SUMIF(Data!$E:$E,$C2282,Data!$AI:$AI)</f>
        <v>0</v>
      </c>
    </row>
    <row r="2283" spans="1:5" x14ac:dyDescent="0.25">
      <c r="A2283" s="46" t="s">
        <v>10852</v>
      </c>
      <c r="B2283" s="46" t="s">
        <v>120</v>
      </c>
      <c r="C2283" s="46" t="s">
        <v>3578</v>
      </c>
      <c r="D2283" s="46">
        <v>5.7000000000000002E-2</v>
      </c>
      <c r="E2283" s="47">
        <f>SUMIF(Data!$E:$E,$C2283,Data!$AI:$AI)</f>
        <v>0</v>
      </c>
    </row>
    <row r="2284" spans="1:5" x14ac:dyDescent="0.25">
      <c r="A2284" s="46" t="s">
        <v>10852</v>
      </c>
      <c r="B2284" s="46" t="s">
        <v>120</v>
      </c>
      <c r="C2284" s="46" t="s">
        <v>5345</v>
      </c>
      <c r="D2284" s="46">
        <v>0.22</v>
      </c>
      <c r="E2284" s="47">
        <f>SUMIF(Data!$E:$E,$C2284,Data!$AI:$AI)</f>
        <v>0</v>
      </c>
    </row>
    <row r="2285" spans="1:5" x14ac:dyDescent="0.25">
      <c r="A2285" s="46" t="s">
        <v>10852</v>
      </c>
      <c r="B2285" s="46" t="s">
        <v>120</v>
      </c>
      <c r="C2285" s="46" t="s">
        <v>5716</v>
      </c>
      <c r="D2285" s="46">
        <v>7.4999999999999997E-2</v>
      </c>
      <c r="E2285" s="47">
        <f>SUMIF(Data!$E:$E,$C2285,Data!$AI:$AI)</f>
        <v>0</v>
      </c>
    </row>
    <row r="2286" spans="1:5" x14ac:dyDescent="0.25">
      <c r="A2286" s="46" t="s">
        <v>10852</v>
      </c>
      <c r="B2286" s="46" t="s">
        <v>120</v>
      </c>
      <c r="C2286" s="46" t="s">
        <v>5351</v>
      </c>
      <c r="D2286" s="46">
        <v>0.11799999999999999</v>
      </c>
      <c r="E2286" s="47">
        <f>SUMIF(Data!$E:$E,$C2286,Data!$AI:$AI)</f>
        <v>0</v>
      </c>
    </row>
    <row r="2287" spans="1:5" x14ac:dyDescent="0.25">
      <c r="A2287" s="46" t="s">
        <v>10852</v>
      </c>
      <c r="B2287" s="46" t="s">
        <v>120</v>
      </c>
      <c r="C2287" s="46" t="s">
        <v>4602</v>
      </c>
      <c r="D2287" s="46">
        <v>0.55600000000000005</v>
      </c>
      <c r="E2287" s="47">
        <f>SUMIF(Data!$E:$E,$C2287,Data!$AI:$AI)</f>
        <v>0</v>
      </c>
    </row>
    <row r="2288" spans="1:5" x14ac:dyDescent="0.25">
      <c r="A2288" s="46" t="s">
        <v>10852</v>
      </c>
      <c r="B2288" s="46" t="s">
        <v>120</v>
      </c>
      <c r="C2288" s="46" t="s">
        <v>5722</v>
      </c>
      <c r="D2288" s="46">
        <v>8.1000000000000003E-2</v>
      </c>
      <c r="E2288" s="47">
        <f>SUMIF(Data!$E:$E,$C2288,Data!$AI:$AI)</f>
        <v>0</v>
      </c>
    </row>
    <row r="2289" spans="1:5" x14ac:dyDescent="0.25">
      <c r="A2289" s="46" t="s">
        <v>10852</v>
      </c>
      <c r="B2289" s="46" t="s">
        <v>120</v>
      </c>
      <c r="C2289" s="46" t="s">
        <v>5729</v>
      </c>
      <c r="D2289" s="46">
        <v>6.7000000000000004E-2</v>
      </c>
      <c r="E2289" s="47">
        <f>SUMIF(Data!$E:$E,$C2289,Data!$AI:$AI)</f>
        <v>0</v>
      </c>
    </row>
    <row r="2290" spans="1:5" x14ac:dyDescent="0.25">
      <c r="A2290" s="46" t="s">
        <v>10852</v>
      </c>
      <c r="B2290" s="46" t="s">
        <v>120</v>
      </c>
      <c r="C2290" s="46" t="s">
        <v>5738</v>
      </c>
      <c r="D2290" s="46">
        <v>0.11600000000000001</v>
      </c>
      <c r="E2290" s="47">
        <f>SUMIF(Data!$E:$E,$C2290,Data!$AI:$AI)</f>
        <v>0</v>
      </c>
    </row>
    <row r="2291" spans="1:5" x14ac:dyDescent="0.25">
      <c r="A2291" s="46" t="s">
        <v>10852</v>
      </c>
      <c r="B2291" s="46" t="s">
        <v>120</v>
      </c>
      <c r="C2291" s="46" t="s">
        <v>5745</v>
      </c>
      <c r="D2291" s="46">
        <v>1.7000000000000001E-2</v>
      </c>
      <c r="E2291" s="47">
        <f>SUMIF(Data!$E:$E,$C2291,Data!$AI:$AI)</f>
        <v>0</v>
      </c>
    </row>
    <row r="2292" spans="1:5" x14ac:dyDescent="0.25">
      <c r="A2292" s="46" t="s">
        <v>10852</v>
      </c>
      <c r="B2292" s="46" t="s">
        <v>120</v>
      </c>
      <c r="C2292" s="46" t="s">
        <v>5752</v>
      </c>
      <c r="D2292" s="46">
        <v>0.124</v>
      </c>
      <c r="E2292" s="47">
        <f>SUMIF(Data!$E:$E,$C2292,Data!$AI:$AI)</f>
        <v>0</v>
      </c>
    </row>
    <row r="2293" spans="1:5" x14ac:dyDescent="0.25">
      <c r="A2293" s="46" t="s">
        <v>10852</v>
      </c>
      <c r="B2293" s="46" t="s">
        <v>120</v>
      </c>
      <c r="C2293" s="46" t="s">
        <v>5759</v>
      </c>
      <c r="D2293" s="46">
        <v>5.8000000000000003E-2</v>
      </c>
      <c r="E2293" s="47">
        <f>SUMIF(Data!$E:$E,$C2293,Data!$AI:$AI)</f>
        <v>0</v>
      </c>
    </row>
    <row r="2294" spans="1:5" x14ac:dyDescent="0.25">
      <c r="A2294" s="46" t="s">
        <v>10852</v>
      </c>
      <c r="B2294" s="46" t="s">
        <v>120</v>
      </c>
      <c r="C2294" s="46" t="s">
        <v>5358</v>
      </c>
      <c r="D2294" s="46">
        <v>6.3E-2</v>
      </c>
      <c r="E2294" s="47">
        <f>SUMIF(Data!$E:$E,$C2294,Data!$AI:$AI)</f>
        <v>0</v>
      </c>
    </row>
    <row r="2295" spans="1:5" x14ac:dyDescent="0.25">
      <c r="A2295" s="46" t="s">
        <v>10852</v>
      </c>
      <c r="B2295" s="46" t="s">
        <v>120</v>
      </c>
      <c r="C2295" s="46" t="s">
        <v>5766</v>
      </c>
      <c r="D2295" s="46">
        <v>4.8000000000000001E-2</v>
      </c>
      <c r="E2295" s="47">
        <f>SUMIF(Data!$E:$E,$C2295,Data!$AI:$AI)</f>
        <v>0</v>
      </c>
    </row>
    <row r="2296" spans="1:5" x14ac:dyDescent="0.25">
      <c r="A2296" s="46" t="s">
        <v>10852</v>
      </c>
      <c r="B2296" s="46" t="s">
        <v>120</v>
      </c>
      <c r="C2296" s="46" t="s">
        <v>5779</v>
      </c>
      <c r="D2296" s="46">
        <v>3.4000000000000002E-2</v>
      </c>
      <c r="E2296" s="47">
        <f>SUMIF(Data!$E:$E,$C2296,Data!$AI:$AI)</f>
        <v>0</v>
      </c>
    </row>
    <row r="2297" spans="1:5" x14ac:dyDescent="0.25">
      <c r="A2297" s="46" t="s">
        <v>10852</v>
      </c>
      <c r="B2297" s="46" t="s">
        <v>120</v>
      </c>
      <c r="C2297" s="46" t="s">
        <v>1777</v>
      </c>
      <c r="D2297" s="46">
        <v>8.4000000000000005E-2</v>
      </c>
      <c r="E2297" s="47">
        <f>SUMIF(Data!$E:$E,$C2297,Data!$AI:$AI)</f>
        <v>0</v>
      </c>
    </row>
    <row r="2298" spans="1:5" x14ac:dyDescent="0.25">
      <c r="A2298" s="46" t="s">
        <v>10852</v>
      </c>
      <c r="B2298" s="46" t="s">
        <v>120</v>
      </c>
      <c r="C2298" s="46" t="s">
        <v>7557</v>
      </c>
      <c r="D2298" s="46">
        <v>3.1E-2</v>
      </c>
      <c r="E2298" s="47">
        <f>SUMIF(Data!$E:$E,$C2298,Data!$AI:$AI)</f>
        <v>0</v>
      </c>
    </row>
    <row r="2299" spans="1:5" x14ac:dyDescent="0.25">
      <c r="A2299" s="46" t="s">
        <v>10852</v>
      </c>
      <c r="B2299" s="46" t="s">
        <v>120</v>
      </c>
      <c r="C2299" s="46" t="s">
        <v>4610</v>
      </c>
      <c r="D2299" s="46">
        <v>0.17399999999999999</v>
      </c>
      <c r="E2299" s="47">
        <f>SUMIF(Data!$E:$E,$C2299,Data!$AI:$AI)</f>
        <v>0</v>
      </c>
    </row>
    <row r="2300" spans="1:5" x14ac:dyDescent="0.25">
      <c r="A2300" s="46" t="s">
        <v>10852</v>
      </c>
      <c r="B2300" s="46" t="s">
        <v>120</v>
      </c>
      <c r="C2300" s="46" t="s">
        <v>7580</v>
      </c>
      <c r="D2300" s="46">
        <v>2.3E-2</v>
      </c>
      <c r="E2300" s="47">
        <f>SUMIF(Data!$E:$E,$C2300,Data!$AI:$AI)</f>
        <v>0</v>
      </c>
    </row>
    <row r="2301" spans="1:5" x14ac:dyDescent="0.25">
      <c r="A2301" s="46" t="s">
        <v>10852</v>
      </c>
      <c r="B2301" s="46" t="s">
        <v>120</v>
      </c>
      <c r="C2301" s="46" t="s">
        <v>7601</v>
      </c>
      <c r="D2301" s="46">
        <v>0.03</v>
      </c>
      <c r="E2301" s="47">
        <f>SUMIF(Data!$E:$E,$C2301,Data!$AI:$AI)</f>
        <v>0</v>
      </c>
    </row>
    <row r="2302" spans="1:5" x14ac:dyDescent="0.25">
      <c r="A2302" s="46" t="s">
        <v>10852</v>
      </c>
      <c r="B2302" s="46" t="s">
        <v>120</v>
      </c>
      <c r="C2302" s="46" t="s">
        <v>5792</v>
      </c>
      <c r="D2302" s="46">
        <v>8.9999999999999993E-3</v>
      </c>
      <c r="E2302" s="47">
        <f>SUMIF(Data!$E:$E,$C2302,Data!$AI:$AI)</f>
        <v>0</v>
      </c>
    </row>
    <row r="2303" spans="1:5" x14ac:dyDescent="0.25">
      <c r="A2303" s="46" t="s">
        <v>10852</v>
      </c>
      <c r="B2303" s="46" t="s">
        <v>120</v>
      </c>
      <c r="C2303" s="46" t="s">
        <v>4981</v>
      </c>
      <c r="D2303" s="46">
        <v>0.80400000000000005</v>
      </c>
      <c r="E2303" s="47">
        <f>SUMIF(Data!$E:$E,$C2303,Data!$AI:$AI)</f>
        <v>0</v>
      </c>
    </row>
    <row r="2304" spans="1:5" x14ac:dyDescent="0.25">
      <c r="A2304" s="46" t="s">
        <v>10852</v>
      </c>
      <c r="B2304" s="46" t="s">
        <v>120</v>
      </c>
      <c r="C2304" s="46" t="s">
        <v>5365</v>
      </c>
      <c r="D2304" s="46">
        <v>3.0310000000000001</v>
      </c>
      <c r="E2304" s="47">
        <f>SUMIF(Data!$E:$E,$C2304,Data!$AI:$AI)</f>
        <v>0</v>
      </c>
    </row>
    <row r="2305" spans="1:5" x14ac:dyDescent="0.25">
      <c r="A2305" s="46" t="s">
        <v>10852</v>
      </c>
      <c r="B2305" s="46" t="s">
        <v>120</v>
      </c>
      <c r="C2305" s="46" t="s">
        <v>4988</v>
      </c>
      <c r="D2305" s="46">
        <v>0.75800000000000001</v>
      </c>
      <c r="E2305" s="47">
        <f>SUMIF(Data!$E:$E,$C2305,Data!$AI:$AI)</f>
        <v>0</v>
      </c>
    </row>
    <row r="2306" spans="1:5" x14ac:dyDescent="0.25">
      <c r="A2306" s="46" t="s">
        <v>10852</v>
      </c>
      <c r="B2306" s="46" t="s">
        <v>120</v>
      </c>
      <c r="C2306" s="46" t="s">
        <v>4995</v>
      </c>
      <c r="D2306" s="46">
        <v>1.9550000000000001</v>
      </c>
      <c r="E2306" s="47">
        <f>SUMIF(Data!$E:$E,$C2306,Data!$AI:$AI)</f>
        <v>0</v>
      </c>
    </row>
    <row r="2307" spans="1:5" x14ac:dyDescent="0.25">
      <c r="A2307" s="46" t="s">
        <v>10852</v>
      </c>
      <c r="B2307" s="46" t="s">
        <v>120</v>
      </c>
      <c r="C2307" s="46" t="s">
        <v>5372</v>
      </c>
      <c r="D2307" s="46">
        <v>0.17299999999999999</v>
      </c>
      <c r="E2307" s="47">
        <f>SUMIF(Data!$E:$E,$C2307,Data!$AI:$AI)</f>
        <v>0</v>
      </c>
    </row>
    <row r="2308" spans="1:5" x14ac:dyDescent="0.25">
      <c r="A2308" s="46" t="s">
        <v>10852</v>
      </c>
      <c r="B2308" s="46" t="s">
        <v>120</v>
      </c>
      <c r="C2308" s="46" t="s">
        <v>6335</v>
      </c>
      <c r="D2308" s="46">
        <v>0.188</v>
      </c>
      <c r="E2308" s="47">
        <f>SUMIF(Data!$E:$E,$C2308,Data!$AI:$AI)</f>
        <v>0</v>
      </c>
    </row>
    <row r="2309" spans="1:5" x14ac:dyDescent="0.25">
      <c r="A2309" s="46" t="s">
        <v>10852</v>
      </c>
      <c r="B2309" s="46" t="s">
        <v>120</v>
      </c>
      <c r="C2309" s="46" t="s">
        <v>5379</v>
      </c>
      <c r="D2309" s="46">
        <v>0.113</v>
      </c>
      <c r="E2309" s="47">
        <f>SUMIF(Data!$E:$E,$C2309,Data!$AI:$AI)</f>
        <v>0</v>
      </c>
    </row>
    <row r="2310" spans="1:5" x14ac:dyDescent="0.25">
      <c r="A2310" s="46" t="s">
        <v>10852</v>
      </c>
      <c r="B2310" s="46" t="s">
        <v>120</v>
      </c>
      <c r="C2310" s="46" t="s">
        <v>5386</v>
      </c>
      <c r="D2310" s="46">
        <v>0.152</v>
      </c>
      <c r="E2310" s="47">
        <f>SUMIF(Data!$E:$E,$C2310,Data!$AI:$AI)</f>
        <v>0</v>
      </c>
    </row>
    <row r="2311" spans="1:5" x14ac:dyDescent="0.25">
      <c r="A2311" s="46" t="s">
        <v>10852</v>
      </c>
      <c r="B2311" s="46" t="s">
        <v>120</v>
      </c>
      <c r="C2311" s="46" t="s">
        <v>5806</v>
      </c>
      <c r="D2311" s="46">
        <v>4.7E-2</v>
      </c>
      <c r="E2311" s="47">
        <f>SUMIF(Data!$E:$E,$C2311,Data!$AI:$AI)</f>
        <v>0</v>
      </c>
    </row>
    <row r="2312" spans="1:5" x14ac:dyDescent="0.25">
      <c r="A2312" s="46" t="s">
        <v>10852</v>
      </c>
      <c r="B2312" s="46" t="s">
        <v>120</v>
      </c>
      <c r="C2312" s="46" t="s">
        <v>5002</v>
      </c>
      <c r="D2312" s="46">
        <v>1.1619999999999999</v>
      </c>
      <c r="E2312" s="47">
        <f>SUMIF(Data!$E:$E,$C2312,Data!$AI:$AI)</f>
        <v>0</v>
      </c>
    </row>
    <row r="2313" spans="1:5" x14ac:dyDescent="0.25">
      <c r="A2313" s="46" t="s">
        <v>10852</v>
      </c>
      <c r="B2313" s="46" t="s">
        <v>120</v>
      </c>
      <c r="C2313" s="46" t="s">
        <v>5827</v>
      </c>
      <c r="D2313" s="46">
        <v>2.7E-2</v>
      </c>
      <c r="E2313" s="47">
        <f>SUMIF(Data!$E:$E,$C2313,Data!$AI:$AI)</f>
        <v>0</v>
      </c>
    </row>
    <row r="2314" spans="1:5" x14ac:dyDescent="0.25">
      <c r="A2314" s="46" t="s">
        <v>10860</v>
      </c>
      <c r="B2314" s="46" t="s">
        <v>120</v>
      </c>
      <c r="C2314" s="46" t="s">
        <v>5414</v>
      </c>
      <c r="D2314" s="46">
        <v>1.07601899573402</v>
      </c>
      <c r="E2314" s="47">
        <f>SUMIF(Data!$E:$E,$C2314,Data!$AI:$AI)</f>
        <v>0</v>
      </c>
    </row>
    <row r="2315" spans="1:5" x14ac:dyDescent="0.25">
      <c r="A2315" s="46" t="s">
        <v>10860</v>
      </c>
      <c r="B2315" s="46" t="s">
        <v>120</v>
      </c>
      <c r="C2315" s="46" t="s">
        <v>4859</v>
      </c>
      <c r="D2315" s="46">
        <v>34.389423820508</v>
      </c>
      <c r="E2315" s="47">
        <f>SUMIF(Data!$E:$E,$C2315,Data!$AI:$AI)</f>
        <v>0</v>
      </c>
    </row>
    <row r="2316" spans="1:5" x14ac:dyDescent="0.25">
      <c r="A2316" s="46" t="s">
        <v>10860</v>
      </c>
      <c r="B2316" s="46" t="s">
        <v>120</v>
      </c>
      <c r="C2316" s="46" t="s">
        <v>4968</v>
      </c>
      <c r="D2316" s="46">
        <v>32.389784535972602</v>
      </c>
      <c r="E2316" s="47">
        <f>SUMIF(Data!$E:$E,$C2316,Data!$AI:$AI)</f>
        <v>0</v>
      </c>
    </row>
    <row r="2317" spans="1:5" x14ac:dyDescent="0.25">
      <c r="A2317" s="46" t="s">
        <v>10860</v>
      </c>
      <c r="B2317" s="46" t="s">
        <v>120</v>
      </c>
      <c r="C2317" s="46" t="s">
        <v>4988</v>
      </c>
      <c r="D2317" s="46">
        <v>32.144772647785302</v>
      </c>
      <c r="E2317" s="47">
        <f>SUMIF(Data!$E:$E,$C2317,Data!$AI:$AI)</f>
        <v>0</v>
      </c>
    </row>
    <row r="2318" spans="1:5" x14ac:dyDescent="0.25">
      <c r="A2318" s="46" t="s">
        <v>10861</v>
      </c>
      <c r="B2318" s="46" t="s">
        <v>120</v>
      </c>
      <c r="C2318" s="46" t="s">
        <v>4765</v>
      </c>
      <c r="D2318" s="46">
        <v>89.678924057140307</v>
      </c>
      <c r="E2318" s="47">
        <f>SUMIF(Data!$E:$E,$C2318,Data!$AI:$AI)</f>
        <v>0</v>
      </c>
    </row>
    <row r="2319" spans="1:5" x14ac:dyDescent="0.25">
      <c r="A2319" s="46" t="s">
        <v>10861</v>
      </c>
      <c r="B2319" s="46" t="s">
        <v>120</v>
      </c>
      <c r="C2319" s="46" t="s">
        <v>5636</v>
      </c>
      <c r="D2319" s="46">
        <v>6.7388850439464196</v>
      </c>
      <c r="E2319" s="47">
        <f>SUMIF(Data!$E:$E,$C2319,Data!$AI:$AI)</f>
        <v>0</v>
      </c>
    </row>
    <row r="2320" spans="1:5" x14ac:dyDescent="0.25">
      <c r="A2320" s="46" t="s">
        <v>10861</v>
      </c>
      <c r="B2320" s="46" t="s">
        <v>120</v>
      </c>
      <c r="C2320" s="46" t="s">
        <v>5722</v>
      </c>
      <c r="D2320" s="46">
        <v>3.5821908989132498</v>
      </c>
      <c r="E2320" s="47">
        <f>SUMIF(Data!$E:$E,$C2320,Data!$AI:$AI)</f>
        <v>0</v>
      </c>
    </row>
    <row r="2321" spans="1:5" x14ac:dyDescent="0.25">
      <c r="A2321" s="46" t="s">
        <v>10862</v>
      </c>
      <c r="B2321" s="46" t="s">
        <v>120</v>
      </c>
      <c r="C2321" s="46" t="s">
        <v>4453</v>
      </c>
      <c r="D2321" s="46">
        <v>100</v>
      </c>
      <c r="E2321" s="47">
        <f>SUMIF(Data!$E:$E,$C2321,Data!$AI:$AI)</f>
        <v>0</v>
      </c>
    </row>
    <row r="2322" spans="1:5" x14ac:dyDescent="0.25">
      <c r="A2322" s="46" t="s">
        <v>10863</v>
      </c>
      <c r="B2322" s="46" t="s">
        <v>120</v>
      </c>
      <c r="C2322" s="46" t="s">
        <v>4461</v>
      </c>
      <c r="D2322" s="46">
        <v>0.60554998186368802</v>
      </c>
      <c r="E2322" s="47">
        <f>SUMIF(Data!$E:$E,$C2322,Data!$AI:$AI)</f>
        <v>0</v>
      </c>
    </row>
    <row r="2323" spans="1:5" x14ac:dyDescent="0.25">
      <c r="A2323" s="46" t="s">
        <v>10863</v>
      </c>
      <c r="B2323" s="46" t="s">
        <v>120</v>
      </c>
      <c r="C2323" s="46" t="s">
        <v>4468</v>
      </c>
      <c r="D2323" s="46">
        <v>0.227846218859697</v>
      </c>
      <c r="E2323" s="47">
        <f>SUMIF(Data!$E:$E,$C2323,Data!$AI:$AI)</f>
        <v>0</v>
      </c>
    </row>
    <row r="2324" spans="1:5" x14ac:dyDescent="0.25">
      <c r="A2324" s="46" t="s">
        <v>10863</v>
      </c>
      <c r="B2324" s="46" t="s">
        <v>120</v>
      </c>
      <c r="C2324" s="46" t="s">
        <v>4575</v>
      </c>
      <c r="D2324" s="46">
        <v>17.990370095813301</v>
      </c>
      <c r="E2324" s="47">
        <f>SUMIF(Data!$E:$E,$C2324,Data!$AI:$AI)</f>
        <v>0</v>
      </c>
    </row>
    <row r="2325" spans="1:5" x14ac:dyDescent="0.25">
      <c r="A2325" s="46" t="s">
        <v>10863</v>
      </c>
      <c r="B2325" s="46" t="s">
        <v>120</v>
      </c>
      <c r="C2325" s="46" t="s">
        <v>2014</v>
      </c>
      <c r="D2325" s="46">
        <v>1.6627712277628499</v>
      </c>
      <c r="E2325" s="47">
        <f>SUMIF(Data!$E:$E,$C2325,Data!$AI:$AI)</f>
        <v>0</v>
      </c>
    </row>
    <row r="2326" spans="1:5" x14ac:dyDescent="0.25">
      <c r="A2326" s="46" t="s">
        <v>10863</v>
      </c>
      <c r="B2326" s="46" t="s">
        <v>120</v>
      </c>
      <c r="C2326" s="46" t="s">
        <v>4489</v>
      </c>
      <c r="D2326" s="46">
        <v>3.3627463446259398</v>
      </c>
      <c r="E2326" s="47">
        <f>SUMIF(Data!$E:$E,$C2326,Data!$AI:$AI)</f>
        <v>0</v>
      </c>
    </row>
    <row r="2327" spans="1:5" x14ac:dyDescent="0.25">
      <c r="A2327" s="46" t="s">
        <v>10863</v>
      </c>
      <c r="B2327" s="46" t="s">
        <v>120</v>
      </c>
      <c r="C2327" s="46" t="s">
        <v>4582</v>
      </c>
      <c r="D2327" s="46">
        <v>0.73347747320972001</v>
      </c>
      <c r="E2327" s="47">
        <f>SUMIF(Data!$E:$E,$C2327,Data!$AI:$AI)</f>
        <v>0</v>
      </c>
    </row>
    <row r="2328" spans="1:5" x14ac:dyDescent="0.25">
      <c r="A2328" s="46" t="s">
        <v>10863</v>
      </c>
      <c r="B2328" s="46" t="s">
        <v>120</v>
      </c>
      <c r="C2328" s="46" t="s">
        <v>4589</v>
      </c>
      <c r="D2328" s="46">
        <v>35.435230664098597</v>
      </c>
      <c r="E2328" s="47">
        <f>SUMIF(Data!$E:$E,$C2328,Data!$AI:$AI)</f>
        <v>0</v>
      </c>
    </row>
    <row r="2329" spans="1:5" x14ac:dyDescent="0.25">
      <c r="A2329" s="46" t="s">
        <v>10863</v>
      </c>
      <c r="B2329" s="46" t="s">
        <v>120</v>
      </c>
      <c r="C2329" s="46" t="s">
        <v>4524</v>
      </c>
      <c r="D2329" s="46">
        <v>2.0923410066344799</v>
      </c>
      <c r="E2329" s="47">
        <f>SUMIF(Data!$E:$E,$C2329,Data!$AI:$AI)</f>
        <v>0</v>
      </c>
    </row>
    <row r="2330" spans="1:5" x14ac:dyDescent="0.25">
      <c r="A2330" s="46" t="s">
        <v>10863</v>
      </c>
      <c r="B2330" s="46" t="s">
        <v>120</v>
      </c>
      <c r="C2330" s="46" t="s">
        <v>4496</v>
      </c>
      <c r="D2330" s="46">
        <v>1.90923055348558</v>
      </c>
      <c r="E2330" s="47">
        <f>SUMIF(Data!$E:$E,$C2330,Data!$AI:$AI)</f>
        <v>0</v>
      </c>
    </row>
    <row r="2331" spans="1:5" x14ac:dyDescent="0.25">
      <c r="A2331" s="46" t="s">
        <v>10863</v>
      </c>
      <c r="B2331" s="46" t="s">
        <v>120</v>
      </c>
      <c r="C2331" s="46" t="s">
        <v>4503</v>
      </c>
      <c r="D2331" s="46">
        <v>0.77411727129135</v>
      </c>
      <c r="E2331" s="47">
        <f>SUMIF(Data!$E:$E,$C2331,Data!$AI:$AI)</f>
        <v>0</v>
      </c>
    </row>
    <row r="2332" spans="1:5" x14ac:dyDescent="0.25">
      <c r="A2332" s="46" t="s">
        <v>10863</v>
      </c>
      <c r="B2332" s="46" t="s">
        <v>120</v>
      </c>
      <c r="C2332" s="46" t="s">
        <v>4546</v>
      </c>
      <c r="D2332" s="46">
        <v>0.97276683414797105</v>
      </c>
      <c r="E2332" s="47">
        <f>SUMIF(Data!$E:$E,$C2332,Data!$AI:$AI)</f>
        <v>0</v>
      </c>
    </row>
    <row r="2333" spans="1:5" x14ac:dyDescent="0.25">
      <c r="A2333" s="46" t="s">
        <v>10863</v>
      </c>
      <c r="B2333" s="46" t="s">
        <v>120</v>
      </c>
      <c r="C2333" s="46" t="s">
        <v>4637</v>
      </c>
      <c r="D2333" s="46">
        <v>0.85704143959895396</v>
      </c>
      <c r="E2333" s="47">
        <f>SUMIF(Data!$E:$E,$C2333,Data!$AI:$AI)</f>
        <v>0</v>
      </c>
    </row>
    <row r="2334" spans="1:5" x14ac:dyDescent="0.25">
      <c r="A2334" s="46" t="s">
        <v>10863</v>
      </c>
      <c r="B2334" s="46" t="s">
        <v>120</v>
      </c>
      <c r="C2334" s="46" t="s">
        <v>4553</v>
      </c>
      <c r="D2334" s="46">
        <v>0.16883087146812401</v>
      </c>
      <c r="E2334" s="47">
        <f>SUMIF(Data!$E:$E,$C2334,Data!$AI:$AI)</f>
        <v>0</v>
      </c>
    </row>
    <row r="2335" spans="1:5" x14ac:dyDescent="0.25">
      <c r="A2335" s="46" t="s">
        <v>10863</v>
      </c>
      <c r="B2335" s="46" t="s">
        <v>120</v>
      </c>
      <c r="C2335" s="46" t="s">
        <v>4618</v>
      </c>
      <c r="D2335" s="46">
        <v>2.2841441191704002</v>
      </c>
      <c r="E2335" s="47">
        <f>SUMIF(Data!$E:$E,$C2335,Data!$AI:$AI)</f>
        <v>0</v>
      </c>
    </row>
    <row r="2336" spans="1:5" x14ac:dyDescent="0.25">
      <c r="A2336" s="46" t="s">
        <v>10863</v>
      </c>
      <c r="B2336" s="46" t="s">
        <v>120</v>
      </c>
      <c r="C2336" s="46" t="s">
        <v>4625</v>
      </c>
      <c r="D2336" s="46">
        <v>7.0617529679849804</v>
      </c>
      <c r="E2336" s="47">
        <f>SUMIF(Data!$E:$E,$C2336,Data!$AI:$AI)</f>
        <v>0</v>
      </c>
    </row>
    <row r="2337" spans="1:5" x14ac:dyDescent="0.25">
      <c r="A2337" s="46" t="s">
        <v>10863</v>
      </c>
      <c r="B2337" s="46" t="s">
        <v>120</v>
      </c>
      <c r="C2337" s="46" t="s">
        <v>4560</v>
      </c>
      <c r="D2337" s="46">
        <v>0.81190515378980299</v>
      </c>
      <c r="E2337" s="47">
        <f>SUMIF(Data!$E:$E,$C2337,Data!$AI:$AI)</f>
        <v>0</v>
      </c>
    </row>
    <row r="2338" spans="1:5" x14ac:dyDescent="0.25">
      <c r="A2338" s="46" t="s">
        <v>10863</v>
      </c>
      <c r="B2338" s="46" t="s">
        <v>120</v>
      </c>
      <c r="C2338" s="46" t="s">
        <v>4475</v>
      </c>
      <c r="D2338" s="46">
        <v>0.47013880873882502</v>
      </c>
      <c r="E2338" s="47">
        <f>SUMIF(Data!$E:$E,$C2338,Data!$AI:$AI)</f>
        <v>0</v>
      </c>
    </row>
    <row r="2339" spans="1:5" x14ac:dyDescent="0.25">
      <c r="A2339" s="46" t="s">
        <v>10863</v>
      </c>
      <c r="B2339" s="46" t="s">
        <v>120</v>
      </c>
      <c r="C2339" s="46" t="s">
        <v>517</v>
      </c>
      <c r="D2339" s="46">
        <v>2.5532765908103299</v>
      </c>
      <c r="E2339" s="47">
        <f>SUMIF(Data!$E:$E,$C2339,Data!$AI:$AI)</f>
        <v>0</v>
      </c>
    </row>
    <row r="2340" spans="1:5" x14ac:dyDescent="0.25">
      <c r="A2340" s="46" t="s">
        <v>10863</v>
      </c>
      <c r="B2340" s="46" t="s">
        <v>120</v>
      </c>
      <c r="C2340" s="46" t="s">
        <v>4481</v>
      </c>
      <c r="D2340" s="46">
        <v>15.617593122267399</v>
      </c>
      <c r="E2340" s="47">
        <f>SUMIF(Data!$E:$E,$C2340,Data!$AI:$AI)</f>
        <v>0</v>
      </c>
    </row>
    <row r="2341" spans="1:5" x14ac:dyDescent="0.25">
      <c r="A2341" s="46" t="s">
        <v>10863</v>
      </c>
      <c r="B2341" s="46" t="s">
        <v>120</v>
      </c>
      <c r="C2341" s="46" t="s">
        <v>4644</v>
      </c>
      <c r="D2341" s="46">
        <v>5.6645431306902E-2</v>
      </c>
      <c r="E2341" s="47">
        <f>SUMIF(Data!$E:$E,$C2341,Data!$AI:$AI)</f>
        <v>0</v>
      </c>
    </row>
    <row r="2342" spans="1:5" x14ac:dyDescent="0.25">
      <c r="A2342" s="46" t="s">
        <v>10863</v>
      </c>
      <c r="B2342" s="46" t="s">
        <v>120</v>
      </c>
      <c r="C2342" s="46" t="s">
        <v>4595</v>
      </c>
      <c r="D2342" s="46">
        <v>0.62358194337927897</v>
      </c>
      <c r="E2342" s="47">
        <f>SUMIF(Data!$E:$E,$C2342,Data!$AI:$AI)</f>
        <v>0</v>
      </c>
    </row>
    <row r="2343" spans="1:5" x14ac:dyDescent="0.25">
      <c r="A2343" s="46" t="s">
        <v>10863</v>
      </c>
      <c r="B2343" s="46" t="s">
        <v>120</v>
      </c>
      <c r="C2343" s="46" t="s">
        <v>4510</v>
      </c>
      <c r="D2343" s="46">
        <v>0.15914698867383101</v>
      </c>
      <c r="E2343" s="47">
        <f>SUMIF(Data!$E:$E,$C2343,Data!$AI:$AI)</f>
        <v>0</v>
      </c>
    </row>
    <row r="2344" spans="1:5" x14ac:dyDescent="0.25">
      <c r="A2344" s="46" t="s">
        <v>10863</v>
      </c>
      <c r="B2344" s="46" t="s">
        <v>120</v>
      </c>
      <c r="C2344" s="46" t="s">
        <v>4567</v>
      </c>
      <c r="D2344" s="46">
        <v>0.13580402516724999</v>
      </c>
      <c r="E2344" s="47">
        <f>SUMIF(Data!$E:$E,$C2344,Data!$AI:$AI)</f>
        <v>0</v>
      </c>
    </row>
    <row r="2345" spans="1:5" x14ac:dyDescent="0.25">
      <c r="A2345" s="46" t="s">
        <v>10863</v>
      </c>
      <c r="B2345" s="46" t="s">
        <v>120</v>
      </c>
      <c r="C2345" s="46" t="s">
        <v>4517</v>
      </c>
      <c r="D2345" s="46">
        <v>1.2791740612662199</v>
      </c>
      <c r="E2345" s="47">
        <f>SUMIF(Data!$E:$E,$C2345,Data!$AI:$AI)</f>
        <v>0</v>
      </c>
    </row>
    <row r="2346" spans="1:5" x14ac:dyDescent="0.25">
      <c r="A2346" s="46" t="s">
        <v>10863</v>
      </c>
      <c r="B2346" s="46" t="s">
        <v>120</v>
      </c>
      <c r="C2346" s="46" t="s">
        <v>4602</v>
      </c>
      <c r="D2346" s="46">
        <v>1.57061839320189</v>
      </c>
      <c r="E2346" s="47">
        <f>SUMIF(Data!$E:$E,$C2346,Data!$AI:$AI)</f>
        <v>0</v>
      </c>
    </row>
    <row r="2347" spans="1:5" x14ac:dyDescent="0.25">
      <c r="A2347" s="46" t="s">
        <v>10863</v>
      </c>
      <c r="B2347" s="46" t="s">
        <v>120</v>
      </c>
      <c r="C2347" s="46" t="s">
        <v>4610</v>
      </c>
      <c r="D2347" s="46">
        <v>0.58389841138259402</v>
      </c>
      <c r="E2347" s="47">
        <f>SUMIF(Data!$E:$E,$C2347,Data!$AI:$AI)</f>
        <v>0</v>
      </c>
    </row>
    <row r="2348" spans="1:5" x14ac:dyDescent="0.25">
      <c r="A2348" s="46" t="s">
        <v>10864</v>
      </c>
      <c r="B2348" s="46" t="s">
        <v>120</v>
      </c>
      <c r="C2348" s="46" t="s">
        <v>5428</v>
      </c>
      <c r="D2348" s="46">
        <v>0.68172146419433299</v>
      </c>
      <c r="E2348" s="47">
        <f>SUMIF(Data!$E:$E,$C2348,Data!$AI:$AI)</f>
        <v>0</v>
      </c>
    </row>
    <row r="2349" spans="1:5" x14ac:dyDescent="0.25">
      <c r="A2349" s="46" t="s">
        <v>10864</v>
      </c>
      <c r="B2349" s="46" t="s">
        <v>120</v>
      </c>
      <c r="C2349" s="46" t="s">
        <v>5062</v>
      </c>
      <c r="D2349" s="46">
        <v>8.1637535194026398</v>
      </c>
      <c r="E2349" s="47">
        <f>SUMIF(Data!$E:$E,$C2349,Data!$AI:$AI)</f>
        <v>0</v>
      </c>
    </row>
    <row r="2350" spans="1:5" x14ac:dyDescent="0.25">
      <c r="A2350" s="46" t="s">
        <v>10864</v>
      </c>
      <c r="B2350" s="46" t="s">
        <v>120</v>
      </c>
      <c r="C2350" s="46" t="s">
        <v>4779</v>
      </c>
      <c r="D2350" s="46">
        <v>20.511071914010898</v>
      </c>
      <c r="E2350" s="47">
        <f>SUMIF(Data!$E:$E,$C2350,Data!$AI:$AI)</f>
        <v>0</v>
      </c>
    </row>
    <row r="2351" spans="1:5" x14ac:dyDescent="0.25">
      <c r="A2351" s="46" t="s">
        <v>10864</v>
      </c>
      <c r="B2351" s="46" t="s">
        <v>120</v>
      </c>
      <c r="C2351" s="46" t="s">
        <v>5488</v>
      </c>
      <c r="D2351" s="46">
        <v>1.0118492683756699</v>
      </c>
      <c r="E2351" s="47">
        <f>SUMIF(Data!$E:$E,$C2351,Data!$AI:$AI)</f>
        <v>0</v>
      </c>
    </row>
    <row r="2352" spans="1:5" x14ac:dyDescent="0.25">
      <c r="A2352" s="46" t="s">
        <v>10864</v>
      </c>
      <c r="B2352" s="46" t="s">
        <v>120</v>
      </c>
      <c r="C2352" s="46" t="s">
        <v>5495</v>
      </c>
      <c r="D2352" s="46">
        <v>1.3628248238512699</v>
      </c>
      <c r="E2352" s="47">
        <f>SUMIF(Data!$E:$E,$C2352,Data!$AI:$AI)</f>
        <v>0</v>
      </c>
    </row>
    <row r="2353" spans="1:5" x14ac:dyDescent="0.25">
      <c r="A2353" s="46" t="s">
        <v>10864</v>
      </c>
      <c r="B2353" s="46" t="s">
        <v>120</v>
      </c>
      <c r="C2353" s="46" t="s">
        <v>5112</v>
      </c>
      <c r="D2353" s="46">
        <v>8.3775381123507593</v>
      </c>
      <c r="E2353" s="47">
        <f>SUMIF(Data!$E:$E,$C2353,Data!$AI:$AI)</f>
        <v>0</v>
      </c>
    </row>
    <row r="2354" spans="1:5" x14ac:dyDescent="0.25">
      <c r="A2354" s="46" t="s">
        <v>10864</v>
      </c>
      <c r="B2354" s="46" t="s">
        <v>120</v>
      </c>
      <c r="C2354" s="46" t="s">
        <v>5508</v>
      </c>
      <c r="D2354" s="46">
        <v>0.52089968596416603</v>
      </c>
      <c r="E2354" s="47">
        <f>SUMIF(Data!$E:$E,$C2354,Data!$AI:$AI)</f>
        <v>0</v>
      </c>
    </row>
    <row r="2355" spans="1:5" x14ac:dyDescent="0.25">
      <c r="A2355" s="46" t="s">
        <v>10864</v>
      </c>
      <c r="B2355" s="46" t="s">
        <v>120</v>
      </c>
      <c r="C2355" s="46" t="s">
        <v>5124</v>
      </c>
      <c r="D2355" s="46">
        <v>4.5407719050545303</v>
      </c>
      <c r="E2355" s="47">
        <f>SUMIF(Data!$E:$E,$C2355,Data!$AI:$AI)</f>
        <v>0</v>
      </c>
    </row>
    <row r="2356" spans="1:5" x14ac:dyDescent="0.25">
      <c r="A2356" s="46" t="s">
        <v>10864</v>
      </c>
      <c r="B2356" s="46" t="s">
        <v>120</v>
      </c>
      <c r="C2356" s="46" t="s">
        <v>5535</v>
      </c>
      <c r="D2356" s="46">
        <v>2.0819542869303298</v>
      </c>
      <c r="E2356" s="47">
        <f>SUMIF(Data!$E:$E,$C2356,Data!$AI:$AI)</f>
        <v>0</v>
      </c>
    </row>
    <row r="2357" spans="1:5" x14ac:dyDescent="0.25">
      <c r="A2357" s="46" t="s">
        <v>10864</v>
      </c>
      <c r="B2357" s="46" t="s">
        <v>120</v>
      </c>
      <c r="C2357" s="46" t="s">
        <v>5150</v>
      </c>
      <c r="D2357" s="46">
        <v>3.0250287967471801</v>
      </c>
      <c r="E2357" s="47">
        <f>SUMIF(Data!$E:$E,$C2357,Data!$AI:$AI)</f>
        <v>0</v>
      </c>
    </row>
    <row r="2358" spans="1:5" x14ac:dyDescent="0.25">
      <c r="A2358" s="46" t="s">
        <v>10864</v>
      </c>
      <c r="B2358" s="46" t="s">
        <v>120</v>
      </c>
      <c r="C2358" s="46" t="s">
        <v>5560</v>
      </c>
      <c r="D2358" s="46">
        <v>2.73052044752639</v>
      </c>
      <c r="E2358" s="47">
        <f>SUMIF(Data!$E:$E,$C2358,Data!$AI:$AI)</f>
        <v>0</v>
      </c>
    </row>
    <row r="2359" spans="1:5" x14ac:dyDescent="0.25">
      <c r="A2359" s="46" t="s">
        <v>10864</v>
      </c>
      <c r="B2359" s="46" t="s">
        <v>120</v>
      </c>
      <c r="C2359" s="46" t="s">
        <v>5567</v>
      </c>
      <c r="D2359" s="46">
        <v>0.92999510493767201</v>
      </c>
      <c r="E2359" s="47">
        <f>SUMIF(Data!$E:$E,$C2359,Data!$AI:$AI)</f>
        <v>0</v>
      </c>
    </row>
    <row r="2360" spans="1:5" x14ac:dyDescent="0.25">
      <c r="A2360" s="46" t="s">
        <v>10864</v>
      </c>
      <c r="B2360" s="46" t="s">
        <v>120</v>
      </c>
      <c r="C2360" s="46" t="s">
        <v>4870</v>
      </c>
      <c r="D2360" s="46">
        <v>31.474091568729101</v>
      </c>
      <c r="E2360" s="47">
        <f>SUMIF(Data!$E:$E,$C2360,Data!$AI:$AI)</f>
        <v>0</v>
      </c>
    </row>
    <row r="2361" spans="1:5" x14ac:dyDescent="0.25">
      <c r="A2361" s="46" t="s">
        <v>10864</v>
      </c>
      <c r="B2361" s="46" t="s">
        <v>120</v>
      </c>
      <c r="C2361" s="46" t="s">
        <v>5183</v>
      </c>
      <c r="D2361" s="46">
        <v>3.6992973675192</v>
      </c>
      <c r="E2361" s="47">
        <f>SUMIF(Data!$E:$E,$C2361,Data!$AI:$AI)</f>
        <v>0</v>
      </c>
    </row>
    <row r="2362" spans="1:5" x14ac:dyDescent="0.25">
      <c r="A2362" s="46" t="s">
        <v>10864</v>
      </c>
      <c r="B2362" s="46" t="s">
        <v>120</v>
      </c>
      <c r="C2362" s="46" t="s">
        <v>1783</v>
      </c>
      <c r="D2362" s="46">
        <v>4.3551833455185696</v>
      </c>
      <c r="E2362" s="47">
        <f>SUMIF(Data!$E:$E,$C2362,Data!$AI:$AI)</f>
        <v>0</v>
      </c>
    </row>
    <row r="2363" spans="1:5" x14ac:dyDescent="0.25">
      <c r="A2363" s="46" t="s">
        <v>10864</v>
      </c>
      <c r="B2363" s="46" t="s">
        <v>120</v>
      </c>
      <c r="C2363" s="46" t="s">
        <v>5595</v>
      </c>
      <c r="D2363" s="46">
        <v>1.63665774898917</v>
      </c>
      <c r="E2363" s="47">
        <f>SUMIF(Data!$E:$E,$C2363,Data!$AI:$AI)</f>
        <v>0</v>
      </c>
    </row>
    <row r="2364" spans="1:5" x14ac:dyDescent="0.25">
      <c r="A2364" s="46" t="s">
        <v>10864</v>
      </c>
      <c r="B2364" s="46" t="s">
        <v>120</v>
      </c>
      <c r="C2364" s="46" t="s">
        <v>5602</v>
      </c>
      <c r="D2364" s="46">
        <v>2.4673732216670698</v>
      </c>
      <c r="E2364" s="47">
        <f>SUMIF(Data!$E:$E,$C2364,Data!$AI:$AI)</f>
        <v>0</v>
      </c>
    </row>
    <row r="2365" spans="1:5" x14ac:dyDescent="0.25">
      <c r="A2365" s="46" t="s">
        <v>10864</v>
      </c>
      <c r="B2365" s="46" t="s">
        <v>120</v>
      </c>
      <c r="C2365" s="46" t="s">
        <v>5622</v>
      </c>
      <c r="D2365" s="46">
        <v>0.81028886615328599</v>
      </c>
      <c r="E2365" s="47">
        <f>SUMIF(Data!$E:$E,$C2365,Data!$AI:$AI)</f>
        <v>0</v>
      </c>
    </row>
    <row r="2366" spans="1:5" x14ac:dyDescent="0.25">
      <c r="A2366" s="46" t="s">
        <v>10864</v>
      </c>
      <c r="B2366" s="46" t="s">
        <v>120</v>
      </c>
      <c r="C2366" s="46" t="s">
        <v>5644</v>
      </c>
      <c r="D2366" s="46">
        <v>0.169458885433942</v>
      </c>
      <c r="E2366" s="47">
        <f>SUMIF(Data!$E:$E,$C2366,Data!$AI:$AI)</f>
        <v>0</v>
      </c>
    </row>
    <row r="2367" spans="1:5" x14ac:dyDescent="0.25">
      <c r="A2367" s="46" t="s">
        <v>10864</v>
      </c>
      <c r="B2367" s="46" t="s">
        <v>120</v>
      </c>
      <c r="C2367" s="46" t="s">
        <v>5682</v>
      </c>
      <c r="D2367" s="46">
        <v>1.17640835815834</v>
      </c>
      <c r="E2367" s="47">
        <f>SUMIF(Data!$E:$E,$C2367,Data!$AI:$AI)</f>
        <v>0</v>
      </c>
    </row>
    <row r="2368" spans="1:5" x14ac:dyDescent="0.25">
      <c r="A2368" s="46" t="s">
        <v>10864</v>
      </c>
      <c r="B2368" s="46" t="s">
        <v>120</v>
      </c>
      <c r="C2368" s="46" t="s">
        <v>5799</v>
      </c>
      <c r="D2368" s="46">
        <v>0.27331130848547303</v>
      </c>
      <c r="E2368" s="47">
        <f>SUMIF(Data!$E:$E,$C2368,Data!$AI:$AI)</f>
        <v>0</v>
      </c>
    </row>
    <row r="2369" spans="1:5" x14ac:dyDescent="0.25">
      <c r="A2369" s="46" t="s">
        <v>10865</v>
      </c>
      <c r="B2369" s="46" t="s">
        <v>120</v>
      </c>
      <c r="C2369" s="46" t="s">
        <v>5441</v>
      </c>
      <c r="D2369" s="46">
        <v>1.03130820180459</v>
      </c>
      <c r="E2369" s="47">
        <f>SUMIF(Data!$E:$E,$C2369,Data!$AI:$AI)</f>
        <v>0</v>
      </c>
    </row>
    <row r="2370" spans="1:5" x14ac:dyDescent="0.25">
      <c r="A2370" s="46" t="s">
        <v>10865</v>
      </c>
      <c r="B2370" s="46" t="s">
        <v>120</v>
      </c>
      <c r="C2370" s="46" t="s">
        <v>5048</v>
      </c>
      <c r="D2370" s="46">
        <v>3.94208600439101</v>
      </c>
      <c r="E2370" s="47">
        <f>SUMIF(Data!$E:$E,$C2370,Data!$AI:$AI)</f>
        <v>0</v>
      </c>
    </row>
    <row r="2371" spans="1:5" x14ac:dyDescent="0.25">
      <c r="A2371" s="46" t="s">
        <v>10865</v>
      </c>
      <c r="B2371" s="46" t="s">
        <v>120</v>
      </c>
      <c r="C2371" s="46" t="s">
        <v>5528</v>
      </c>
      <c r="D2371" s="46">
        <v>0.38576374189495699</v>
      </c>
      <c r="E2371" s="47">
        <f>SUMIF(Data!$E:$E,$C2371,Data!$AI:$AI)</f>
        <v>0</v>
      </c>
    </row>
    <row r="2372" spans="1:5" x14ac:dyDescent="0.25">
      <c r="A2372" s="46" t="s">
        <v>10865</v>
      </c>
      <c r="B2372" s="46" t="s">
        <v>120</v>
      </c>
      <c r="C2372" s="46" t="s">
        <v>5163</v>
      </c>
      <c r="D2372" s="46">
        <v>0.37349099417704001</v>
      </c>
      <c r="E2372" s="47">
        <f>SUMIF(Data!$E:$E,$C2372,Data!$AI:$AI)</f>
        <v>0</v>
      </c>
    </row>
    <row r="2373" spans="1:5" x14ac:dyDescent="0.25">
      <c r="A2373" s="46" t="s">
        <v>10865</v>
      </c>
      <c r="B2373" s="46" t="s">
        <v>120</v>
      </c>
      <c r="C2373" s="46" t="s">
        <v>4923</v>
      </c>
      <c r="D2373" s="46">
        <v>4.9655121043076402</v>
      </c>
      <c r="E2373" s="47">
        <f>SUMIF(Data!$E:$E,$C2373,Data!$AI:$AI)</f>
        <v>0</v>
      </c>
    </row>
    <row r="2374" spans="1:5" x14ac:dyDescent="0.25">
      <c r="A2374" s="46" t="s">
        <v>10865</v>
      </c>
      <c r="B2374" s="46" t="s">
        <v>120</v>
      </c>
      <c r="C2374" s="46" t="s">
        <v>5225</v>
      </c>
      <c r="D2374" s="46">
        <v>0.75926250492131797</v>
      </c>
      <c r="E2374" s="47">
        <f>SUMIF(Data!$E:$E,$C2374,Data!$AI:$AI)</f>
        <v>0</v>
      </c>
    </row>
    <row r="2375" spans="1:5" x14ac:dyDescent="0.25">
      <c r="A2375" s="46" t="s">
        <v>10865</v>
      </c>
      <c r="B2375" s="46" t="s">
        <v>120</v>
      </c>
      <c r="C2375" s="46" t="s">
        <v>4006</v>
      </c>
      <c r="D2375" s="46">
        <v>1.4455266470641399</v>
      </c>
      <c r="E2375" s="47">
        <f>SUMIF(Data!$E:$E,$C2375,Data!$AI:$AI)</f>
        <v>0</v>
      </c>
    </row>
    <row r="2376" spans="1:5" x14ac:dyDescent="0.25">
      <c r="A2376" s="46" t="s">
        <v>10865</v>
      </c>
      <c r="B2376" s="46" t="s">
        <v>120</v>
      </c>
      <c r="C2376" s="46" t="s">
        <v>1939</v>
      </c>
      <c r="D2376" s="46">
        <v>64.942221113802006</v>
      </c>
      <c r="E2376" s="47">
        <f>SUMIF(Data!$E:$E,$C2376,Data!$AI:$AI)</f>
        <v>0</v>
      </c>
    </row>
    <row r="2377" spans="1:5" x14ac:dyDescent="0.25">
      <c r="A2377" s="46" t="s">
        <v>10865</v>
      </c>
      <c r="B2377" s="46" t="s">
        <v>120</v>
      </c>
      <c r="C2377" s="46" t="s">
        <v>4948</v>
      </c>
      <c r="D2377" s="46">
        <v>19.339349578374499</v>
      </c>
      <c r="E2377" s="47">
        <f>SUMIF(Data!$E:$E,$C2377,Data!$AI:$AI)</f>
        <v>0</v>
      </c>
    </row>
    <row r="2378" spans="1:5" x14ac:dyDescent="0.25">
      <c r="A2378" s="46" t="s">
        <v>10865</v>
      </c>
      <c r="B2378" s="46" t="s">
        <v>120</v>
      </c>
      <c r="C2378" s="46" t="s">
        <v>5662</v>
      </c>
      <c r="D2378" s="46">
        <v>0.27032453158778402</v>
      </c>
      <c r="E2378" s="47">
        <f>SUMIF(Data!$E:$E,$C2378,Data!$AI:$AI)</f>
        <v>0</v>
      </c>
    </row>
    <row r="2379" spans="1:5" x14ac:dyDescent="0.25">
      <c r="A2379" s="46" t="s">
        <v>10865</v>
      </c>
      <c r="B2379" s="46" t="s">
        <v>120</v>
      </c>
      <c r="C2379" s="46" t="s">
        <v>3578</v>
      </c>
      <c r="D2379" s="46">
        <v>0.45096230102611501</v>
      </c>
      <c r="E2379" s="47">
        <f>SUMIF(Data!$E:$E,$C2379,Data!$AI:$AI)</f>
        <v>0</v>
      </c>
    </row>
    <row r="2380" spans="1:5" x14ac:dyDescent="0.25">
      <c r="A2380" s="46" t="s">
        <v>10865</v>
      </c>
      <c r="B2380" s="46" t="s">
        <v>120</v>
      </c>
      <c r="C2380" s="46" t="s">
        <v>5766</v>
      </c>
      <c r="D2380" s="46">
        <v>0.27577824214312202</v>
      </c>
      <c r="E2380" s="47">
        <f>SUMIF(Data!$E:$E,$C2380,Data!$AI:$AI)</f>
        <v>0</v>
      </c>
    </row>
    <row r="2381" spans="1:5" x14ac:dyDescent="0.25">
      <c r="A2381" s="46" t="s">
        <v>10865</v>
      </c>
      <c r="B2381" s="46" t="s">
        <v>120</v>
      </c>
      <c r="C2381" s="46" t="s">
        <v>5365</v>
      </c>
      <c r="D2381" s="46">
        <v>0.58510444462898603</v>
      </c>
      <c r="E2381" s="47">
        <f>SUMIF(Data!$E:$E,$C2381,Data!$AI:$AI)</f>
        <v>0</v>
      </c>
    </row>
    <row r="2382" spans="1:5" x14ac:dyDescent="0.25">
      <c r="A2382" s="46" t="s">
        <v>10865</v>
      </c>
      <c r="B2382" s="46" t="s">
        <v>120</v>
      </c>
      <c r="C2382" s="46" t="s">
        <v>5833</v>
      </c>
      <c r="D2382" s="46">
        <v>0.22685929819450601</v>
      </c>
      <c r="E2382" s="47">
        <f>SUMIF(Data!$E:$E,$C2382,Data!$AI:$AI)</f>
        <v>0</v>
      </c>
    </row>
    <row r="2383" spans="1:5" x14ac:dyDescent="0.25">
      <c r="A2383" s="46" t="s">
        <v>10865</v>
      </c>
      <c r="B2383" s="46" t="s">
        <v>120</v>
      </c>
      <c r="C2383" s="46" t="s">
        <v>5399</v>
      </c>
      <c r="D2383" s="46">
        <v>1.00645029168227</v>
      </c>
      <c r="E2383" s="47">
        <f>SUMIF(Data!$E:$E,$C2383,Data!$AI:$AI)</f>
        <v>0</v>
      </c>
    </row>
    <row r="2384" spans="1:5" x14ac:dyDescent="0.25">
      <c r="A2384" s="46" t="s">
        <v>10866</v>
      </c>
      <c r="B2384" s="46" t="s">
        <v>120</v>
      </c>
      <c r="C2384" s="46" t="s">
        <v>5170</v>
      </c>
      <c r="D2384" s="46">
        <v>8.1082676403877407</v>
      </c>
      <c r="E2384" s="47">
        <f>SUMIF(Data!$E:$E,$C2384,Data!$AI:$AI)</f>
        <v>0</v>
      </c>
    </row>
    <row r="2385" spans="1:5" x14ac:dyDescent="0.25">
      <c r="A2385" s="46" t="s">
        <v>10866</v>
      </c>
      <c r="B2385" s="46" t="s">
        <v>120</v>
      </c>
      <c r="C2385" s="46" t="s">
        <v>4897</v>
      </c>
      <c r="D2385" s="46">
        <v>29.759160862744501</v>
      </c>
      <c r="E2385" s="47">
        <f>SUMIF(Data!$E:$E,$C2385,Data!$AI:$AI)</f>
        <v>0</v>
      </c>
    </row>
    <row r="2386" spans="1:5" x14ac:dyDescent="0.25">
      <c r="A2386" s="46" t="s">
        <v>10866</v>
      </c>
      <c r="B2386" s="46" t="s">
        <v>120</v>
      </c>
      <c r="C2386" s="46" t="s">
        <v>4916</v>
      </c>
      <c r="D2386" s="46">
        <v>11.787420698597501</v>
      </c>
      <c r="E2386" s="47">
        <f>SUMIF(Data!$E:$E,$C2386,Data!$AI:$AI)</f>
        <v>0</v>
      </c>
    </row>
    <row r="2387" spans="1:5" x14ac:dyDescent="0.25">
      <c r="A2387" s="46" t="s">
        <v>10866</v>
      </c>
      <c r="B2387" s="46" t="s">
        <v>120</v>
      </c>
      <c r="C2387" s="46" t="s">
        <v>4961</v>
      </c>
      <c r="D2387" s="46">
        <v>13.839640670924499</v>
      </c>
      <c r="E2387" s="47">
        <f>SUMIF(Data!$E:$E,$C2387,Data!$AI:$AI)</f>
        <v>0</v>
      </c>
    </row>
    <row r="2388" spans="1:5" x14ac:dyDescent="0.25">
      <c r="A2388" s="46" t="s">
        <v>10866</v>
      </c>
      <c r="B2388" s="46" t="s">
        <v>120</v>
      </c>
      <c r="C2388" s="46" t="s">
        <v>4995</v>
      </c>
      <c r="D2388" s="46">
        <v>32.404184631501799</v>
      </c>
      <c r="E2388" s="47">
        <f>SUMIF(Data!$E:$E,$C2388,Data!$AI:$AI)</f>
        <v>0</v>
      </c>
    </row>
    <row r="2389" spans="1:5" x14ac:dyDescent="0.25">
      <c r="A2389" s="46" t="s">
        <v>10866</v>
      </c>
      <c r="B2389" s="46" t="s">
        <v>120</v>
      </c>
      <c r="C2389" s="46" t="s">
        <v>5386</v>
      </c>
      <c r="D2389" s="46">
        <v>4.1013254958439003</v>
      </c>
      <c r="E2389" s="47">
        <f>SUMIF(Data!$E:$E,$C2389,Data!$AI:$AI)</f>
        <v>0</v>
      </c>
    </row>
    <row r="2390" spans="1:5" x14ac:dyDescent="0.25">
      <c r="A2390" s="46" t="s">
        <v>10867</v>
      </c>
      <c r="B2390" s="46" t="s">
        <v>120</v>
      </c>
      <c r="C2390" s="46" t="s">
        <v>5421</v>
      </c>
      <c r="D2390" s="46">
        <v>3.34897363430788</v>
      </c>
      <c r="E2390" s="47">
        <f>SUMIF(Data!$E:$E,$C2390,Data!$AI:$AI)</f>
        <v>0</v>
      </c>
    </row>
    <row r="2391" spans="1:5" x14ac:dyDescent="0.25">
      <c r="A2391" s="46" t="s">
        <v>10867</v>
      </c>
      <c r="B2391" s="46" t="s">
        <v>120</v>
      </c>
      <c r="C2391" s="46" t="s">
        <v>5460</v>
      </c>
      <c r="D2391" s="46">
        <v>2.6142711144401498</v>
      </c>
      <c r="E2391" s="47">
        <f>SUMIF(Data!$E:$E,$C2391,Data!$AI:$AI)</f>
        <v>0</v>
      </c>
    </row>
    <row r="2392" spans="1:5" x14ac:dyDescent="0.25">
      <c r="A2392" s="46" t="s">
        <v>10867</v>
      </c>
      <c r="B2392" s="46" t="s">
        <v>120</v>
      </c>
      <c r="C2392" s="46" t="s">
        <v>5515</v>
      </c>
      <c r="D2392" s="46">
        <v>1.06608081348941</v>
      </c>
      <c r="E2392" s="47">
        <f>SUMIF(Data!$E:$E,$C2392,Data!$AI:$AI)</f>
        <v>0</v>
      </c>
    </row>
    <row r="2393" spans="1:5" x14ac:dyDescent="0.25">
      <c r="A2393" s="46" t="s">
        <v>10867</v>
      </c>
      <c r="B2393" s="46" t="s">
        <v>120</v>
      </c>
      <c r="C2393" s="46" t="s">
        <v>5138</v>
      </c>
      <c r="D2393" s="46">
        <v>4.2063346234168497</v>
      </c>
      <c r="E2393" s="47">
        <f>SUMIF(Data!$E:$E,$C2393,Data!$AI:$AI)</f>
        <v>0</v>
      </c>
    </row>
    <row r="2394" spans="1:5" x14ac:dyDescent="0.25">
      <c r="A2394" s="46" t="s">
        <v>10867</v>
      </c>
      <c r="B2394" s="46" t="s">
        <v>120</v>
      </c>
      <c r="C2394" s="46" t="s">
        <v>3898</v>
      </c>
      <c r="D2394" s="46">
        <v>15.440819730426799</v>
      </c>
      <c r="E2394" s="47">
        <f>SUMIF(Data!$E:$E,$C2394,Data!$AI:$AI)</f>
        <v>0</v>
      </c>
    </row>
    <row r="2395" spans="1:5" x14ac:dyDescent="0.25">
      <c r="A2395" s="46" t="s">
        <v>10867</v>
      </c>
      <c r="B2395" s="46" t="s">
        <v>120</v>
      </c>
      <c r="C2395" s="46" t="s">
        <v>4935</v>
      </c>
      <c r="D2395" s="46">
        <v>20.5804939299015</v>
      </c>
      <c r="E2395" s="47">
        <f>SUMIF(Data!$E:$E,$C2395,Data!$AI:$AI)</f>
        <v>0</v>
      </c>
    </row>
    <row r="2396" spans="1:5" x14ac:dyDescent="0.25">
      <c r="A2396" s="46" t="s">
        <v>10867</v>
      </c>
      <c r="B2396" s="46" t="s">
        <v>120</v>
      </c>
      <c r="C2396" s="46" t="s">
        <v>5268</v>
      </c>
      <c r="D2396" s="46">
        <v>2.4896457870622402</v>
      </c>
      <c r="E2396" s="47">
        <f>SUMIF(Data!$E:$E,$C2396,Data!$AI:$AI)</f>
        <v>0</v>
      </c>
    </row>
    <row r="2397" spans="1:5" x14ac:dyDescent="0.25">
      <c r="A2397" s="46" t="s">
        <v>10867</v>
      </c>
      <c r="B2397" s="46" t="s">
        <v>120</v>
      </c>
      <c r="C2397" s="46" t="s">
        <v>4975</v>
      </c>
      <c r="D2397" s="46">
        <v>16.939281143939599</v>
      </c>
      <c r="E2397" s="47">
        <f>SUMIF(Data!$E:$E,$C2397,Data!$AI:$AI)</f>
        <v>0</v>
      </c>
    </row>
    <row r="2398" spans="1:5" x14ac:dyDescent="0.25">
      <c r="A2398" s="46" t="s">
        <v>10867</v>
      </c>
      <c r="B2398" s="46" t="s">
        <v>120</v>
      </c>
      <c r="C2398" s="46" t="s">
        <v>5313</v>
      </c>
      <c r="D2398" s="46">
        <v>2.05670182761307</v>
      </c>
      <c r="E2398" s="47">
        <f>SUMIF(Data!$E:$E,$C2398,Data!$AI:$AI)</f>
        <v>0</v>
      </c>
    </row>
    <row r="2399" spans="1:5" x14ac:dyDescent="0.25">
      <c r="A2399" s="46" t="s">
        <v>10867</v>
      </c>
      <c r="B2399" s="46" t="s">
        <v>120</v>
      </c>
      <c r="C2399" s="46" t="s">
        <v>4981</v>
      </c>
      <c r="D2399" s="46">
        <v>25.431619577928998</v>
      </c>
      <c r="E2399" s="47">
        <f>SUMIF(Data!$E:$E,$C2399,Data!$AI:$AI)</f>
        <v>0</v>
      </c>
    </row>
    <row r="2400" spans="1:5" x14ac:dyDescent="0.25">
      <c r="A2400" s="46" t="s">
        <v>10867</v>
      </c>
      <c r="B2400" s="46" t="s">
        <v>120</v>
      </c>
      <c r="C2400" s="46" t="s">
        <v>5827</v>
      </c>
      <c r="D2400" s="46">
        <v>0.50789164710432599</v>
      </c>
      <c r="E2400" s="47">
        <f>SUMIF(Data!$E:$E,$C2400,Data!$AI:$AI)</f>
        <v>0</v>
      </c>
    </row>
    <row r="2401" spans="1:5" x14ac:dyDescent="0.25">
      <c r="A2401" s="46" t="s">
        <v>10867</v>
      </c>
      <c r="B2401" s="46" t="s">
        <v>120</v>
      </c>
      <c r="C2401" s="46" t="s">
        <v>5393</v>
      </c>
      <c r="D2401" s="46">
        <v>0.348836513532922</v>
      </c>
      <c r="E2401" s="47">
        <f>SUMIF(Data!$E:$E,$C2401,Data!$AI:$AI)</f>
        <v>0</v>
      </c>
    </row>
    <row r="2402" spans="1:5" x14ac:dyDescent="0.25">
      <c r="A2402" s="46" t="s">
        <v>10867</v>
      </c>
      <c r="B2402" s="46" t="s">
        <v>120</v>
      </c>
      <c r="C2402" s="46" t="s">
        <v>6747</v>
      </c>
      <c r="D2402" s="46">
        <v>4.9690496568362903</v>
      </c>
      <c r="E2402" s="47">
        <f>SUMIF(Data!$E:$E,$C2402,Data!$AI:$AI)</f>
        <v>0</v>
      </c>
    </row>
    <row r="2403" spans="1:5" x14ac:dyDescent="0.25">
      <c r="A2403" s="46" t="s">
        <v>10868</v>
      </c>
      <c r="B2403" s="46" t="s">
        <v>120</v>
      </c>
      <c r="C2403" s="46" t="s">
        <v>5414</v>
      </c>
      <c r="D2403" s="46">
        <v>0.64888555766511302</v>
      </c>
      <c r="E2403" s="47">
        <f>SUMIF(Data!$E:$E,$C2403,Data!$AI:$AI)</f>
        <v>0</v>
      </c>
    </row>
    <row r="2404" spans="1:5" x14ac:dyDescent="0.25">
      <c r="A2404" s="46" t="s">
        <v>10868</v>
      </c>
      <c r="B2404" s="46" t="s">
        <v>120</v>
      </c>
      <c r="C2404" s="46" t="s">
        <v>4765</v>
      </c>
      <c r="D2404" s="46">
        <v>35.598690456869399</v>
      </c>
      <c r="E2404" s="47">
        <f>SUMIF(Data!$E:$E,$C2404,Data!$AI:$AI)</f>
        <v>0</v>
      </c>
    </row>
    <row r="2405" spans="1:5" x14ac:dyDescent="0.25">
      <c r="A2405" s="46" t="s">
        <v>10868</v>
      </c>
      <c r="B2405" s="46" t="s">
        <v>120</v>
      </c>
      <c r="C2405" s="46" t="s">
        <v>4859</v>
      </c>
      <c r="D2405" s="46">
        <v>20.7382960170976</v>
      </c>
      <c r="E2405" s="47">
        <f>SUMIF(Data!$E:$E,$C2405,Data!$AI:$AI)</f>
        <v>0</v>
      </c>
    </row>
    <row r="2406" spans="1:5" x14ac:dyDescent="0.25">
      <c r="A2406" s="46" t="s">
        <v>10868</v>
      </c>
      <c r="B2406" s="46" t="s">
        <v>120</v>
      </c>
      <c r="C2406" s="46" t="s">
        <v>5636</v>
      </c>
      <c r="D2406" s="46">
        <v>2.6750486273789602</v>
      </c>
      <c r="E2406" s="47">
        <f>SUMIF(Data!$E:$E,$C2406,Data!$AI:$AI)</f>
        <v>0</v>
      </c>
    </row>
    <row r="2407" spans="1:5" x14ac:dyDescent="0.25">
      <c r="A2407" s="46" t="s">
        <v>10868</v>
      </c>
      <c r="B2407" s="46" t="s">
        <v>120</v>
      </c>
      <c r="C2407" s="46" t="s">
        <v>4968</v>
      </c>
      <c r="D2407" s="46">
        <v>19.532427851740898</v>
      </c>
      <c r="E2407" s="47">
        <f>SUMIF(Data!$E:$E,$C2407,Data!$AI:$AI)</f>
        <v>0</v>
      </c>
    </row>
    <row r="2408" spans="1:5" x14ac:dyDescent="0.25">
      <c r="A2408" s="46" t="s">
        <v>10868</v>
      </c>
      <c r="B2408" s="46" t="s">
        <v>120</v>
      </c>
      <c r="C2408" s="46" t="s">
        <v>5722</v>
      </c>
      <c r="D2408" s="46">
        <v>1.42197630389249</v>
      </c>
      <c r="E2408" s="47">
        <f>SUMIF(Data!$E:$E,$C2408,Data!$AI:$AI)</f>
        <v>0</v>
      </c>
    </row>
    <row r="2409" spans="1:5" x14ac:dyDescent="0.25">
      <c r="A2409" s="46" t="s">
        <v>10868</v>
      </c>
      <c r="B2409" s="46" t="s">
        <v>120</v>
      </c>
      <c r="C2409" s="46" t="s">
        <v>4988</v>
      </c>
      <c r="D2409" s="46">
        <v>19.384675185355501</v>
      </c>
      <c r="E2409" s="47">
        <f>SUMIF(Data!$E:$E,$C2409,Data!$AI:$AI)</f>
        <v>0</v>
      </c>
    </row>
    <row r="2410" spans="1:5" x14ac:dyDescent="0.25">
      <c r="A2410" s="46" t="s">
        <v>10869</v>
      </c>
      <c r="B2410" s="46" t="s">
        <v>120</v>
      </c>
      <c r="C2410" s="46" t="s">
        <v>5421</v>
      </c>
      <c r="D2410" s="46">
        <v>0.44141750725163398</v>
      </c>
      <c r="E2410" s="47">
        <f>SUMIF(Data!$E:$E,$C2410,Data!$AI:$AI)</f>
        <v>0</v>
      </c>
    </row>
    <row r="2411" spans="1:5" x14ac:dyDescent="0.25">
      <c r="A2411" s="46" t="s">
        <v>10869</v>
      </c>
      <c r="B2411" s="46" t="s">
        <v>120</v>
      </c>
      <c r="C2411" s="46" t="s">
        <v>5454</v>
      </c>
      <c r="D2411" s="46">
        <v>0.25453306761162803</v>
      </c>
      <c r="E2411" s="47">
        <f>SUMIF(Data!$E:$E,$C2411,Data!$AI:$AI)</f>
        <v>0</v>
      </c>
    </row>
    <row r="2412" spans="1:5" x14ac:dyDescent="0.25">
      <c r="A2412" s="46" t="s">
        <v>10869</v>
      </c>
      <c r="B2412" s="46" t="s">
        <v>120</v>
      </c>
      <c r="C2412" s="46" t="s">
        <v>5460</v>
      </c>
      <c r="D2412" s="46">
        <v>0.344578717131231</v>
      </c>
      <c r="E2412" s="47">
        <f>SUMIF(Data!$E:$E,$C2412,Data!$AI:$AI)</f>
        <v>0</v>
      </c>
    </row>
    <row r="2413" spans="1:5" x14ac:dyDescent="0.25">
      <c r="A2413" s="46" t="s">
        <v>10869</v>
      </c>
      <c r="B2413" s="46" t="s">
        <v>120</v>
      </c>
      <c r="C2413" s="46" t="s">
        <v>5082</v>
      </c>
      <c r="D2413" s="46">
        <v>0.48703410554038101</v>
      </c>
      <c r="E2413" s="47">
        <f>SUMIF(Data!$E:$E,$C2413,Data!$AI:$AI)</f>
        <v>0</v>
      </c>
    </row>
    <row r="2414" spans="1:5" x14ac:dyDescent="0.25">
      <c r="A2414" s="46" t="s">
        <v>10869</v>
      </c>
      <c r="B2414" s="46" t="s">
        <v>120</v>
      </c>
      <c r="C2414" s="46" t="s">
        <v>5515</v>
      </c>
      <c r="D2414" s="46">
        <v>0.140516703505355</v>
      </c>
      <c r="E2414" s="47">
        <f>SUMIF(Data!$E:$E,$C2414,Data!$AI:$AI)</f>
        <v>0</v>
      </c>
    </row>
    <row r="2415" spans="1:5" x14ac:dyDescent="0.25">
      <c r="A2415" s="46" t="s">
        <v>10869</v>
      </c>
      <c r="B2415" s="46" t="s">
        <v>120</v>
      </c>
      <c r="C2415" s="46" t="s">
        <v>5138</v>
      </c>
      <c r="D2415" s="46">
        <v>0.55442351803364898</v>
      </c>
      <c r="E2415" s="47">
        <f>SUMIF(Data!$E:$E,$C2415,Data!$AI:$AI)</f>
        <v>0</v>
      </c>
    </row>
    <row r="2416" spans="1:5" x14ac:dyDescent="0.25">
      <c r="A2416" s="46" t="s">
        <v>10869</v>
      </c>
      <c r="B2416" s="46" t="s">
        <v>120</v>
      </c>
      <c r="C2416" s="46" t="s">
        <v>4852</v>
      </c>
      <c r="D2416" s="46">
        <v>68.675810956931599</v>
      </c>
      <c r="E2416" s="47">
        <f>SUMIF(Data!$E:$E,$C2416,Data!$AI:$AI)</f>
        <v>0</v>
      </c>
    </row>
    <row r="2417" spans="1:5" x14ac:dyDescent="0.25">
      <c r="A2417" s="46" t="s">
        <v>10869</v>
      </c>
      <c r="B2417" s="46" t="s">
        <v>120</v>
      </c>
      <c r="C2417" s="46" t="s">
        <v>5170</v>
      </c>
      <c r="D2417" s="46">
        <v>1.3181387519828101</v>
      </c>
      <c r="E2417" s="47">
        <f>SUMIF(Data!$E:$E,$C2417,Data!$AI:$AI)</f>
        <v>0</v>
      </c>
    </row>
    <row r="2418" spans="1:5" x14ac:dyDescent="0.25">
      <c r="A2418" s="46" t="s">
        <v>10869</v>
      </c>
      <c r="B2418" s="46" t="s">
        <v>120</v>
      </c>
      <c r="C2418" s="46" t="s">
        <v>4897</v>
      </c>
      <c r="D2418" s="46">
        <v>4.8378648682343899</v>
      </c>
      <c r="E2418" s="47">
        <f>SUMIF(Data!$E:$E,$C2418,Data!$AI:$AI)</f>
        <v>0</v>
      </c>
    </row>
    <row r="2419" spans="1:5" x14ac:dyDescent="0.25">
      <c r="A2419" s="46" t="s">
        <v>10869</v>
      </c>
      <c r="B2419" s="46" t="s">
        <v>120</v>
      </c>
      <c r="C2419" s="46" t="s">
        <v>4916</v>
      </c>
      <c r="D2419" s="46">
        <v>1.91624853764727</v>
      </c>
      <c r="E2419" s="47">
        <f>SUMIF(Data!$E:$E,$C2419,Data!$AI:$AI)</f>
        <v>0</v>
      </c>
    </row>
    <row r="2420" spans="1:5" x14ac:dyDescent="0.25">
      <c r="A2420" s="46" t="s">
        <v>10869</v>
      </c>
      <c r="B2420" s="46" t="s">
        <v>120</v>
      </c>
      <c r="C2420" s="46" t="s">
        <v>4365</v>
      </c>
      <c r="D2420" s="46">
        <v>0.42626661458320497</v>
      </c>
      <c r="E2420" s="47">
        <f>SUMIF(Data!$E:$E,$C2420,Data!$AI:$AI)</f>
        <v>0</v>
      </c>
    </row>
    <row r="2421" spans="1:5" x14ac:dyDescent="0.25">
      <c r="A2421" s="46" t="s">
        <v>10869</v>
      </c>
      <c r="B2421" s="46" t="s">
        <v>120</v>
      </c>
      <c r="C2421" s="46" t="s">
        <v>5580</v>
      </c>
      <c r="D2421" s="46">
        <v>0.10454313584738301</v>
      </c>
      <c r="E2421" s="47">
        <f>SUMIF(Data!$E:$E,$C2421,Data!$AI:$AI)</f>
        <v>0</v>
      </c>
    </row>
    <row r="2422" spans="1:5" x14ac:dyDescent="0.25">
      <c r="A2422" s="46" t="s">
        <v>10869</v>
      </c>
      <c r="B2422" s="46" t="s">
        <v>120</v>
      </c>
      <c r="C2422" s="46" t="s">
        <v>3898</v>
      </c>
      <c r="D2422" s="46">
        <v>2.0352050805964201</v>
      </c>
      <c r="E2422" s="47">
        <f>SUMIF(Data!$E:$E,$C2422,Data!$AI:$AI)</f>
        <v>0</v>
      </c>
    </row>
    <row r="2423" spans="1:5" x14ac:dyDescent="0.25">
      <c r="A2423" s="46" t="s">
        <v>10869</v>
      </c>
      <c r="B2423" s="46" t="s">
        <v>120</v>
      </c>
      <c r="C2423" s="46" t="s">
        <v>4935</v>
      </c>
      <c r="D2423" s="46">
        <v>2.7126491040357199</v>
      </c>
      <c r="E2423" s="47">
        <f>SUMIF(Data!$E:$E,$C2423,Data!$AI:$AI)</f>
        <v>0</v>
      </c>
    </row>
    <row r="2424" spans="1:5" x14ac:dyDescent="0.25">
      <c r="A2424" s="46" t="s">
        <v>10869</v>
      </c>
      <c r="B2424" s="46" t="s">
        <v>120</v>
      </c>
      <c r="C2424" s="46" t="s">
        <v>4961</v>
      </c>
      <c r="D2424" s="46">
        <v>2.2498722897349399</v>
      </c>
      <c r="E2424" s="47">
        <f>SUMIF(Data!$E:$E,$C2424,Data!$AI:$AI)</f>
        <v>0</v>
      </c>
    </row>
    <row r="2425" spans="1:5" x14ac:dyDescent="0.25">
      <c r="A2425" s="46" t="s">
        <v>10869</v>
      </c>
      <c r="B2425" s="46" t="s">
        <v>120</v>
      </c>
      <c r="C2425" s="46" t="s">
        <v>5268</v>
      </c>
      <c r="D2425" s="46">
        <v>0.32815225118715202</v>
      </c>
      <c r="E2425" s="47">
        <f>SUMIF(Data!$E:$E,$C2425,Data!$AI:$AI)</f>
        <v>0</v>
      </c>
    </row>
    <row r="2426" spans="1:5" x14ac:dyDescent="0.25">
      <c r="A2426" s="46" t="s">
        <v>10869</v>
      </c>
      <c r="B2426" s="46" t="s">
        <v>120</v>
      </c>
      <c r="C2426" s="46" t="s">
        <v>4975</v>
      </c>
      <c r="D2426" s="46">
        <v>2.2327124885645002</v>
      </c>
      <c r="E2426" s="47">
        <f>SUMIF(Data!$E:$E,$C2426,Data!$AI:$AI)</f>
        <v>0</v>
      </c>
    </row>
    <row r="2427" spans="1:5" x14ac:dyDescent="0.25">
      <c r="A2427" s="46" t="s">
        <v>10869</v>
      </c>
      <c r="B2427" s="46" t="s">
        <v>120</v>
      </c>
      <c r="C2427" s="46" t="s">
        <v>5306</v>
      </c>
      <c r="D2427" s="46">
        <v>0.61440709770741198</v>
      </c>
      <c r="E2427" s="47">
        <f>SUMIF(Data!$E:$E,$C2427,Data!$AI:$AI)</f>
        <v>0</v>
      </c>
    </row>
    <row r="2428" spans="1:5" x14ac:dyDescent="0.25">
      <c r="A2428" s="46" t="s">
        <v>10869</v>
      </c>
      <c r="B2428" s="46" t="s">
        <v>120</v>
      </c>
      <c r="C2428" s="46" t="s">
        <v>5313</v>
      </c>
      <c r="D2428" s="46">
        <v>0.271087292119715</v>
      </c>
      <c r="E2428" s="47">
        <f>SUMIF(Data!$E:$E,$C2428,Data!$AI:$AI)</f>
        <v>0</v>
      </c>
    </row>
    <row r="2429" spans="1:5" x14ac:dyDescent="0.25">
      <c r="A2429" s="46" t="s">
        <v>10869</v>
      </c>
      <c r="B2429" s="46" t="s">
        <v>120</v>
      </c>
      <c r="C2429" s="46" t="s">
        <v>4981</v>
      </c>
      <c r="D2429" s="46">
        <v>3.3520604654689401</v>
      </c>
      <c r="E2429" s="47">
        <f>SUMIF(Data!$E:$E,$C2429,Data!$AI:$AI)</f>
        <v>0</v>
      </c>
    </row>
    <row r="2430" spans="1:5" x14ac:dyDescent="0.25">
      <c r="A2430" s="46" t="s">
        <v>10869</v>
      </c>
      <c r="B2430" s="46" t="s">
        <v>120</v>
      </c>
      <c r="C2430" s="46" t="s">
        <v>4995</v>
      </c>
      <c r="D2430" s="46">
        <v>5.2678591017927596</v>
      </c>
      <c r="E2430" s="47">
        <f>SUMIF(Data!$E:$E,$C2430,Data!$AI:$AI)</f>
        <v>0</v>
      </c>
    </row>
    <row r="2431" spans="1:5" x14ac:dyDescent="0.25">
      <c r="A2431" s="46" t="s">
        <v>10869</v>
      </c>
      <c r="B2431" s="46" t="s">
        <v>120</v>
      </c>
      <c r="C2431" s="46" t="s">
        <v>5386</v>
      </c>
      <c r="D2431" s="46">
        <v>0.66674119680494703</v>
      </c>
      <c r="E2431" s="47">
        <f>SUMIF(Data!$E:$E,$C2431,Data!$AI:$AI)</f>
        <v>0</v>
      </c>
    </row>
    <row r="2432" spans="1:5" x14ac:dyDescent="0.25">
      <c r="A2432" s="46" t="s">
        <v>10869</v>
      </c>
      <c r="B2432" s="46" t="s">
        <v>120</v>
      </c>
      <c r="C2432" s="46" t="s">
        <v>5827</v>
      </c>
      <c r="D2432" s="46">
        <v>6.6943574151203999E-2</v>
      </c>
      <c r="E2432" s="47">
        <f>SUMIF(Data!$E:$E,$C2432,Data!$AI:$AI)</f>
        <v>0</v>
      </c>
    </row>
    <row r="2433" spans="1:5" x14ac:dyDescent="0.25">
      <c r="A2433" s="46" t="s">
        <v>10869</v>
      </c>
      <c r="B2433" s="46" t="s">
        <v>120</v>
      </c>
      <c r="C2433" s="46" t="s">
        <v>5393</v>
      </c>
      <c r="D2433" s="46">
        <v>4.5979025533258999E-2</v>
      </c>
      <c r="E2433" s="47">
        <f>SUMIF(Data!$E:$E,$C2433,Data!$AI:$AI)</f>
        <v>0</v>
      </c>
    </row>
    <row r="2434" spans="1:5" x14ac:dyDescent="0.25">
      <c r="A2434" s="46" t="s">
        <v>10869</v>
      </c>
      <c r="B2434" s="46" t="s">
        <v>120</v>
      </c>
      <c r="C2434" s="46" t="s">
        <v>6747</v>
      </c>
      <c r="D2434" s="46">
        <v>0.654954548002458</v>
      </c>
      <c r="E2434" s="47">
        <f>SUMIF(Data!$E:$E,$C2434,Data!$AI:$AI)</f>
        <v>0</v>
      </c>
    </row>
    <row r="2435" spans="1:5" x14ac:dyDescent="0.25">
      <c r="A2435" s="46" t="s">
        <v>10870</v>
      </c>
      <c r="B2435" s="46" t="s">
        <v>120</v>
      </c>
      <c r="C2435" s="46" t="s">
        <v>4852</v>
      </c>
      <c r="D2435" s="46">
        <v>100</v>
      </c>
      <c r="E2435" s="47">
        <f>SUMIF(Data!$E:$E,$C2435,Data!$AI:$AI)</f>
        <v>0</v>
      </c>
    </row>
    <row r="2436" spans="1:5" x14ac:dyDescent="0.25">
      <c r="A2436" s="46" t="s">
        <v>10871</v>
      </c>
      <c r="B2436" s="46" t="s">
        <v>120</v>
      </c>
      <c r="C2436" s="46" t="s">
        <v>4838</v>
      </c>
      <c r="D2436" s="46">
        <v>62.741112744765601</v>
      </c>
      <c r="E2436" s="47">
        <f>SUMIF(Data!$E:$E,$C2436,Data!$AI:$AI)</f>
        <v>0</v>
      </c>
    </row>
    <row r="2437" spans="1:5" x14ac:dyDescent="0.25">
      <c r="A2437" s="46" t="s">
        <v>10871</v>
      </c>
      <c r="B2437" s="46" t="s">
        <v>120</v>
      </c>
      <c r="C2437" s="46" t="s">
        <v>5218</v>
      </c>
      <c r="D2437" s="46">
        <v>6.3320025767430197</v>
      </c>
      <c r="E2437" s="47">
        <f>SUMIF(Data!$E:$E,$C2437,Data!$AI:$AI)</f>
        <v>0</v>
      </c>
    </row>
    <row r="2438" spans="1:5" x14ac:dyDescent="0.25">
      <c r="A2438" s="46" t="s">
        <v>10871</v>
      </c>
      <c r="B2438" s="46" t="s">
        <v>120</v>
      </c>
      <c r="C2438" s="46" t="s">
        <v>5629</v>
      </c>
      <c r="D2438" s="46">
        <v>1.2425050477101001</v>
      </c>
      <c r="E2438" s="47">
        <f>SUMIF(Data!$E:$E,$C2438,Data!$AI:$AI)</f>
        <v>0</v>
      </c>
    </row>
    <row r="2439" spans="1:5" x14ac:dyDescent="0.25">
      <c r="A2439" s="46" t="s">
        <v>10871</v>
      </c>
      <c r="B2439" s="46" t="s">
        <v>120</v>
      </c>
      <c r="C2439" s="46" t="s">
        <v>1466</v>
      </c>
      <c r="D2439" s="46">
        <v>29.684379630781301</v>
      </c>
      <c r="E2439" s="47">
        <f>SUMIF(Data!$E:$E,$C2439,Data!$AI:$AI)</f>
        <v>0</v>
      </c>
    </row>
    <row r="2440" spans="1:5" x14ac:dyDescent="0.25">
      <c r="A2440" s="46" t="s">
        <v>10872</v>
      </c>
      <c r="B2440" s="46" t="s">
        <v>120</v>
      </c>
      <c r="C2440" s="46" t="s">
        <v>5454</v>
      </c>
      <c r="D2440" s="46">
        <v>13.490312867797201</v>
      </c>
      <c r="E2440" s="47">
        <f>SUMIF(Data!$E:$E,$C2440,Data!$AI:$AI)</f>
        <v>0</v>
      </c>
    </row>
    <row r="2441" spans="1:5" x14ac:dyDescent="0.25">
      <c r="A2441" s="46" t="s">
        <v>10872</v>
      </c>
      <c r="B2441" s="46" t="s">
        <v>120</v>
      </c>
      <c r="C2441" s="46" t="s">
        <v>5082</v>
      </c>
      <c r="D2441" s="46">
        <v>25.812922944269602</v>
      </c>
      <c r="E2441" s="47">
        <f>SUMIF(Data!$E:$E,$C2441,Data!$AI:$AI)</f>
        <v>0</v>
      </c>
    </row>
    <row r="2442" spans="1:5" x14ac:dyDescent="0.25">
      <c r="A2442" s="46" t="s">
        <v>10872</v>
      </c>
      <c r="B2442" s="46" t="s">
        <v>120</v>
      </c>
      <c r="C2442" s="46" t="s">
        <v>4365</v>
      </c>
      <c r="D2442" s="46">
        <v>22.592231531183099</v>
      </c>
      <c r="E2442" s="47">
        <f>SUMIF(Data!$E:$E,$C2442,Data!$AI:$AI)</f>
        <v>0</v>
      </c>
    </row>
    <row r="2443" spans="1:5" x14ac:dyDescent="0.25">
      <c r="A2443" s="46" t="s">
        <v>10872</v>
      </c>
      <c r="B2443" s="46" t="s">
        <v>120</v>
      </c>
      <c r="C2443" s="46" t="s">
        <v>5580</v>
      </c>
      <c r="D2443" s="46">
        <v>5.5408109602235101</v>
      </c>
      <c r="E2443" s="47">
        <f>SUMIF(Data!$E:$E,$C2443,Data!$AI:$AI)</f>
        <v>0</v>
      </c>
    </row>
    <row r="2444" spans="1:5" x14ac:dyDescent="0.25">
      <c r="A2444" s="46" t="s">
        <v>10872</v>
      </c>
      <c r="B2444" s="46" t="s">
        <v>120</v>
      </c>
      <c r="C2444" s="46" t="s">
        <v>5306</v>
      </c>
      <c r="D2444" s="46">
        <v>32.563721696526599</v>
      </c>
      <c r="E2444" s="47">
        <f>SUMIF(Data!$E:$E,$C2444,Data!$AI:$AI)</f>
        <v>0</v>
      </c>
    </row>
    <row r="2445" spans="1:5" x14ac:dyDescent="0.25">
      <c r="A2445" s="46" t="s">
        <v>10873</v>
      </c>
      <c r="B2445" s="46" t="s">
        <v>120</v>
      </c>
      <c r="C2445" s="46" t="s">
        <v>5055</v>
      </c>
      <c r="D2445" s="46">
        <v>0.68794257758320498</v>
      </c>
      <c r="E2445" s="47">
        <f>SUMIF(Data!$E:$E,$C2445,Data!$AI:$AI)</f>
        <v>0</v>
      </c>
    </row>
    <row r="2446" spans="1:5" x14ac:dyDescent="0.25">
      <c r="A2446" s="46" t="s">
        <v>10873</v>
      </c>
      <c r="B2446" s="46" t="s">
        <v>120</v>
      </c>
      <c r="C2446" s="46" t="s">
        <v>5448</v>
      </c>
      <c r="D2446" s="46">
        <v>7.8854353066173E-2</v>
      </c>
      <c r="E2446" s="47">
        <f>SUMIF(Data!$E:$E,$C2446,Data!$AI:$AI)</f>
        <v>0</v>
      </c>
    </row>
    <row r="2447" spans="1:5" x14ac:dyDescent="0.25">
      <c r="A2447" s="46" t="s">
        <v>10873</v>
      </c>
      <c r="B2447" s="46" t="s">
        <v>120</v>
      </c>
      <c r="C2447" s="46" t="s">
        <v>5069</v>
      </c>
      <c r="D2447" s="46">
        <v>0.74473766817012499</v>
      </c>
      <c r="E2447" s="47">
        <f>SUMIF(Data!$E:$E,$C2447,Data!$AI:$AI)</f>
        <v>0</v>
      </c>
    </row>
    <row r="2448" spans="1:5" x14ac:dyDescent="0.25">
      <c r="A2448" s="46" t="s">
        <v>10873</v>
      </c>
      <c r="B2448" s="46" t="s">
        <v>120</v>
      </c>
      <c r="C2448" s="46" t="s">
        <v>4786</v>
      </c>
      <c r="D2448" s="46">
        <v>3.0446239767110499</v>
      </c>
      <c r="E2448" s="47">
        <f>SUMIF(Data!$E:$E,$C2448,Data!$AI:$AI)</f>
        <v>0</v>
      </c>
    </row>
    <row r="2449" spans="1:5" x14ac:dyDescent="0.25">
      <c r="A2449" s="46" t="s">
        <v>10873</v>
      </c>
      <c r="B2449" s="46" t="s">
        <v>120</v>
      </c>
      <c r="C2449" s="46" t="s">
        <v>3202</v>
      </c>
      <c r="D2449" s="46">
        <v>3.06227561731906</v>
      </c>
      <c r="E2449" s="47">
        <f>SUMIF(Data!$E:$E,$C2449,Data!$AI:$AI)</f>
        <v>0</v>
      </c>
    </row>
    <row r="2450" spans="1:5" x14ac:dyDescent="0.25">
      <c r="A2450" s="46" t="s">
        <v>10873</v>
      </c>
      <c r="B2450" s="46" t="s">
        <v>120</v>
      </c>
      <c r="C2450" s="46" t="s">
        <v>5474</v>
      </c>
      <c r="D2450" s="46">
        <v>0.42358774055637599</v>
      </c>
      <c r="E2450" s="47">
        <f>SUMIF(Data!$E:$E,$C2450,Data!$AI:$AI)</f>
        <v>0</v>
      </c>
    </row>
    <row r="2451" spans="1:5" x14ac:dyDescent="0.25">
      <c r="A2451" s="46" t="s">
        <v>10873</v>
      </c>
      <c r="B2451" s="46" t="s">
        <v>120</v>
      </c>
      <c r="C2451" s="46" t="s">
        <v>4798</v>
      </c>
      <c r="D2451" s="46">
        <v>11.433580403231</v>
      </c>
      <c r="E2451" s="47">
        <f>SUMIF(Data!$E:$E,$C2451,Data!$AI:$AI)</f>
        <v>0</v>
      </c>
    </row>
    <row r="2452" spans="1:5" x14ac:dyDescent="0.25">
      <c r="A2452" s="46" t="s">
        <v>10873</v>
      </c>
      <c r="B2452" s="46" t="s">
        <v>120</v>
      </c>
      <c r="C2452" s="46" t="s">
        <v>3142</v>
      </c>
      <c r="D2452" s="46">
        <v>3.95443291037444</v>
      </c>
      <c r="E2452" s="47">
        <f>SUMIF(Data!$E:$E,$C2452,Data!$AI:$AI)</f>
        <v>0</v>
      </c>
    </row>
    <row r="2453" spans="1:5" x14ac:dyDescent="0.25">
      <c r="A2453" s="46" t="s">
        <v>10873</v>
      </c>
      <c r="B2453" s="46" t="s">
        <v>120</v>
      </c>
      <c r="C2453" s="46" t="s">
        <v>5501</v>
      </c>
      <c r="D2453" s="46">
        <v>0.105842095213927</v>
      </c>
      <c r="E2453" s="47">
        <f>SUMIF(Data!$E:$E,$C2453,Data!$AI:$AI)</f>
        <v>0</v>
      </c>
    </row>
    <row r="2454" spans="1:5" x14ac:dyDescent="0.25">
      <c r="A2454" s="46" t="s">
        <v>10873</v>
      </c>
      <c r="B2454" s="46" t="s">
        <v>120</v>
      </c>
      <c r="C2454" s="46" t="s">
        <v>3149</v>
      </c>
      <c r="D2454" s="46">
        <v>1.3613933393664199</v>
      </c>
      <c r="E2454" s="47">
        <f>SUMIF(Data!$E:$E,$C2454,Data!$AI:$AI)</f>
        <v>0</v>
      </c>
    </row>
    <row r="2455" spans="1:5" x14ac:dyDescent="0.25">
      <c r="A2455" s="46" t="s">
        <v>10873</v>
      </c>
      <c r="B2455" s="46" t="s">
        <v>120</v>
      </c>
      <c r="C2455" s="46" t="s">
        <v>4811</v>
      </c>
      <c r="D2455" s="46">
        <v>1.60539796546655</v>
      </c>
      <c r="E2455" s="47">
        <f>SUMIF(Data!$E:$E,$C2455,Data!$AI:$AI)</f>
        <v>0</v>
      </c>
    </row>
    <row r="2456" spans="1:5" x14ac:dyDescent="0.25">
      <c r="A2456" s="46" t="s">
        <v>10873</v>
      </c>
      <c r="B2456" s="46" t="s">
        <v>120</v>
      </c>
      <c r="C2456" s="46" t="s">
        <v>4818</v>
      </c>
      <c r="D2456" s="46">
        <v>3.50135423812472</v>
      </c>
      <c r="E2456" s="47">
        <f>SUMIF(Data!$E:$E,$C2456,Data!$AI:$AI)</f>
        <v>0</v>
      </c>
    </row>
    <row r="2457" spans="1:5" x14ac:dyDescent="0.25">
      <c r="A2457" s="46" t="s">
        <v>10873</v>
      </c>
      <c r="B2457" s="46" t="s">
        <v>120</v>
      </c>
      <c r="C2457" s="46" t="s">
        <v>5118</v>
      </c>
      <c r="D2457" s="46">
        <v>0.778694594300405</v>
      </c>
      <c r="E2457" s="47">
        <f>SUMIF(Data!$E:$E,$C2457,Data!$AI:$AI)</f>
        <v>0</v>
      </c>
    </row>
    <row r="2458" spans="1:5" x14ac:dyDescent="0.25">
      <c r="A2458" s="46" t="s">
        <v>10873</v>
      </c>
      <c r="B2458" s="46" t="s">
        <v>120</v>
      </c>
      <c r="C2458" s="46" t="s">
        <v>5131</v>
      </c>
      <c r="D2458" s="46">
        <v>0.73209973687017504</v>
      </c>
      <c r="E2458" s="47">
        <f>SUMIF(Data!$E:$E,$C2458,Data!$AI:$AI)</f>
        <v>0</v>
      </c>
    </row>
    <row r="2459" spans="1:5" x14ac:dyDescent="0.25">
      <c r="A2459" s="46" t="s">
        <v>10873</v>
      </c>
      <c r="B2459" s="46" t="s">
        <v>120</v>
      </c>
      <c r="C2459" s="46" t="s">
        <v>4845</v>
      </c>
      <c r="D2459" s="46">
        <v>5.1212048278952604</v>
      </c>
      <c r="E2459" s="47">
        <f>SUMIF(Data!$E:$E,$C2459,Data!$AI:$AI)</f>
        <v>0</v>
      </c>
    </row>
    <row r="2460" spans="1:5" x14ac:dyDescent="0.25">
      <c r="A2460" s="46" t="s">
        <v>10873</v>
      </c>
      <c r="B2460" s="46" t="s">
        <v>120</v>
      </c>
      <c r="C2460" s="46" t="s">
        <v>5542</v>
      </c>
      <c r="D2460" s="46">
        <v>0.19287370908318599</v>
      </c>
      <c r="E2460" s="47">
        <f>SUMIF(Data!$E:$E,$C2460,Data!$AI:$AI)</f>
        <v>0</v>
      </c>
    </row>
    <row r="2461" spans="1:5" x14ac:dyDescent="0.25">
      <c r="A2461" s="46" t="s">
        <v>10873</v>
      </c>
      <c r="B2461" s="46" t="s">
        <v>120</v>
      </c>
      <c r="C2461" s="46" t="s">
        <v>1852</v>
      </c>
      <c r="D2461" s="46">
        <v>0.21531934522187601</v>
      </c>
      <c r="E2461" s="47">
        <f>SUMIF(Data!$E:$E,$C2461,Data!$AI:$AI)</f>
        <v>0</v>
      </c>
    </row>
    <row r="2462" spans="1:5" x14ac:dyDescent="0.25">
      <c r="A2462" s="46" t="s">
        <v>10873</v>
      </c>
      <c r="B2462" s="46" t="s">
        <v>120</v>
      </c>
      <c r="C2462" s="46" t="s">
        <v>6756</v>
      </c>
      <c r="D2462" s="46">
        <v>2.03733934362698</v>
      </c>
      <c r="E2462" s="47">
        <f>SUMIF(Data!$E:$E,$C2462,Data!$AI:$AI)</f>
        <v>0</v>
      </c>
    </row>
    <row r="2463" spans="1:5" x14ac:dyDescent="0.25">
      <c r="A2463" s="46" t="s">
        <v>10873</v>
      </c>
      <c r="B2463" s="46" t="s">
        <v>120</v>
      </c>
      <c r="C2463" s="46" t="s">
        <v>3157</v>
      </c>
      <c r="D2463" s="46">
        <v>2.97915865757798</v>
      </c>
      <c r="E2463" s="47">
        <f>SUMIF(Data!$E:$E,$C2463,Data!$AI:$AI)</f>
        <v>0</v>
      </c>
    </row>
    <row r="2464" spans="1:5" x14ac:dyDescent="0.25">
      <c r="A2464" s="46" t="s">
        <v>10873</v>
      </c>
      <c r="B2464" s="46" t="s">
        <v>120</v>
      </c>
      <c r="C2464" s="46" t="s">
        <v>3164</v>
      </c>
      <c r="D2464" s="46">
        <v>0.84629962872769404</v>
      </c>
      <c r="E2464" s="47">
        <f>SUMIF(Data!$E:$E,$C2464,Data!$AI:$AI)</f>
        <v>0</v>
      </c>
    </row>
    <row r="2465" spans="1:5" x14ac:dyDescent="0.25">
      <c r="A2465" s="46" t="s">
        <v>10873</v>
      </c>
      <c r="B2465" s="46" t="s">
        <v>120</v>
      </c>
      <c r="C2465" s="46" t="s">
        <v>4877</v>
      </c>
      <c r="D2465" s="46">
        <v>2.69619588138832</v>
      </c>
      <c r="E2465" s="47">
        <f>SUMIF(Data!$E:$E,$C2465,Data!$AI:$AI)</f>
        <v>0</v>
      </c>
    </row>
    <row r="2466" spans="1:5" x14ac:dyDescent="0.25">
      <c r="A2466" s="46" t="s">
        <v>10873</v>
      </c>
      <c r="B2466" s="46" t="s">
        <v>120</v>
      </c>
      <c r="C2466" s="46" t="s">
        <v>5189</v>
      </c>
      <c r="D2466" s="46">
        <v>0.57941218412389195</v>
      </c>
      <c r="E2466" s="47">
        <f>SUMIF(Data!$E:$E,$C2466,Data!$AI:$AI)</f>
        <v>0</v>
      </c>
    </row>
    <row r="2467" spans="1:5" x14ac:dyDescent="0.25">
      <c r="A2467" s="46" t="s">
        <v>10873</v>
      </c>
      <c r="B2467" s="46" t="s">
        <v>120</v>
      </c>
      <c r="C2467" s="46" t="s">
        <v>4890</v>
      </c>
      <c r="D2467" s="46">
        <v>12.1373449434536</v>
      </c>
      <c r="E2467" s="47">
        <f>SUMIF(Data!$E:$E,$C2467,Data!$AI:$AI)</f>
        <v>0</v>
      </c>
    </row>
    <row r="2468" spans="1:5" x14ac:dyDescent="0.25">
      <c r="A2468" s="46" t="s">
        <v>10873</v>
      </c>
      <c r="B2468" s="46" t="s">
        <v>120</v>
      </c>
      <c r="C2468" s="46" t="s">
        <v>4904</v>
      </c>
      <c r="D2468" s="46">
        <v>7.2163691521928</v>
      </c>
      <c r="E2468" s="47">
        <f>SUMIF(Data!$E:$E,$C2468,Data!$AI:$AI)</f>
        <v>0</v>
      </c>
    </row>
    <row r="2469" spans="1:5" x14ac:dyDescent="0.25">
      <c r="A2469" s="46" t="s">
        <v>10873</v>
      </c>
      <c r="B2469" s="46" t="s">
        <v>120</v>
      </c>
      <c r="C2469" s="46" t="s">
        <v>5196</v>
      </c>
      <c r="D2469" s="46">
        <v>0.71745387993741705</v>
      </c>
      <c r="E2469" s="47">
        <f>SUMIF(Data!$E:$E,$C2469,Data!$AI:$AI)</f>
        <v>0</v>
      </c>
    </row>
    <row r="2470" spans="1:5" x14ac:dyDescent="0.25">
      <c r="A2470" s="46" t="s">
        <v>10873</v>
      </c>
      <c r="B2470" s="46" t="s">
        <v>120</v>
      </c>
      <c r="C2470" s="46" t="s">
        <v>5587</v>
      </c>
      <c r="D2470" s="46">
        <v>3.1819623886618999E-2</v>
      </c>
      <c r="E2470" s="47">
        <f>SUMIF(Data!$E:$E,$C2470,Data!$AI:$AI)</f>
        <v>0</v>
      </c>
    </row>
    <row r="2471" spans="1:5" x14ac:dyDescent="0.25">
      <c r="A2471" s="46" t="s">
        <v>10873</v>
      </c>
      <c r="B2471" s="46" t="s">
        <v>120</v>
      </c>
      <c r="C2471" s="46" t="s">
        <v>5238</v>
      </c>
      <c r="D2471" s="46">
        <v>0.886003363597055</v>
      </c>
      <c r="E2471" s="47">
        <f>SUMIF(Data!$E:$E,$C2471,Data!$AI:$AI)</f>
        <v>0</v>
      </c>
    </row>
    <row r="2472" spans="1:5" x14ac:dyDescent="0.25">
      <c r="A2472" s="46" t="s">
        <v>10873</v>
      </c>
      <c r="B2472" s="46" t="s">
        <v>120</v>
      </c>
      <c r="C2472" s="46" t="s">
        <v>5609</v>
      </c>
      <c r="D2472" s="46">
        <v>0.265279505695805</v>
      </c>
      <c r="E2472" s="47">
        <f>SUMIF(Data!$E:$E,$C2472,Data!$AI:$AI)</f>
        <v>0</v>
      </c>
    </row>
    <row r="2473" spans="1:5" x14ac:dyDescent="0.25">
      <c r="A2473" s="46" t="s">
        <v>10873</v>
      </c>
      <c r="B2473" s="46" t="s">
        <v>120</v>
      </c>
      <c r="C2473" s="46" t="s">
        <v>5245</v>
      </c>
      <c r="D2473" s="46">
        <v>0.36149856708933997</v>
      </c>
      <c r="E2473" s="47">
        <f>SUMIF(Data!$E:$E,$C2473,Data!$AI:$AI)</f>
        <v>0</v>
      </c>
    </row>
    <row r="2474" spans="1:5" x14ac:dyDescent="0.25">
      <c r="A2474" s="46" t="s">
        <v>10873</v>
      </c>
      <c r="B2474" s="46" t="s">
        <v>120</v>
      </c>
      <c r="C2474" s="46" t="s">
        <v>5274</v>
      </c>
      <c r="D2474" s="46">
        <v>1.05768649981547</v>
      </c>
      <c r="E2474" s="47">
        <f>SUMIF(Data!$E:$E,$C2474,Data!$AI:$AI)</f>
        <v>0</v>
      </c>
    </row>
    <row r="2475" spans="1:5" x14ac:dyDescent="0.25">
      <c r="A2475" s="46" t="s">
        <v>10873</v>
      </c>
      <c r="B2475" s="46" t="s">
        <v>120</v>
      </c>
      <c r="C2475" s="46" t="s">
        <v>5281</v>
      </c>
      <c r="D2475" s="46">
        <v>0.95769225469615604</v>
      </c>
      <c r="E2475" s="47">
        <f>SUMIF(Data!$E:$E,$C2475,Data!$AI:$AI)</f>
        <v>0</v>
      </c>
    </row>
    <row r="2476" spans="1:5" x14ac:dyDescent="0.25">
      <c r="A2476" s="46" t="s">
        <v>10873</v>
      </c>
      <c r="B2476" s="46" t="s">
        <v>120</v>
      </c>
      <c r="C2476" s="46" t="s">
        <v>5299</v>
      </c>
      <c r="D2476" s="46">
        <v>1.0336040309840899</v>
      </c>
      <c r="E2476" s="47">
        <f>SUMIF(Data!$E:$E,$C2476,Data!$AI:$AI)</f>
        <v>0</v>
      </c>
    </row>
    <row r="2477" spans="1:5" x14ac:dyDescent="0.25">
      <c r="A2477" s="46" t="s">
        <v>10873</v>
      </c>
      <c r="B2477" s="46" t="s">
        <v>120</v>
      </c>
      <c r="C2477" s="46" t="s">
        <v>6847</v>
      </c>
      <c r="D2477" s="46">
        <v>1.4540076784448599</v>
      </c>
      <c r="E2477" s="47">
        <f>SUMIF(Data!$E:$E,$C2477,Data!$AI:$AI)</f>
        <v>0</v>
      </c>
    </row>
    <row r="2478" spans="1:5" x14ac:dyDescent="0.25">
      <c r="A2478" s="46" t="s">
        <v>10873</v>
      </c>
      <c r="B2478" s="46" t="s">
        <v>120</v>
      </c>
      <c r="C2478" s="46" t="s">
        <v>5668</v>
      </c>
      <c r="D2478" s="46">
        <v>0.44925988285185697</v>
      </c>
      <c r="E2478" s="47">
        <f>SUMIF(Data!$E:$E,$C2478,Data!$AI:$AI)</f>
        <v>0</v>
      </c>
    </row>
    <row r="2479" spans="1:5" x14ac:dyDescent="0.25">
      <c r="A2479" s="46" t="s">
        <v>10873</v>
      </c>
      <c r="B2479" s="46" t="s">
        <v>120</v>
      </c>
      <c r="C2479" s="46" t="s">
        <v>5675</v>
      </c>
      <c r="D2479" s="46">
        <v>0.17588929749967899</v>
      </c>
      <c r="E2479" s="47">
        <f>SUMIF(Data!$E:$E,$C2479,Data!$AI:$AI)</f>
        <v>0</v>
      </c>
    </row>
    <row r="2480" spans="1:5" x14ac:dyDescent="0.25">
      <c r="A2480" s="46" t="s">
        <v>10873</v>
      </c>
      <c r="B2480" s="46" t="s">
        <v>120</v>
      </c>
      <c r="C2480" s="46" t="s">
        <v>5689</v>
      </c>
      <c r="D2480" s="46">
        <v>0.33070996556210902</v>
      </c>
      <c r="E2480" s="47">
        <f>SUMIF(Data!$E:$E,$C2480,Data!$AI:$AI)</f>
        <v>0</v>
      </c>
    </row>
    <row r="2481" spans="1:5" x14ac:dyDescent="0.25">
      <c r="A2481" s="46" t="s">
        <v>10873</v>
      </c>
      <c r="B2481" s="46" t="s">
        <v>120</v>
      </c>
      <c r="C2481" s="46" t="s">
        <v>5696</v>
      </c>
      <c r="D2481" s="46">
        <v>0.435470461400423</v>
      </c>
      <c r="E2481" s="47">
        <f>SUMIF(Data!$E:$E,$C2481,Data!$AI:$AI)</f>
        <v>0</v>
      </c>
    </row>
    <row r="2482" spans="1:5" x14ac:dyDescent="0.25">
      <c r="A2482" s="46" t="s">
        <v>10873</v>
      </c>
      <c r="B2482" s="46" t="s">
        <v>120</v>
      </c>
      <c r="C2482" s="46" t="s">
        <v>3171</v>
      </c>
      <c r="D2482" s="46">
        <v>0.75315277858346397</v>
      </c>
      <c r="E2482" s="47">
        <f>SUMIF(Data!$E:$E,$C2482,Data!$AI:$AI)</f>
        <v>0</v>
      </c>
    </row>
    <row r="2483" spans="1:5" x14ac:dyDescent="0.25">
      <c r="A2483" s="46" t="s">
        <v>10873</v>
      </c>
      <c r="B2483" s="46" t="s">
        <v>120</v>
      </c>
      <c r="C2483" s="46" t="s">
        <v>5703</v>
      </c>
      <c r="D2483" s="46">
        <v>0.43643591437771001</v>
      </c>
      <c r="E2483" s="47">
        <f>SUMIF(Data!$E:$E,$C2483,Data!$AI:$AI)</f>
        <v>0</v>
      </c>
    </row>
    <row r="2484" spans="1:5" x14ac:dyDescent="0.25">
      <c r="A2484" s="46" t="s">
        <v>10873</v>
      </c>
      <c r="B2484" s="46" t="s">
        <v>120</v>
      </c>
      <c r="C2484" s="46" t="s">
        <v>5709</v>
      </c>
      <c r="D2484" s="46">
        <v>0.183780980691194</v>
      </c>
      <c r="E2484" s="47">
        <f>SUMIF(Data!$E:$E,$C2484,Data!$AI:$AI)</f>
        <v>0</v>
      </c>
    </row>
    <row r="2485" spans="1:5" x14ac:dyDescent="0.25">
      <c r="A2485" s="46" t="s">
        <v>10873</v>
      </c>
      <c r="B2485" s="46" t="s">
        <v>120</v>
      </c>
      <c r="C2485" s="46" t="s">
        <v>5332</v>
      </c>
      <c r="D2485" s="46">
        <v>1.7619459216308699</v>
      </c>
      <c r="E2485" s="47">
        <f>SUMIF(Data!$E:$E,$C2485,Data!$AI:$AI)</f>
        <v>0</v>
      </c>
    </row>
    <row r="2486" spans="1:5" x14ac:dyDescent="0.25">
      <c r="A2486" s="46" t="s">
        <v>10873</v>
      </c>
      <c r="B2486" s="46" t="s">
        <v>120</v>
      </c>
      <c r="C2486" s="46" t="s">
        <v>5345</v>
      </c>
      <c r="D2486" s="46">
        <v>0.62265990584309805</v>
      </c>
      <c r="E2486" s="47">
        <f>SUMIF(Data!$E:$E,$C2486,Data!$AI:$AI)</f>
        <v>0</v>
      </c>
    </row>
    <row r="2487" spans="1:5" x14ac:dyDescent="0.25">
      <c r="A2487" s="46" t="s">
        <v>10873</v>
      </c>
      <c r="B2487" s="46" t="s">
        <v>120</v>
      </c>
      <c r="C2487" s="46" t="s">
        <v>5716</v>
      </c>
      <c r="D2487" s="46">
        <v>0.22173767009655199</v>
      </c>
      <c r="E2487" s="47">
        <f>SUMIF(Data!$E:$E,$C2487,Data!$AI:$AI)</f>
        <v>0</v>
      </c>
    </row>
    <row r="2488" spans="1:5" x14ac:dyDescent="0.25">
      <c r="A2488" s="46" t="s">
        <v>10873</v>
      </c>
      <c r="B2488" s="46" t="s">
        <v>120</v>
      </c>
      <c r="C2488" s="46" t="s">
        <v>5351</v>
      </c>
      <c r="D2488" s="46">
        <v>0.334725939688791</v>
      </c>
      <c r="E2488" s="47">
        <f>SUMIF(Data!$E:$E,$C2488,Data!$AI:$AI)</f>
        <v>0</v>
      </c>
    </row>
    <row r="2489" spans="1:5" x14ac:dyDescent="0.25">
      <c r="A2489" s="46" t="s">
        <v>10873</v>
      </c>
      <c r="B2489" s="46" t="s">
        <v>120</v>
      </c>
      <c r="C2489" s="46" t="s">
        <v>5729</v>
      </c>
      <c r="D2489" s="46">
        <v>0.16647704169729099</v>
      </c>
      <c r="E2489" s="47">
        <f>SUMIF(Data!$E:$E,$C2489,Data!$AI:$AI)</f>
        <v>0</v>
      </c>
    </row>
    <row r="2490" spans="1:5" x14ac:dyDescent="0.25">
      <c r="A2490" s="46" t="s">
        <v>10873</v>
      </c>
      <c r="B2490" s="46" t="s">
        <v>120</v>
      </c>
      <c r="C2490" s="46" t="s">
        <v>5738</v>
      </c>
      <c r="D2490" s="46">
        <v>0.20371681386552001</v>
      </c>
      <c r="E2490" s="47">
        <f>SUMIF(Data!$E:$E,$C2490,Data!$AI:$AI)</f>
        <v>0</v>
      </c>
    </row>
    <row r="2491" spans="1:5" x14ac:dyDescent="0.25">
      <c r="A2491" s="46" t="s">
        <v>10873</v>
      </c>
      <c r="B2491" s="46" t="s">
        <v>120</v>
      </c>
      <c r="C2491" s="46" t="s">
        <v>5745</v>
      </c>
      <c r="D2491" s="46">
        <v>3.8187854307812998E-2</v>
      </c>
      <c r="E2491" s="47">
        <f>SUMIF(Data!$E:$E,$C2491,Data!$AI:$AI)</f>
        <v>0</v>
      </c>
    </row>
    <row r="2492" spans="1:5" x14ac:dyDescent="0.25">
      <c r="A2492" s="46" t="s">
        <v>10873</v>
      </c>
      <c r="B2492" s="46" t="s">
        <v>120</v>
      </c>
      <c r="C2492" s="46" t="s">
        <v>5752</v>
      </c>
      <c r="D2492" s="46">
        <v>0.44746824450490402</v>
      </c>
      <c r="E2492" s="47">
        <f>SUMIF(Data!$E:$E,$C2492,Data!$AI:$AI)</f>
        <v>0</v>
      </c>
    </row>
    <row r="2493" spans="1:5" x14ac:dyDescent="0.25">
      <c r="A2493" s="46" t="s">
        <v>10873</v>
      </c>
      <c r="B2493" s="46" t="s">
        <v>120</v>
      </c>
      <c r="C2493" s="46" t="s">
        <v>5358</v>
      </c>
      <c r="D2493" s="46">
        <v>0.22490189581758299</v>
      </c>
      <c r="E2493" s="47">
        <f>SUMIF(Data!$E:$E,$C2493,Data!$AI:$AI)</f>
        <v>0</v>
      </c>
    </row>
    <row r="2494" spans="1:5" x14ac:dyDescent="0.25">
      <c r="A2494" s="46" t="s">
        <v>10873</v>
      </c>
      <c r="B2494" s="46" t="s">
        <v>120</v>
      </c>
      <c r="C2494" s="46" t="s">
        <v>5779</v>
      </c>
      <c r="D2494" s="46">
        <v>0.114252848411353</v>
      </c>
      <c r="E2494" s="47">
        <f>SUMIF(Data!$E:$E,$C2494,Data!$AI:$AI)</f>
        <v>0</v>
      </c>
    </row>
    <row r="2495" spans="1:5" x14ac:dyDescent="0.25">
      <c r="A2495" s="46" t="s">
        <v>10873</v>
      </c>
      <c r="B2495" s="46" t="s">
        <v>120</v>
      </c>
      <c r="C2495" s="46" t="s">
        <v>1777</v>
      </c>
      <c r="D2495" s="46">
        <v>0.27567592553498499</v>
      </c>
      <c r="E2495" s="47">
        <f>SUMIF(Data!$E:$E,$C2495,Data!$AI:$AI)</f>
        <v>0</v>
      </c>
    </row>
    <row r="2496" spans="1:5" x14ac:dyDescent="0.25">
      <c r="A2496" s="46" t="s">
        <v>10873</v>
      </c>
      <c r="B2496" s="46" t="s">
        <v>120</v>
      </c>
      <c r="C2496" s="46" t="s">
        <v>5792</v>
      </c>
      <c r="D2496" s="46">
        <v>2.8180848036508999E-2</v>
      </c>
      <c r="E2496" s="47">
        <f>SUMIF(Data!$E:$E,$C2496,Data!$AI:$AI)</f>
        <v>0</v>
      </c>
    </row>
    <row r="2497" spans="1:5" x14ac:dyDescent="0.25">
      <c r="A2497" s="46" t="s">
        <v>10873</v>
      </c>
      <c r="B2497" s="46" t="s">
        <v>120</v>
      </c>
      <c r="C2497" s="46" t="s">
        <v>5372</v>
      </c>
      <c r="D2497" s="46">
        <v>0.40664769093622399</v>
      </c>
      <c r="E2497" s="47">
        <f>SUMIF(Data!$E:$E,$C2497,Data!$AI:$AI)</f>
        <v>0</v>
      </c>
    </row>
    <row r="2498" spans="1:5" x14ac:dyDescent="0.25">
      <c r="A2498" s="46" t="s">
        <v>10873</v>
      </c>
      <c r="B2498" s="46" t="s">
        <v>120</v>
      </c>
      <c r="C2498" s="46" t="s">
        <v>6335</v>
      </c>
      <c r="D2498" s="46">
        <v>0.585240437375114</v>
      </c>
      <c r="E2498" s="47">
        <f>SUMIF(Data!$E:$E,$C2498,Data!$AI:$AI)</f>
        <v>0</v>
      </c>
    </row>
    <row r="2499" spans="1:5" x14ac:dyDescent="0.25">
      <c r="A2499" s="46" t="s">
        <v>10873</v>
      </c>
      <c r="B2499" s="46" t="s">
        <v>120</v>
      </c>
      <c r="C2499" s="46" t="s">
        <v>5379</v>
      </c>
      <c r="D2499" s="46">
        <v>0.39002832841651702</v>
      </c>
      <c r="E2499" s="47">
        <f>SUMIF(Data!$E:$E,$C2499,Data!$AI:$AI)</f>
        <v>0</v>
      </c>
    </row>
    <row r="2500" spans="1:5" x14ac:dyDescent="0.25">
      <c r="A2500" s="46" t="s">
        <v>10873</v>
      </c>
      <c r="B2500" s="46" t="s">
        <v>120</v>
      </c>
      <c r="C2500" s="46" t="s">
        <v>5806</v>
      </c>
      <c r="D2500" s="46">
        <v>0.147053568715973</v>
      </c>
      <c r="E2500" s="47">
        <f>SUMIF(Data!$E:$E,$C2500,Data!$AI:$AI)</f>
        <v>0</v>
      </c>
    </row>
    <row r="2501" spans="1:5" x14ac:dyDescent="0.25">
      <c r="A2501" s="46" t="s">
        <v>10873</v>
      </c>
      <c r="B2501" s="46" t="s">
        <v>120</v>
      </c>
      <c r="C2501" s="46" t="s">
        <v>5813</v>
      </c>
      <c r="D2501" s="46">
        <v>0.22098973532498001</v>
      </c>
      <c r="E2501" s="47">
        <f>SUMIF(Data!$E:$E,$C2501,Data!$AI:$AI)</f>
        <v>0</v>
      </c>
    </row>
    <row r="2502" spans="1:5" x14ac:dyDescent="0.25">
      <c r="A2502" s="46" t="s">
        <v>10873</v>
      </c>
      <c r="B2502" s="46" t="s">
        <v>120</v>
      </c>
      <c r="C2502" s="46" t="s">
        <v>5002</v>
      </c>
      <c r="D2502" s="46">
        <v>2.5138633401252299</v>
      </c>
      <c r="E2502" s="47">
        <f>SUMIF(Data!$E:$E,$C2502,Data!$AI:$AI)</f>
        <v>0</v>
      </c>
    </row>
    <row r="2503" spans="1:5" x14ac:dyDescent="0.25">
      <c r="A2503" s="46" t="s">
        <v>10873</v>
      </c>
      <c r="B2503" s="46" t="s">
        <v>120</v>
      </c>
      <c r="C2503" s="46" t="s">
        <v>5820</v>
      </c>
      <c r="D2503" s="46">
        <v>0.17223188483959501</v>
      </c>
      <c r="E2503" s="47">
        <f>SUMIF(Data!$E:$E,$C2503,Data!$AI:$AI)</f>
        <v>0</v>
      </c>
    </row>
    <row r="2504" spans="1:5" x14ac:dyDescent="0.25">
      <c r="A2504" s="46" t="s">
        <v>10873</v>
      </c>
      <c r="B2504" s="46" t="s">
        <v>120</v>
      </c>
      <c r="C2504" s="46" t="s">
        <v>5009</v>
      </c>
      <c r="D2504" s="46">
        <v>2.0247904223572002</v>
      </c>
      <c r="E2504" s="47">
        <f>SUMIF(Data!$E:$E,$C2504,Data!$AI:$AI)</f>
        <v>0</v>
      </c>
    </row>
    <row r="2505" spans="1:5" x14ac:dyDescent="0.25">
      <c r="A2505" s="46" t="s">
        <v>10873</v>
      </c>
      <c r="B2505" s="46" t="s">
        <v>120</v>
      </c>
      <c r="C2505" s="46" t="s">
        <v>5016</v>
      </c>
      <c r="D2505" s="46">
        <v>6.3800969281668403</v>
      </c>
      <c r="E2505" s="47">
        <f>SUMIF(Data!$E:$E,$C2505,Data!$AI:$AI)</f>
        <v>0</v>
      </c>
    </row>
    <row r="2506" spans="1:5" x14ac:dyDescent="0.25">
      <c r="A2506" s="46" t="s">
        <v>10873</v>
      </c>
      <c r="B2506" s="46" t="s">
        <v>120</v>
      </c>
      <c r="C2506" s="46" t="s">
        <v>5406</v>
      </c>
      <c r="D2506" s="46">
        <v>1.5555075447825999</v>
      </c>
      <c r="E2506" s="47">
        <f>SUMIF(Data!$E:$E,$C2506,Data!$AI:$AI)</f>
        <v>0</v>
      </c>
    </row>
    <row r="2507" spans="1:5" x14ac:dyDescent="0.25">
      <c r="A2507" s="46" t="s">
        <v>10873</v>
      </c>
      <c r="B2507" s="46" t="s">
        <v>120</v>
      </c>
      <c r="C2507" s="46" t="s">
        <v>5023</v>
      </c>
      <c r="D2507" s="46">
        <v>6.0975396347659903</v>
      </c>
      <c r="E2507" s="47">
        <f>SUMIF(Data!$E:$E,$C2507,Data!$AI:$AI)</f>
        <v>0</v>
      </c>
    </row>
    <row r="2508" spans="1:5" x14ac:dyDescent="0.25">
      <c r="A2508" s="46" t="s">
        <v>10874</v>
      </c>
      <c r="B2508" s="46" t="s">
        <v>120</v>
      </c>
      <c r="C2508" s="46" t="s">
        <v>5467</v>
      </c>
      <c r="D2508" s="46">
        <v>38.207361436375002</v>
      </c>
      <c r="E2508" s="47">
        <f>SUMIF(Data!$E:$E,$C2508,Data!$AI:$AI)</f>
        <v>0</v>
      </c>
    </row>
    <row r="2509" spans="1:5" x14ac:dyDescent="0.25">
      <c r="A2509" s="46" t="s">
        <v>10874</v>
      </c>
      <c r="B2509" s="46" t="s">
        <v>120</v>
      </c>
      <c r="C2509" s="46" t="s">
        <v>5481</v>
      </c>
      <c r="D2509" s="46">
        <v>31.347176978041698</v>
      </c>
      <c r="E2509" s="47">
        <f>SUMIF(Data!$E:$E,$C2509,Data!$AI:$AI)</f>
        <v>0</v>
      </c>
    </row>
    <row r="2510" spans="1:5" x14ac:dyDescent="0.25">
      <c r="A2510" s="46" t="s">
        <v>10874</v>
      </c>
      <c r="B2510" s="46" t="s">
        <v>120</v>
      </c>
      <c r="C2510" s="46" t="s">
        <v>5759</v>
      </c>
      <c r="D2510" s="46">
        <v>30.445461585583299</v>
      </c>
      <c r="E2510" s="47">
        <f>SUMIF(Data!$E:$E,$C2510,Data!$AI:$AI)</f>
        <v>0</v>
      </c>
    </row>
    <row r="2511" spans="1:5" x14ac:dyDescent="0.25">
      <c r="A2511" s="46" t="s">
        <v>10875</v>
      </c>
      <c r="B2511" s="46" t="s">
        <v>120</v>
      </c>
      <c r="C2511" s="46" t="s">
        <v>5218</v>
      </c>
      <c r="D2511" s="46">
        <v>100</v>
      </c>
      <c r="E2511" s="47">
        <f>SUMIF(Data!$E:$E,$C2511,Data!$AI:$AI)</f>
        <v>0</v>
      </c>
    </row>
    <row r="2512" spans="1:5" x14ac:dyDescent="0.25">
      <c r="A2512" s="46" t="s">
        <v>10876</v>
      </c>
      <c r="B2512" s="46" t="s">
        <v>120</v>
      </c>
      <c r="C2512" s="46" t="s">
        <v>4838</v>
      </c>
      <c r="D2512" s="46">
        <v>66.982442745367706</v>
      </c>
      <c r="E2512" s="47">
        <f>SUMIF(Data!$E:$E,$C2512,Data!$AI:$AI)</f>
        <v>0</v>
      </c>
    </row>
    <row r="2513" spans="1:5" x14ac:dyDescent="0.25">
      <c r="A2513" s="46" t="s">
        <v>10876</v>
      </c>
      <c r="B2513" s="46" t="s">
        <v>120</v>
      </c>
      <c r="C2513" s="46" t="s">
        <v>5629</v>
      </c>
      <c r="D2513" s="46">
        <v>1.3264989984739399</v>
      </c>
      <c r="E2513" s="47">
        <f>SUMIF(Data!$E:$E,$C2513,Data!$AI:$AI)</f>
        <v>0</v>
      </c>
    </row>
    <row r="2514" spans="1:5" x14ac:dyDescent="0.25">
      <c r="A2514" s="46" t="s">
        <v>10876</v>
      </c>
      <c r="B2514" s="46" t="s">
        <v>120</v>
      </c>
      <c r="C2514" s="46" t="s">
        <v>1466</v>
      </c>
      <c r="D2514" s="46">
        <v>31.691058256158399</v>
      </c>
      <c r="E2514" s="47">
        <f>SUMIF(Data!$E:$E,$C2514,Data!$AI:$AI)</f>
        <v>0</v>
      </c>
    </row>
    <row r="2515" spans="1:5" x14ac:dyDescent="0.25">
      <c r="A2515" s="46" t="s">
        <v>10877</v>
      </c>
      <c r="B2515" s="46" t="s">
        <v>120</v>
      </c>
      <c r="C2515" s="46" t="s">
        <v>4786</v>
      </c>
      <c r="D2515" s="46">
        <v>7.5119348463153397</v>
      </c>
      <c r="E2515" s="47">
        <f>SUMIF(Data!$E:$E,$C2515,Data!$AI:$AI)</f>
        <v>0</v>
      </c>
    </row>
    <row r="2516" spans="1:5" x14ac:dyDescent="0.25">
      <c r="A2516" s="46" t="s">
        <v>10877</v>
      </c>
      <c r="B2516" s="46" t="s">
        <v>120</v>
      </c>
      <c r="C2516" s="46" t="s">
        <v>4798</v>
      </c>
      <c r="D2516" s="46">
        <v>28.2098254845775</v>
      </c>
      <c r="E2516" s="47">
        <f>SUMIF(Data!$E:$E,$C2516,Data!$AI:$AI)</f>
        <v>0</v>
      </c>
    </row>
    <row r="2517" spans="1:5" x14ac:dyDescent="0.25">
      <c r="A2517" s="46" t="s">
        <v>10877</v>
      </c>
      <c r="B2517" s="46" t="s">
        <v>120</v>
      </c>
      <c r="C2517" s="46" t="s">
        <v>4845</v>
      </c>
      <c r="D2517" s="46">
        <v>12.635437839303201</v>
      </c>
      <c r="E2517" s="47">
        <f>SUMIF(Data!$E:$E,$C2517,Data!$AI:$AI)</f>
        <v>0</v>
      </c>
    </row>
    <row r="2518" spans="1:5" x14ac:dyDescent="0.25">
      <c r="A2518" s="46" t="s">
        <v>10877</v>
      </c>
      <c r="B2518" s="46" t="s">
        <v>120</v>
      </c>
      <c r="C2518" s="46" t="s">
        <v>4877</v>
      </c>
      <c r="D2518" s="46">
        <v>6.6522657473688396</v>
      </c>
      <c r="E2518" s="47">
        <f>SUMIF(Data!$E:$E,$C2518,Data!$AI:$AI)</f>
        <v>0</v>
      </c>
    </row>
    <row r="2519" spans="1:5" x14ac:dyDescent="0.25">
      <c r="A2519" s="46" t="s">
        <v>10877</v>
      </c>
      <c r="B2519" s="46" t="s">
        <v>120</v>
      </c>
      <c r="C2519" s="46" t="s">
        <v>4890</v>
      </c>
      <c r="D2519" s="46">
        <v>29.946208503872299</v>
      </c>
      <c r="E2519" s="47">
        <f>SUMIF(Data!$E:$E,$C2519,Data!$AI:$AI)</f>
        <v>0</v>
      </c>
    </row>
    <row r="2520" spans="1:5" x14ac:dyDescent="0.25">
      <c r="A2520" s="46" t="s">
        <v>10877</v>
      </c>
      <c r="B2520" s="46" t="s">
        <v>120</v>
      </c>
      <c r="C2520" s="46" t="s">
        <v>5023</v>
      </c>
      <c r="D2520" s="46">
        <v>15.0443275785628</v>
      </c>
      <c r="E2520" s="47">
        <f>SUMIF(Data!$E:$E,$C2520,Data!$AI:$AI)</f>
        <v>0</v>
      </c>
    </row>
    <row r="2521" spans="1:5" x14ac:dyDescent="0.25">
      <c r="A2521" s="46" t="s">
        <v>10878</v>
      </c>
      <c r="B2521" s="46" t="s">
        <v>120</v>
      </c>
      <c r="C2521" s="46" t="s">
        <v>5196</v>
      </c>
      <c r="D2521" s="46">
        <v>100</v>
      </c>
      <c r="E2521" s="47">
        <f>SUMIF(Data!$E:$E,$C2521,Data!$AI:$AI)</f>
        <v>0</v>
      </c>
    </row>
    <row r="2522" spans="1:5" x14ac:dyDescent="0.25">
      <c r="A2522" s="46" t="s">
        <v>10879</v>
      </c>
      <c r="B2522" s="46" t="s">
        <v>120</v>
      </c>
      <c r="C2522" s="46" t="s">
        <v>3202</v>
      </c>
      <c r="D2522" s="46">
        <v>16.620720678121501</v>
      </c>
      <c r="E2522" s="47">
        <f>SUMIF(Data!$E:$E,$C2522,Data!$AI:$AI)</f>
        <v>0</v>
      </c>
    </row>
    <row r="2523" spans="1:5" x14ac:dyDescent="0.25">
      <c r="A2523" s="46" t="s">
        <v>10879</v>
      </c>
      <c r="B2523" s="46" t="s">
        <v>120</v>
      </c>
      <c r="C2523" s="46" t="s">
        <v>5131</v>
      </c>
      <c r="D2523" s="46">
        <v>3.9735238612186699</v>
      </c>
      <c r="E2523" s="47">
        <f>SUMIF(Data!$E:$E,$C2523,Data!$AI:$AI)</f>
        <v>0</v>
      </c>
    </row>
    <row r="2524" spans="1:5" x14ac:dyDescent="0.25">
      <c r="A2524" s="46" t="s">
        <v>10879</v>
      </c>
      <c r="B2524" s="46" t="s">
        <v>120</v>
      </c>
      <c r="C2524" s="46" t="s">
        <v>4904</v>
      </c>
      <c r="D2524" s="46">
        <v>39.167361458409303</v>
      </c>
      <c r="E2524" s="47">
        <f>SUMIF(Data!$E:$E,$C2524,Data!$AI:$AI)</f>
        <v>0</v>
      </c>
    </row>
    <row r="2525" spans="1:5" x14ac:dyDescent="0.25">
      <c r="A2525" s="46" t="s">
        <v>10879</v>
      </c>
      <c r="B2525" s="46" t="s">
        <v>120</v>
      </c>
      <c r="C2525" s="46" t="s">
        <v>5299</v>
      </c>
      <c r="D2525" s="46">
        <v>5.6099600550674902</v>
      </c>
      <c r="E2525" s="47">
        <f>SUMIF(Data!$E:$E,$C2525,Data!$AI:$AI)</f>
        <v>0</v>
      </c>
    </row>
    <row r="2526" spans="1:5" x14ac:dyDescent="0.25">
      <c r="A2526" s="46" t="s">
        <v>10879</v>
      </c>
      <c r="B2526" s="46" t="s">
        <v>120</v>
      </c>
      <c r="C2526" s="46" t="s">
        <v>5016</v>
      </c>
      <c r="D2526" s="46">
        <v>34.628433947182998</v>
      </c>
      <c r="E2526" s="47">
        <f>SUMIF(Data!$E:$E,$C2526,Data!$AI:$AI)</f>
        <v>0</v>
      </c>
    </row>
    <row r="2527" spans="1:5" x14ac:dyDescent="0.25">
      <c r="A2527" s="46" t="s">
        <v>10880</v>
      </c>
      <c r="B2527" s="46" t="s">
        <v>120</v>
      </c>
      <c r="C2527" s="46" t="s">
        <v>5587</v>
      </c>
      <c r="D2527" s="46">
        <v>0.60873056298060002</v>
      </c>
      <c r="E2527" s="47">
        <f>SUMIF(Data!$E:$E,$C2527,Data!$AI:$AI)</f>
        <v>0</v>
      </c>
    </row>
    <row r="2528" spans="1:5" x14ac:dyDescent="0.25">
      <c r="A2528" s="46" t="s">
        <v>10880</v>
      </c>
      <c r="B2528" s="46" t="s">
        <v>120</v>
      </c>
      <c r="C2528" s="46" t="s">
        <v>5281</v>
      </c>
      <c r="D2528" s="46">
        <v>18.3212896368806</v>
      </c>
      <c r="E2528" s="47">
        <f>SUMIF(Data!$E:$E,$C2528,Data!$AI:$AI)</f>
        <v>0</v>
      </c>
    </row>
    <row r="2529" spans="1:5" x14ac:dyDescent="0.25">
      <c r="A2529" s="46" t="s">
        <v>10880</v>
      </c>
      <c r="B2529" s="46" t="s">
        <v>120</v>
      </c>
      <c r="C2529" s="46" t="s">
        <v>5696</v>
      </c>
      <c r="D2529" s="46">
        <v>8.3308394867978297</v>
      </c>
      <c r="E2529" s="47">
        <f>SUMIF(Data!$E:$E,$C2529,Data!$AI:$AI)</f>
        <v>0</v>
      </c>
    </row>
    <row r="2530" spans="1:5" x14ac:dyDescent="0.25">
      <c r="A2530" s="46" t="s">
        <v>10880</v>
      </c>
      <c r="B2530" s="46" t="s">
        <v>120</v>
      </c>
      <c r="C2530" s="46" t="s">
        <v>5345</v>
      </c>
      <c r="D2530" s="46">
        <v>11.9118980280816</v>
      </c>
      <c r="E2530" s="47">
        <f>SUMIF(Data!$E:$E,$C2530,Data!$AI:$AI)</f>
        <v>0</v>
      </c>
    </row>
    <row r="2531" spans="1:5" x14ac:dyDescent="0.25">
      <c r="A2531" s="46" t="s">
        <v>10880</v>
      </c>
      <c r="B2531" s="46" t="s">
        <v>120</v>
      </c>
      <c r="C2531" s="46" t="s">
        <v>1777</v>
      </c>
      <c r="D2531" s="46">
        <v>5.2738637624714002</v>
      </c>
      <c r="E2531" s="47">
        <f>SUMIF(Data!$E:$E,$C2531,Data!$AI:$AI)</f>
        <v>0</v>
      </c>
    </row>
    <row r="2532" spans="1:5" x14ac:dyDescent="0.25">
      <c r="A2532" s="46" t="s">
        <v>10880</v>
      </c>
      <c r="B2532" s="46" t="s">
        <v>120</v>
      </c>
      <c r="C2532" s="46" t="s">
        <v>5379</v>
      </c>
      <c r="D2532" s="46">
        <v>7.4615012666825002</v>
      </c>
      <c r="E2532" s="47">
        <f>SUMIF(Data!$E:$E,$C2532,Data!$AI:$AI)</f>
        <v>0</v>
      </c>
    </row>
    <row r="2533" spans="1:5" x14ac:dyDescent="0.25">
      <c r="A2533" s="46" t="s">
        <v>10880</v>
      </c>
      <c r="B2533" s="46" t="s">
        <v>120</v>
      </c>
      <c r="C2533" s="46" t="s">
        <v>5002</v>
      </c>
      <c r="D2533" s="46">
        <v>48.091877256105498</v>
      </c>
      <c r="E2533" s="47">
        <f>SUMIF(Data!$E:$E,$C2533,Data!$AI:$AI)</f>
        <v>0</v>
      </c>
    </row>
    <row r="2534" spans="1:5" x14ac:dyDescent="0.25">
      <c r="A2534" s="46" t="s">
        <v>10881</v>
      </c>
      <c r="B2534" s="46" t="s">
        <v>120</v>
      </c>
      <c r="C2534" s="46" t="s">
        <v>5474</v>
      </c>
      <c r="D2534" s="46">
        <v>2.3370676059366899</v>
      </c>
      <c r="E2534" s="47">
        <f>SUMIF(Data!$E:$E,$C2534,Data!$AI:$AI)</f>
        <v>0</v>
      </c>
    </row>
    <row r="2535" spans="1:5" x14ac:dyDescent="0.25">
      <c r="A2535" s="46" t="s">
        <v>10881</v>
      </c>
      <c r="B2535" s="46" t="s">
        <v>120</v>
      </c>
      <c r="C2535" s="46" t="s">
        <v>3142</v>
      </c>
      <c r="D2535" s="46">
        <v>21.817857718325701</v>
      </c>
      <c r="E2535" s="47">
        <f>SUMIF(Data!$E:$E,$C2535,Data!$AI:$AI)</f>
        <v>0</v>
      </c>
    </row>
    <row r="2536" spans="1:5" x14ac:dyDescent="0.25">
      <c r="A2536" s="46" t="s">
        <v>10881</v>
      </c>
      <c r="B2536" s="46" t="s">
        <v>120</v>
      </c>
      <c r="C2536" s="46" t="s">
        <v>5501</v>
      </c>
      <c r="D2536" s="46">
        <v>0.583964332263327</v>
      </c>
      <c r="E2536" s="47">
        <f>SUMIF(Data!$E:$E,$C2536,Data!$AI:$AI)</f>
        <v>0</v>
      </c>
    </row>
    <row r="2537" spans="1:5" x14ac:dyDescent="0.25">
      <c r="A2537" s="46" t="s">
        <v>10881</v>
      </c>
      <c r="B2537" s="46" t="s">
        <v>120</v>
      </c>
      <c r="C2537" s="46" t="s">
        <v>3149</v>
      </c>
      <c r="D2537" s="46">
        <v>7.51123785639352</v>
      </c>
      <c r="E2537" s="47">
        <f>SUMIF(Data!$E:$E,$C2537,Data!$AI:$AI)</f>
        <v>0</v>
      </c>
    </row>
    <row r="2538" spans="1:5" x14ac:dyDescent="0.25">
      <c r="A2538" s="46" t="s">
        <v>10881</v>
      </c>
      <c r="B2538" s="46" t="s">
        <v>120</v>
      </c>
      <c r="C2538" s="46" t="s">
        <v>5542</v>
      </c>
      <c r="D2538" s="46">
        <v>1.0641452865068901</v>
      </c>
      <c r="E2538" s="47">
        <f>SUMIF(Data!$E:$E,$C2538,Data!$AI:$AI)</f>
        <v>0</v>
      </c>
    </row>
    <row r="2539" spans="1:5" x14ac:dyDescent="0.25">
      <c r="A2539" s="46" t="s">
        <v>10881</v>
      </c>
      <c r="B2539" s="46" t="s">
        <v>120</v>
      </c>
      <c r="C2539" s="46" t="s">
        <v>3157</v>
      </c>
      <c r="D2539" s="46">
        <v>16.436961047140301</v>
      </c>
      <c r="E2539" s="47">
        <f>SUMIF(Data!$E:$E,$C2539,Data!$AI:$AI)</f>
        <v>0</v>
      </c>
    </row>
    <row r="2540" spans="1:5" x14ac:dyDescent="0.25">
      <c r="A2540" s="46" t="s">
        <v>10881</v>
      </c>
      <c r="B2540" s="46" t="s">
        <v>120</v>
      </c>
      <c r="C2540" s="46" t="s">
        <v>3164</v>
      </c>
      <c r="D2540" s="46">
        <v>4.6693028571078496</v>
      </c>
      <c r="E2540" s="47">
        <f>SUMIF(Data!$E:$E,$C2540,Data!$AI:$AI)</f>
        <v>0</v>
      </c>
    </row>
    <row r="2541" spans="1:5" x14ac:dyDescent="0.25">
      <c r="A2541" s="46" t="s">
        <v>10881</v>
      </c>
      <c r="B2541" s="46" t="s">
        <v>120</v>
      </c>
      <c r="C2541" s="46" t="s">
        <v>5189</v>
      </c>
      <c r="D2541" s="46">
        <v>3.1968003706206201</v>
      </c>
      <c r="E2541" s="47">
        <f>SUMIF(Data!$E:$E,$C2541,Data!$AI:$AI)</f>
        <v>0</v>
      </c>
    </row>
    <row r="2542" spans="1:5" x14ac:dyDescent="0.25">
      <c r="A2542" s="46" t="s">
        <v>10881</v>
      </c>
      <c r="B2542" s="46" t="s">
        <v>120</v>
      </c>
      <c r="C2542" s="46" t="s">
        <v>5238</v>
      </c>
      <c r="D2542" s="46">
        <v>4.8883609263428101</v>
      </c>
      <c r="E2542" s="47">
        <f>SUMIF(Data!$E:$E,$C2542,Data!$AI:$AI)</f>
        <v>0</v>
      </c>
    </row>
    <row r="2543" spans="1:5" x14ac:dyDescent="0.25">
      <c r="A2543" s="46" t="s">
        <v>10881</v>
      </c>
      <c r="B2543" s="46" t="s">
        <v>120</v>
      </c>
      <c r="C2543" s="46" t="s">
        <v>5274</v>
      </c>
      <c r="D2543" s="46">
        <v>5.8355911167507504</v>
      </c>
      <c r="E2543" s="47">
        <f>SUMIF(Data!$E:$E,$C2543,Data!$AI:$AI)</f>
        <v>0</v>
      </c>
    </row>
    <row r="2544" spans="1:5" x14ac:dyDescent="0.25">
      <c r="A2544" s="46" t="s">
        <v>10881</v>
      </c>
      <c r="B2544" s="46" t="s">
        <v>120</v>
      </c>
      <c r="C2544" s="46" t="s">
        <v>5668</v>
      </c>
      <c r="D2544" s="46">
        <v>2.4787089387452399</v>
      </c>
      <c r="E2544" s="47">
        <f>SUMIF(Data!$E:$E,$C2544,Data!$AI:$AI)</f>
        <v>0</v>
      </c>
    </row>
    <row r="2545" spans="1:5" x14ac:dyDescent="0.25">
      <c r="A2545" s="46" t="s">
        <v>10881</v>
      </c>
      <c r="B2545" s="46" t="s">
        <v>120</v>
      </c>
      <c r="C2545" s="46" t="s">
        <v>5675</v>
      </c>
      <c r="D2545" s="46">
        <v>0.97043691320606495</v>
      </c>
      <c r="E2545" s="47">
        <f>SUMIF(Data!$E:$E,$C2545,Data!$AI:$AI)</f>
        <v>0</v>
      </c>
    </row>
    <row r="2546" spans="1:5" x14ac:dyDescent="0.25">
      <c r="A2546" s="46" t="s">
        <v>10881</v>
      </c>
      <c r="B2546" s="46" t="s">
        <v>120</v>
      </c>
      <c r="C2546" s="46" t="s">
        <v>5689</v>
      </c>
      <c r="D2546" s="46">
        <v>1.82463153079091</v>
      </c>
      <c r="E2546" s="47">
        <f>SUMIF(Data!$E:$E,$C2546,Data!$AI:$AI)</f>
        <v>0</v>
      </c>
    </row>
    <row r="2547" spans="1:5" x14ac:dyDescent="0.25">
      <c r="A2547" s="46" t="s">
        <v>10881</v>
      </c>
      <c r="B2547" s="46" t="s">
        <v>120</v>
      </c>
      <c r="C2547" s="46" t="s">
        <v>3171</v>
      </c>
      <c r="D2547" s="46">
        <v>4.1553822092128199</v>
      </c>
      <c r="E2547" s="47">
        <f>SUMIF(Data!$E:$E,$C2547,Data!$AI:$AI)</f>
        <v>0</v>
      </c>
    </row>
    <row r="2548" spans="1:5" x14ac:dyDescent="0.25">
      <c r="A2548" s="46" t="s">
        <v>10881</v>
      </c>
      <c r="B2548" s="46" t="s">
        <v>120</v>
      </c>
      <c r="C2548" s="46" t="s">
        <v>5709</v>
      </c>
      <c r="D2548" s="46">
        <v>1.01397782663992</v>
      </c>
      <c r="E2548" s="47">
        <f>SUMIF(Data!$E:$E,$C2548,Data!$AI:$AI)</f>
        <v>0</v>
      </c>
    </row>
    <row r="2549" spans="1:5" x14ac:dyDescent="0.25">
      <c r="A2549" s="46" t="s">
        <v>10881</v>
      </c>
      <c r="B2549" s="46" t="s">
        <v>120</v>
      </c>
      <c r="C2549" s="46" t="s">
        <v>5332</v>
      </c>
      <c r="D2549" s="46">
        <v>9.7212132047238402</v>
      </c>
      <c r="E2549" s="47">
        <f>SUMIF(Data!$E:$E,$C2549,Data!$AI:$AI)</f>
        <v>0</v>
      </c>
    </row>
    <row r="2550" spans="1:5" x14ac:dyDescent="0.25">
      <c r="A2550" s="46" t="s">
        <v>10881</v>
      </c>
      <c r="B2550" s="46" t="s">
        <v>120</v>
      </c>
      <c r="C2550" s="46" t="s">
        <v>5716</v>
      </c>
      <c r="D2550" s="46">
        <v>1.2233968932100301</v>
      </c>
      <c r="E2550" s="47">
        <f>SUMIF(Data!$E:$E,$C2550,Data!$AI:$AI)</f>
        <v>0</v>
      </c>
    </row>
    <row r="2551" spans="1:5" x14ac:dyDescent="0.25">
      <c r="A2551" s="46" t="s">
        <v>10881</v>
      </c>
      <c r="B2551" s="46" t="s">
        <v>120</v>
      </c>
      <c r="C2551" s="46" t="s">
        <v>5351</v>
      </c>
      <c r="D2551" s="46">
        <v>1.8467889308738801</v>
      </c>
      <c r="E2551" s="47">
        <f>SUMIF(Data!$E:$E,$C2551,Data!$AI:$AI)</f>
        <v>0</v>
      </c>
    </row>
    <row r="2552" spans="1:5" x14ac:dyDescent="0.25">
      <c r="A2552" s="46" t="s">
        <v>10881</v>
      </c>
      <c r="B2552" s="46" t="s">
        <v>120</v>
      </c>
      <c r="C2552" s="46" t="s">
        <v>5729</v>
      </c>
      <c r="D2552" s="46">
        <v>0.91850651950378703</v>
      </c>
      <c r="E2552" s="47">
        <f>SUMIF(Data!$E:$E,$C2552,Data!$AI:$AI)</f>
        <v>0</v>
      </c>
    </row>
    <row r="2553" spans="1:5" x14ac:dyDescent="0.25">
      <c r="A2553" s="46" t="s">
        <v>10881</v>
      </c>
      <c r="B2553" s="46" t="s">
        <v>120</v>
      </c>
      <c r="C2553" s="46" t="s">
        <v>5745</v>
      </c>
      <c r="D2553" s="46">
        <v>0.210694476487433</v>
      </c>
      <c r="E2553" s="47">
        <f>SUMIF(Data!$E:$E,$C2553,Data!$AI:$AI)</f>
        <v>0</v>
      </c>
    </row>
    <row r="2554" spans="1:5" x14ac:dyDescent="0.25">
      <c r="A2554" s="46" t="s">
        <v>10881</v>
      </c>
      <c r="B2554" s="46" t="s">
        <v>120</v>
      </c>
      <c r="C2554" s="46" t="s">
        <v>5752</v>
      </c>
      <c r="D2554" s="46">
        <v>2.46882390303406</v>
      </c>
      <c r="E2554" s="47">
        <f>SUMIF(Data!$E:$E,$C2554,Data!$AI:$AI)</f>
        <v>0</v>
      </c>
    </row>
    <row r="2555" spans="1:5" x14ac:dyDescent="0.25">
      <c r="A2555" s="46" t="s">
        <v>10881</v>
      </c>
      <c r="B2555" s="46" t="s">
        <v>120</v>
      </c>
      <c r="C2555" s="46" t="s">
        <v>5779</v>
      </c>
      <c r="D2555" s="46">
        <v>0.630369119175749</v>
      </c>
      <c r="E2555" s="47">
        <f>SUMIF(Data!$E:$E,$C2555,Data!$AI:$AI)</f>
        <v>0</v>
      </c>
    </row>
    <row r="2556" spans="1:5" x14ac:dyDescent="0.25">
      <c r="A2556" s="46" t="s">
        <v>10881</v>
      </c>
      <c r="B2556" s="46" t="s">
        <v>120</v>
      </c>
      <c r="C2556" s="46" t="s">
        <v>5792</v>
      </c>
      <c r="D2556" s="46">
        <v>0.15548265624364899</v>
      </c>
      <c r="E2556" s="47">
        <f>SUMIF(Data!$E:$E,$C2556,Data!$AI:$AI)</f>
        <v>0</v>
      </c>
    </row>
    <row r="2557" spans="1:5" x14ac:dyDescent="0.25">
      <c r="A2557" s="46" t="s">
        <v>10881</v>
      </c>
      <c r="B2557" s="46" t="s">
        <v>120</v>
      </c>
      <c r="C2557" s="46" t="s">
        <v>6335</v>
      </c>
      <c r="D2557" s="46">
        <v>3.2289566881163401</v>
      </c>
      <c r="E2557" s="47">
        <f>SUMIF(Data!$E:$E,$C2557,Data!$AI:$AI)</f>
        <v>0</v>
      </c>
    </row>
    <row r="2558" spans="1:5" x14ac:dyDescent="0.25">
      <c r="A2558" s="46" t="s">
        <v>10881</v>
      </c>
      <c r="B2558" s="46" t="s">
        <v>120</v>
      </c>
      <c r="C2558" s="46" t="s">
        <v>5806</v>
      </c>
      <c r="D2558" s="46">
        <v>0.81134107264783895</v>
      </c>
      <c r="E2558" s="47">
        <f>SUMIF(Data!$E:$E,$C2558,Data!$AI:$AI)</f>
        <v>0</v>
      </c>
    </row>
    <row r="2559" spans="1:5" x14ac:dyDescent="0.25">
      <c r="A2559" s="46" t="s">
        <v>10882</v>
      </c>
      <c r="B2559" s="46" t="s">
        <v>120</v>
      </c>
      <c r="C2559" s="46" t="s">
        <v>10883</v>
      </c>
      <c r="D2559" s="46">
        <v>2.7068962279270501</v>
      </c>
      <c r="E2559" s="47">
        <f>SUMIF(Data!$E:$E,$C2559,Data!$AI:$AI)</f>
        <v>0</v>
      </c>
    </row>
    <row r="2560" spans="1:5" x14ac:dyDescent="0.25">
      <c r="A2560" s="46" t="s">
        <v>10882</v>
      </c>
      <c r="B2560" s="46" t="s">
        <v>120</v>
      </c>
      <c r="C2560" s="46" t="s">
        <v>10884</v>
      </c>
      <c r="D2560" s="46">
        <v>3.4181348472830901</v>
      </c>
      <c r="E2560" s="47">
        <f>SUMIF(Data!$E:$E,$C2560,Data!$AI:$AI)</f>
        <v>0</v>
      </c>
    </row>
    <row r="2561" spans="1:5" x14ac:dyDescent="0.25">
      <c r="A2561" s="46" t="s">
        <v>10882</v>
      </c>
      <c r="B2561" s="46" t="s">
        <v>120</v>
      </c>
      <c r="C2561" s="46" t="s">
        <v>5474</v>
      </c>
      <c r="D2561" s="46">
        <v>3.3921022391938198</v>
      </c>
      <c r="E2561" s="47">
        <f>SUMIF(Data!$E:$E,$C2561,Data!$AI:$AI)</f>
        <v>0</v>
      </c>
    </row>
    <row r="2562" spans="1:5" x14ac:dyDescent="0.25">
      <c r="A2562" s="46" t="s">
        <v>10882</v>
      </c>
      <c r="B2562" s="46" t="s">
        <v>120</v>
      </c>
      <c r="C2562" s="46" t="s">
        <v>3142</v>
      </c>
      <c r="D2562" s="46">
        <v>15.9287399553968</v>
      </c>
      <c r="E2562" s="47">
        <f>SUMIF(Data!$E:$E,$C2562,Data!$AI:$AI)</f>
        <v>0</v>
      </c>
    </row>
    <row r="2563" spans="1:5" x14ac:dyDescent="0.25">
      <c r="A2563" s="46" t="s">
        <v>10882</v>
      </c>
      <c r="B2563" s="46" t="s">
        <v>120</v>
      </c>
      <c r="C2563" s="46" t="s">
        <v>10885</v>
      </c>
      <c r="D2563" s="46">
        <v>0.47644003517488298</v>
      </c>
      <c r="E2563" s="47">
        <f>SUMIF(Data!$E:$E,$C2563,Data!$AI:$AI)</f>
        <v>0</v>
      </c>
    </row>
    <row r="2564" spans="1:5" x14ac:dyDescent="0.25">
      <c r="A2564" s="46" t="s">
        <v>10882</v>
      </c>
      <c r="B2564" s="46" t="s">
        <v>120</v>
      </c>
      <c r="C2564" s="46" t="s">
        <v>5501</v>
      </c>
      <c r="D2564" s="46">
        <v>0.72528929239647399</v>
      </c>
      <c r="E2564" s="47">
        <f>SUMIF(Data!$E:$E,$C2564,Data!$AI:$AI)</f>
        <v>0</v>
      </c>
    </row>
    <row r="2565" spans="1:5" x14ac:dyDescent="0.25">
      <c r="A2565" s="46" t="s">
        <v>10882</v>
      </c>
      <c r="B2565" s="46" t="s">
        <v>120</v>
      </c>
      <c r="C2565" s="46" t="s">
        <v>3149</v>
      </c>
      <c r="D2565" s="46">
        <v>4.4114078402664196</v>
      </c>
      <c r="E2565" s="47">
        <f>SUMIF(Data!$E:$E,$C2565,Data!$AI:$AI)</f>
        <v>0</v>
      </c>
    </row>
    <row r="2566" spans="1:5" x14ac:dyDescent="0.25">
      <c r="A2566" s="46" t="s">
        <v>10882</v>
      </c>
      <c r="B2566" s="46" t="s">
        <v>120</v>
      </c>
      <c r="C2566" s="46" t="s">
        <v>5542</v>
      </c>
      <c r="D2566" s="46">
        <v>0.73427643500851603</v>
      </c>
      <c r="E2566" s="47">
        <f>SUMIF(Data!$E:$E,$C2566,Data!$AI:$AI)</f>
        <v>0</v>
      </c>
    </row>
    <row r="2567" spans="1:5" x14ac:dyDescent="0.25">
      <c r="A2567" s="46" t="s">
        <v>10882</v>
      </c>
      <c r="B2567" s="46" t="s">
        <v>120</v>
      </c>
      <c r="C2567" s="46" t="s">
        <v>3157</v>
      </c>
      <c r="D2567" s="46">
        <v>15.349505324279001</v>
      </c>
      <c r="E2567" s="47">
        <f>SUMIF(Data!$E:$E,$C2567,Data!$AI:$AI)</f>
        <v>0</v>
      </c>
    </row>
    <row r="2568" spans="1:5" x14ac:dyDescent="0.25">
      <c r="A2568" s="46" t="s">
        <v>10882</v>
      </c>
      <c r="B2568" s="46" t="s">
        <v>120</v>
      </c>
      <c r="C2568" s="46" t="s">
        <v>3164</v>
      </c>
      <c r="D2568" s="46">
        <v>5.2755102161121696</v>
      </c>
      <c r="E2568" s="47">
        <f>SUMIF(Data!$E:$E,$C2568,Data!$AI:$AI)</f>
        <v>0</v>
      </c>
    </row>
    <row r="2569" spans="1:5" x14ac:dyDescent="0.25">
      <c r="A2569" s="46" t="s">
        <v>10882</v>
      </c>
      <c r="B2569" s="46" t="s">
        <v>120</v>
      </c>
      <c r="C2569" s="46" t="s">
        <v>5189</v>
      </c>
      <c r="D2569" s="46">
        <v>4.4560329916798098</v>
      </c>
      <c r="E2569" s="47">
        <f>SUMIF(Data!$E:$E,$C2569,Data!$AI:$AI)</f>
        <v>0</v>
      </c>
    </row>
    <row r="2570" spans="1:5" x14ac:dyDescent="0.25">
      <c r="A2570" s="46" t="s">
        <v>10882</v>
      </c>
      <c r="B2570" s="46" t="s">
        <v>120</v>
      </c>
      <c r="C2570" s="46" t="s">
        <v>10886</v>
      </c>
      <c r="D2570" s="46">
        <v>2.47986848162975</v>
      </c>
      <c r="E2570" s="47">
        <f>SUMIF(Data!$E:$E,$C2570,Data!$AI:$AI)</f>
        <v>0</v>
      </c>
    </row>
    <row r="2571" spans="1:5" x14ac:dyDescent="0.25">
      <c r="A2571" s="46" t="s">
        <v>10882</v>
      </c>
      <c r="B2571" s="46" t="s">
        <v>120</v>
      </c>
      <c r="C2571" s="46" t="s">
        <v>5238</v>
      </c>
      <c r="D2571" s="46">
        <v>1.3321423391038001</v>
      </c>
      <c r="E2571" s="47">
        <f>SUMIF(Data!$E:$E,$C2571,Data!$AI:$AI)</f>
        <v>0</v>
      </c>
    </row>
    <row r="2572" spans="1:5" x14ac:dyDescent="0.25">
      <c r="A2572" s="46" t="s">
        <v>10882</v>
      </c>
      <c r="B2572" s="46" t="s">
        <v>120</v>
      </c>
      <c r="C2572" s="46" t="s">
        <v>10541</v>
      </c>
      <c r="D2572" s="46">
        <v>4.9748344528076798</v>
      </c>
      <c r="E2572" s="47">
        <f>SUMIF(Data!$E:$E,$C2572,Data!$AI:$AI)</f>
        <v>0</v>
      </c>
    </row>
    <row r="2573" spans="1:5" x14ac:dyDescent="0.25">
      <c r="A2573" s="46" t="s">
        <v>10882</v>
      </c>
      <c r="B2573" s="46" t="s">
        <v>120</v>
      </c>
      <c r="C2573" s="46" t="s">
        <v>10553</v>
      </c>
      <c r="D2573" s="46">
        <v>0.99059349447311695</v>
      </c>
      <c r="E2573" s="47">
        <f>SUMIF(Data!$E:$E,$C2573,Data!$AI:$AI)</f>
        <v>0</v>
      </c>
    </row>
    <row r="2574" spans="1:5" x14ac:dyDescent="0.25">
      <c r="A2574" s="46" t="s">
        <v>10882</v>
      </c>
      <c r="B2574" s="46" t="s">
        <v>120</v>
      </c>
      <c r="C2574" s="46" t="s">
        <v>10887</v>
      </c>
      <c r="D2574" s="46">
        <v>27.3508866889117</v>
      </c>
      <c r="E2574" s="47">
        <f>SUMIF(Data!$E:$E,$C2574,Data!$AI:$AI)</f>
        <v>0</v>
      </c>
    </row>
    <row r="2575" spans="1:5" x14ac:dyDescent="0.25">
      <c r="A2575" s="46" t="s">
        <v>10882</v>
      </c>
      <c r="B2575" s="46" t="s">
        <v>120</v>
      </c>
      <c r="C2575" s="46" t="s">
        <v>10888</v>
      </c>
      <c r="D2575" s="46">
        <v>5.99733913835591</v>
      </c>
      <c r="E2575" s="47">
        <f>SUMIF(Data!$E:$E,$C2575,Data!$AI:$AI)</f>
        <v>0</v>
      </c>
    </row>
    <row r="2576" spans="1:5" x14ac:dyDescent="0.25">
      <c r="A2576" s="46" t="s">
        <v>10889</v>
      </c>
      <c r="B2576" s="46" t="s">
        <v>120</v>
      </c>
      <c r="C2576" s="46" t="s">
        <v>5055</v>
      </c>
      <c r="D2576" s="46">
        <v>4.7557945492014397</v>
      </c>
      <c r="E2576" s="47">
        <f>SUMIF(Data!$E:$E,$C2576,Data!$AI:$AI)</f>
        <v>0</v>
      </c>
    </row>
    <row r="2577" spans="1:5" x14ac:dyDescent="0.25">
      <c r="A2577" s="46" t="s">
        <v>10889</v>
      </c>
      <c r="B2577" s="46" t="s">
        <v>120</v>
      </c>
      <c r="C2577" s="46" t="s">
        <v>5069</v>
      </c>
      <c r="D2577" s="46">
        <v>5.1484229327848103</v>
      </c>
      <c r="E2577" s="47">
        <f>SUMIF(Data!$E:$E,$C2577,Data!$AI:$AI)</f>
        <v>0</v>
      </c>
    </row>
    <row r="2578" spans="1:5" x14ac:dyDescent="0.25">
      <c r="A2578" s="46" t="s">
        <v>10889</v>
      </c>
      <c r="B2578" s="46" t="s">
        <v>120</v>
      </c>
      <c r="C2578" s="46" t="s">
        <v>4811</v>
      </c>
      <c r="D2578" s="46">
        <v>11.0982270065142</v>
      </c>
      <c r="E2578" s="47">
        <f>SUMIF(Data!$E:$E,$C2578,Data!$AI:$AI)</f>
        <v>0</v>
      </c>
    </row>
    <row r="2579" spans="1:5" x14ac:dyDescent="0.25">
      <c r="A2579" s="46" t="s">
        <v>10889</v>
      </c>
      <c r="B2579" s="46" t="s">
        <v>120</v>
      </c>
      <c r="C2579" s="46" t="s">
        <v>4818</v>
      </c>
      <c r="D2579" s="46">
        <v>24.205103657045999</v>
      </c>
      <c r="E2579" s="47">
        <f>SUMIF(Data!$E:$E,$C2579,Data!$AI:$AI)</f>
        <v>0</v>
      </c>
    </row>
    <row r="2580" spans="1:5" x14ac:dyDescent="0.25">
      <c r="A2580" s="46" t="s">
        <v>10889</v>
      </c>
      <c r="B2580" s="46" t="s">
        <v>120</v>
      </c>
      <c r="C2580" s="46" t="s">
        <v>5118</v>
      </c>
      <c r="D2580" s="46">
        <v>5.3831695082408002</v>
      </c>
      <c r="E2580" s="47">
        <f>SUMIF(Data!$E:$E,$C2580,Data!$AI:$AI)</f>
        <v>0</v>
      </c>
    </row>
    <row r="2581" spans="1:5" x14ac:dyDescent="0.25">
      <c r="A2581" s="46" t="s">
        <v>10889</v>
      </c>
      <c r="B2581" s="46" t="s">
        <v>120</v>
      </c>
      <c r="C2581" s="46" t="s">
        <v>1852</v>
      </c>
      <c r="D2581" s="46">
        <v>1.48851750380281</v>
      </c>
      <c r="E2581" s="47">
        <f>SUMIF(Data!$E:$E,$C2581,Data!$AI:$AI)</f>
        <v>0</v>
      </c>
    </row>
    <row r="2582" spans="1:5" x14ac:dyDescent="0.25">
      <c r="A2582" s="46" t="s">
        <v>10889</v>
      </c>
      <c r="B2582" s="46" t="s">
        <v>120</v>
      </c>
      <c r="C2582" s="46" t="s">
        <v>6756</v>
      </c>
      <c r="D2582" s="46">
        <v>14.084267584270799</v>
      </c>
      <c r="E2582" s="47">
        <f>SUMIF(Data!$E:$E,$C2582,Data!$AI:$AI)</f>
        <v>0</v>
      </c>
    </row>
    <row r="2583" spans="1:5" x14ac:dyDescent="0.25">
      <c r="A2583" s="46" t="s">
        <v>10889</v>
      </c>
      <c r="B2583" s="46" t="s">
        <v>120</v>
      </c>
      <c r="C2583" s="46" t="s">
        <v>5609</v>
      </c>
      <c r="D2583" s="46">
        <v>1.83389554348433</v>
      </c>
      <c r="E2583" s="47">
        <f>SUMIF(Data!$E:$E,$C2583,Data!$AI:$AI)</f>
        <v>0</v>
      </c>
    </row>
    <row r="2584" spans="1:5" x14ac:dyDescent="0.25">
      <c r="A2584" s="46" t="s">
        <v>10889</v>
      </c>
      <c r="B2584" s="46" t="s">
        <v>120</v>
      </c>
      <c r="C2584" s="46" t="s">
        <v>5245</v>
      </c>
      <c r="D2584" s="46">
        <v>2.49906455993368</v>
      </c>
      <c r="E2584" s="47">
        <f>SUMIF(Data!$E:$E,$C2584,Data!$AI:$AI)</f>
        <v>0</v>
      </c>
    </row>
    <row r="2585" spans="1:5" x14ac:dyDescent="0.25">
      <c r="A2585" s="46" t="s">
        <v>10889</v>
      </c>
      <c r="B2585" s="46" t="s">
        <v>120</v>
      </c>
      <c r="C2585" s="46" t="s">
        <v>6847</v>
      </c>
      <c r="D2585" s="46">
        <v>10.051655497087999</v>
      </c>
      <c r="E2585" s="47">
        <f>SUMIF(Data!$E:$E,$C2585,Data!$AI:$AI)</f>
        <v>0</v>
      </c>
    </row>
    <row r="2586" spans="1:5" x14ac:dyDescent="0.25">
      <c r="A2586" s="46" t="s">
        <v>10889</v>
      </c>
      <c r="B2586" s="46" t="s">
        <v>120</v>
      </c>
      <c r="C2586" s="46" t="s">
        <v>5703</v>
      </c>
      <c r="D2586" s="46">
        <v>3.01711161702623</v>
      </c>
      <c r="E2586" s="47">
        <f>SUMIF(Data!$E:$E,$C2586,Data!$AI:$AI)</f>
        <v>0</v>
      </c>
    </row>
    <row r="2587" spans="1:5" x14ac:dyDescent="0.25">
      <c r="A2587" s="46" t="s">
        <v>10889</v>
      </c>
      <c r="B2587" s="46" t="s">
        <v>120</v>
      </c>
      <c r="C2587" s="46" t="s">
        <v>5738</v>
      </c>
      <c r="D2587" s="46">
        <v>1.40830840324772</v>
      </c>
      <c r="E2587" s="47">
        <f>SUMIF(Data!$E:$E,$C2587,Data!$AI:$AI)</f>
        <v>0</v>
      </c>
    </row>
    <row r="2588" spans="1:5" x14ac:dyDescent="0.25">
      <c r="A2588" s="46" t="s">
        <v>10889</v>
      </c>
      <c r="B2588" s="46" t="s">
        <v>120</v>
      </c>
      <c r="C2588" s="46" t="s">
        <v>5358</v>
      </c>
      <c r="D2588" s="46">
        <v>1.55476233785656</v>
      </c>
      <c r="E2588" s="47">
        <f>SUMIF(Data!$E:$E,$C2588,Data!$AI:$AI)</f>
        <v>0</v>
      </c>
    </row>
    <row r="2589" spans="1:5" x14ac:dyDescent="0.25">
      <c r="A2589" s="46" t="s">
        <v>10889</v>
      </c>
      <c r="B2589" s="46" t="s">
        <v>120</v>
      </c>
      <c r="C2589" s="46" t="s">
        <v>5813</v>
      </c>
      <c r="D2589" s="46">
        <v>1.5277173021913999</v>
      </c>
      <c r="E2589" s="47">
        <f>SUMIF(Data!$E:$E,$C2589,Data!$AI:$AI)</f>
        <v>0</v>
      </c>
    </row>
    <row r="2590" spans="1:5" x14ac:dyDescent="0.25">
      <c r="A2590" s="46" t="s">
        <v>10889</v>
      </c>
      <c r="B2590" s="46" t="s">
        <v>120</v>
      </c>
      <c r="C2590" s="46" t="s">
        <v>5820</v>
      </c>
      <c r="D2590" s="46">
        <v>1.19065091449405</v>
      </c>
      <c r="E2590" s="47">
        <f>SUMIF(Data!$E:$E,$C2590,Data!$AI:$AI)</f>
        <v>0</v>
      </c>
    </row>
    <row r="2591" spans="1:5" x14ac:dyDescent="0.25">
      <c r="A2591" s="46" t="s">
        <v>10889</v>
      </c>
      <c r="B2591" s="46" t="s">
        <v>120</v>
      </c>
      <c r="C2591" s="46" t="s">
        <v>5406</v>
      </c>
      <c r="D2591" s="46">
        <v>10.7533310828171</v>
      </c>
      <c r="E2591" s="47">
        <f>SUMIF(Data!$E:$E,$C2591,Data!$AI:$AI)</f>
        <v>0</v>
      </c>
    </row>
    <row r="2592" spans="1:5" x14ac:dyDescent="0.25">
      <c r="A2592" s="46" t="s">
        <v>10890</v>
      </c>
      <c r="B2592" s="46" t="s">
        <v>120</v>
      </c>
      <c r="C2592" s="46" t="s">
        <v>5448</v>
      </c>
      <c r="D2592" s="46">
        <v>3.1412416729484698</v>
      </c>
      <c r="E2592" s="47">
        <f>SUMIF(Data!$E:$E,$C2592,Data!$AI:$AI)</f>
        <v>0</v>
      </c>
    </row>
    <row r="2593" spans="1:5" x14ac:dyDescent="0.25">
      <c r="A2593" s="46" t="s">
        <v>10890</v>
      </c>
      <c r="B2593" s="46" t="s">
        <v>120</v>
      </c>
      <c r="C2593" s="46" t="s">
        <v>5372</v>
      </c>
      <c r="D2593" s="46">
        <v>16.1992156844553</v>
      </c>
      <c r="E2593" s="47">
        <f>SUMIF(Data!$E:$E,$C2593,Data!$AI:$AI)</f>
        <v>0</v>
      </c>
    </row>
    <row r="2594" spans="1:5" x14ac:dyDescent="0.25">
      <c r="A2594" s="46" t="s">
        <v>10890</v>
      </c>
      <c r="B2594" s="46" t="s">
        <v>120</v>
      </c>
      <c r="C2594" s="46" t="s">
        <v>5009</v>
      </c>
      <c r="D2594" s="46">
        <v>80.659542642596193</v>
      </c>
      <c r="E2594" s="47">
        <f>SUMIF(Data!$E:$E,$C2594,Data!$AI:$AI)</f>
        <v>0</v>
      </c>
    </row>
    <row r="2595" spans="1:5" x14ac:dyDescent="0.25">
      <c r="A2595" s="46" t="s">
        <v>10891</v>
      </c>
      <c r="B2595" s="46" t="s">
        <v>120</v>
      </c>
      <c r="C2595" s="46" t="s">
        <v>5467</v>
      </c>
      <c r="D2595" s="46">
        <v>38.207361436375002</v>
      </c>
      <c r="E2595" s="47">
        <f>SUMIF(Data!$E:$E,$C2595,Data!$AI:$AI)</f>
        <v>0</v>
      </c>
    </row>
    <row r="2596" spans="1:5" x14ac:dyDescent="0.25">
      <c r="A2596" s="46" t="s">
        <v>10891</v>
      </c>
      <c r="B2596" s="46" t="s">
        <v>120</v>
      </c>
      <c r="C2596" s="46" t="s">
        <v>5481</v>
      </c>
      <c r="D2596" s="46">
        <v>31.347176978041698</v>
      </c>
      <c r="E2596" s="47">
        <f>SUMIF(Data!$E:$E,$C2596,Data!$AI:$AI)</f>
        <v>0</v>
      </c>
    </row>
    <row r="2597" spans="1:5" x14ac:dyDescent="0.25">
      <c r="A2597" s="46" t="s">
        <v>10891</v>
      </c>
      <c r="B2597" s="46" t="s">
        <v>120</v>
      </c>
      <c r="C2597" s="46" t="s">
        <v>5759</v>
      </c>
      <c r="D2597" s="46">
        <v>30.445461585583299</v>
      </c>
      <c r="E2597" s="47">
        <f>SUMIF(Data!$E:$E,$C2597,Data!$AI:$AI)</f>
        <v>0</v>
      </c>
    </row>
    <row r="2598" spans="1:5" x14ac:dyDescent="0.25">
      <c r="A2598" s="46" t="s">
        <v>10892</v>
      </c>
      <c r="B2598" s="46" t="s">
        <v>120</v>
      </c>
      <c r="C2598" s="46" t="s">
        <v>1067</v>
      </c>
      <c r="D2598" s="46">
        <v>100</v>
      </c>
      <c r="E2598" s="47">
        <f>SUMIF(Data!$E:$E,$C2598,Data!$AI:$AI)</f>
        <v>0</v>
      </c>
    </row>
    <row r="2599" spans="1:5" x14ac:dyDescent="0.25">
      <c r="A2599" s="46" t="s">
        <v>10893</v>
      </c>
      <c r="B2599" s="46" t="s">
        <v>120</v>
      </c>
      <c r="C2599" s="49">
        <v>197</v>
      </c>
      <c r="D2599" s="46">
        <v>20.155100000000001</v>
      </c>
      <c r="E2599" s="47">
        <f>SUMIF(Data!$E:$E,$C2599,Data!$AI:$AI)</f>
        <v>0</v>
      </c>
    </row>
    <row r="2600" spans="1:5" x14ac:dyDescent="0.25">
      <c r="A2600" s="46" t="s">
        <v>10893</v>
      </c>
      <c r="B2600" s="46" t="s">
        <v>120</v>
      </c>
      <c r="C2600" s="49">
        <v>202</v>
      </c>
      <c r="D2600" s="46">
        <v>18.055099999999999</v>
      </c>
      <c r="E2600" s="47">
        <f>SUMIF(Data!$E:$E,$C2600,Data!$AI:$AI)</f>
        <v>0</v>
      </c>
    </row>
    <row r="2601" spans="1:5" x14ac:dyDescent="0.25">
      <c r="A2601" s="46" t="s">
        <v>10893</v>
      </c>
      <c r="B2601" s="46" t="s">
        <v>120</v>
      </c>
      <c r="C2601" s="49">
        <v>210</v>
      </c>
      <c r="D2601" s="46">
        <v>11.157299999999999</v>
      </c>
      <c r="E2601" s="47">
        <f>SUMIF(Data!$E:$E,$C2601,Data!$AI:$AI)</f>
        <v>0</v>
      </c>
    </row>
    <row r="2602" spans="1:5" x14ac:dyDescent="0.25">
      <c r="A2602" s="46" t="s">
        <v>10893</v>
      </c>
      <c r="B2602" s="46" t="s">
        <v>120</v>
      </c>
      <c r="C2602" s="49">
        <v>212</v>
      </c>
      <c r="D2602" s="46">
        <v>9.1957000000000004</v>
      </c>
      <c r="E2602" s="47">
        <f>SUMIF(Data!$E:$E,$C2602,Data!$AI:$AI)</f>
        <v>0</v>
      </c>
    </row>
    <row r="2603" spans="1:5" x14ac:dyDescent="0.25">
      <c r="A2603" s="46" t="s">
        <v>10893</v>
      </c>
      <c r="B2603" s="46" t="s">
        <v>120</v>
      </c>
      <c r="C2603" s="46" t="s">
        <v>1150</v>
      </c>
      <c r="D2603" s="46">
        <v>7.9795999999999996</v>
      </c>
      <c r="E2603" s="47">
        <f>SUMIF(Data!$E:$E,$C2603,Data!$AI:$AI)</f>
        <v>0</v>
      </c>
    </row>
    <row r="2604" spans="1:5" x14ac:dyDescent="0.25">
      <c r="A2604" s="46" t="s">
        <v>10893</v>
      </c>
      <c r="B2604" s="46" t="s">
        <v>120</v>
      </c>
      <c r="C2604" s="46" t="s">
        <v>1157</v>
      </c>
      <c r="D2604" s="46">
        <v>10.932700000000001</v>
      </c>
      <c r="E2604" s="47">
        <f>SUMIF(Data!$E:$E,$C2604,Data!$AI:$AI)</f>
        <v>0</v>
      </c>
    </row>
    <row r="2605" spans="1:5" x14ac:dyDescent="0.25">
      <c r="A2605" s="46" t="s">
        <v>10893</v>
      </c>
      <c r="B2605" s="46" t="s">
        <v>120</v>
      </c>
      <c r="C2605" s="46" t="s">
        <v>1166</v>
      </c>
      <c r="D2605" s="46">
        <v>8.7110000000000003</v>
      </c>
      <c r="E2605" s="47">
        <f>SUMIF(Data!$E:$E,$C2605,Data!$AI:$AI)</f>
        <v>0</v>
      </c>
    </row>
    <row r="2606" spans="1:5" x14ac:dyDescent="0.25">
      <c r="A2606" s="46" t="s">
        <v>10893</v>
      </c>
      <c r="B2606" s="46" t="s">
        <v>120</v>
      </c>
      <c r="C2606" s="46" t="s">
        <v>1187</v>
      </c>
      <c r="D2606" s="46">
        <v>8.2584999999999997</v>
      </c>
      <c r="E2606" s="47">
        <f>SUMIF(Data!$E:$E,$C2606,Data!$AI:$AI)</f>
        <v>0</v>
      </c>
    </row>
    <row r="2607" spans="1:5" x14ac:dyDescent="0.25">
      <c r="A2607" s="46" t="s">
        <v>10893</v>
      </c>
      <c r="B2607" s="46" t="s">
        <v>120</v>
      </c>
      <c r="C2607" s="46" t="s">
        <v>1194</v>
      </c>
      <c r="D2607" s="46">
        <v>3.6292</v>
      </c>
      <c r="E2607" s="47">
        <f>SUMIF(Data!$E:$E,$C2607,Data!$AI:$AI)</f>
        <v>0</v>
      </c>
    </row>
    <row r="2608" spans="1:5" x14ac:dyDescent="0.25">
      <c r="A2608" s="46" t="s">
        <v>10893</v>
      </c>
      <c r="B2608" s="46" t="s">
        <v>120</v>
      </c>
      <c r="C2608" s="46" t="s">
        <v>1201</v>
      </c>
      <c r="D2608" s="46">
        <v>1.9252</v>
      </c>
      <c r="E2608" s="47">
        <f>SUMIF(Data!$E:$E,$C2608,Data!$AI:$AI)</f>
        <v>0</v>
      </c>
    </row>
    <row r="2609" spans="1:5" x14ac:dyDescent="0.25">
      <c r="A2609" s="46" t="s">
        <v>10894</v>
      </c>
      <c r="B2609" s="46" t="s">
        <v>120</v>
      </c>
      <c r="C2609" s="46" t="s">
        <v>4489</v>
      </c>
      <c r="D2609" s="46">
        <v>1.0371999999999999</v>
      </c>
      <c r="E2609" s="47">
        <f>SUMIF(Data!$E:$E,$C2609,Data!$AI:$AI)</f>
        <v>0</v>
      </c>
    </row>
    <row r="2610" spans="1:5" x14ac:dyDescent="0.25">
      <c r="A2610" s="46" t="s">
        <v>10894</v>
      </c>
      <c r="B2610" s="46" t="s">
        <v>120</v>
      </c>
      <c r="C2610" s="46" t="s">
        <v>4765</v>
      </c>
      <c r="D2610" s="46">
        <v>2.6444000000000001</v>
      </c>
      <c r="E2610" s="47">
        <f>SUMIF(Data!$E:$E,$C2610,Data!$AI:$AI)</f>
        <v>0</v>
      </c>
    </row>
    <row r="2611" spans="1:5" x14ac:dyDescent="0.25">
      <c r="A2611" s="46" t="s">
        <v>10894</v>
      </c>
      <c r="B2611" s="46" t="s">
        <v>120</v>
      </c>
      <c r="C2611" s="46" t="s">
        <v>4589</v>
      </c>
      <c r="D2611" s="46">
        <v>6.4336000000000002</v>
      </c>
      <c r="E2611" s="47">
        <f>SUMIF(Data!$E:$E,$C2611,Data!$AI:$AI)</f>
        <v>0</v>
      </c>
    </row>
    <row r="2612" spans="1:5" x14ac:dyDescent="0.25">
      <c r="A2612" s="46" t="s">
        <v>10894</v>
      </c>
      <c r="B2612" s="46" t="s">
        <v>120</v>
      </c>
      <c r="C2612" s="46" t="s">
        <v>4779</v>
      </c>
      <c r="D2612" s="46">
        <v>0.8901</v>
      </c>
      <c r="E2612" s="47">
        <f>SUMIF(Data!$E:$E,$C2612,Data!$AI:$AI)</f>
        <v>0</v>
      </c>
    </row>
    <row r="2613" spans="1:5" x14ac:dyDescent="0.25">
      <c r="A2613" s="46" t="s">
        <v>10894</v>
      </c>
      <c r="B2613" s="46" t="s">
        <v>120</v>
      </c>
      <c r="C2613" s="46" t="s">
        <v>4496</v>
      </c>
      <c r="D2613" s="46">
        <v>0.96970000000000001</v>
      </c>
      <c r="E2613" s="47">
        <f>SUMIF(Data!$E:$E,$C2613,Data!$AI:$AI)</f>
        <v>0</v>
      </c>
    </row>
    <row r="2614" spans="1:5" x14ac:dyDescent="0.25">
      <c r="A2614" s="46" t="s">
        <v>10894</v>
      </c>
      <c r="B2614" s="46" t="s">
        <v>120</v>
      </c>
      <c r="C2614" s="46" t="s">
        <v>3142</v>
      </c>
      <c r="D2614" s="46">
        <v>1.6153999999999999</v>
      </c>
      <c r="E2614" s="47">
        <f>SUMIF(Data!$E:$E,$C2614,Data!$AI:$AI)</f>
        <v>0</v>
      </c>
    </row>
    <row r="2615" spans="1:5" x14ac:dyDescent="0.25">
      <c r="A2615" s="46" t="s">
        <v>10894</v>
      </c>
      <c r="B2615" s="46" t="s">
        <v>120</v>
      </c>
      <c r="C2615" s="46" t="s">
        <v>5131</v>
      </c>
      <c r="D2615" s="46">
        <v>0.42709999999999998</v>
      </c>
      <c r="E2615" s="47">
        <f>SUMIF(Data!$E:$E,$C2615,Data!$AI:$AI)</f>
        <v>0</v>
      </c>
    </row>
    <row r="2616" spans="1:5" x14ac:dyDescent="0.25">
      <c r="A2616" s="46" t="s">
        <v>10894</v>
      </c>
      <c r="B2616" s="46" t="s">
        <v>120</v>
      </c>
      <c r="C2616" s="46" t="s">
        <v>4618</v>
      </c>
      <c r="D2616" s="46">
        <v>1.2154</v>
      </c>
      <c r="E2616" s="47">
        <f>SUMIF(Data!$E:$E,$C2616,Data!$AI:$AI)</f>
        <v>0</v>
      </c>
    </row>
    <row r="2617" spans="1:5" x14ac:dyDescent="0.25">
      <c r="A2617" s="46" t="s">
        <v>10894</v>
      </c>
      <c r="B2617" s="46" t="s">
        <v>120</v>
      </c>
      <c r="C2617" s="46" t="s">
        <v>4625</v>
      </c>
      <c r="D2617" s="46">
        <v>2.2222</v>
      </c>
      <c r="E2617" s="47">
        <f>SUMIF(Data!$E:$E,$C2617,Data!$AI:$AI)</f>
        <v>0</v>
      </c>
    </row>
    <row r="2618" spans="1:5" x14ac:dyDescent="0.25">
      <c r="A2618" s="46" t="s">
        <v>10894</v>
      </c>
      <c r="B2618" s="46" t="s">
        <v>120</v>
      </c>
      <c r="C2618" s="46" t="s">
        <v>4852</v>
      </c>
      <c r="D2618" s="46">
        <v>6.6104000000000003</v>
      </c>
      <c r="E2618" s="47">
        <f>SUMIF(Data!$E:$E,$C2618,Data!$AI:$AI)</f>
        <v>0</v>
      </c>
    </row>
    <row r="2619" spans="1:5" x14ac:dyDescent="0.25">
      <c r="A2619" s="46" t="s">
        <v>10894</v>
      </c>
      <c r="B2619" s="46" t="s">
        <v>120</v>
      </c>
      <c r="C2619" s="46" t="s">
        <v>4859</v>
      </c>
      <c r="D2619" s="46">
        <v>0.55289999999999995</v>
      </c>
      <c r="E2619" s="47">
        <f>SUMIF(Data!$E:$E,$C2619,Data!$AI:$AI)</f>
        <v>0</v>
      </c>
    </row>
    <row r="2620" spans="1:5" x14ac:dyDescent="0.25">
      <c r="A2620" s="46" t="s">
        <v>10894</v>
      </c>
      <c r="B2620" s="46" t="s">
        <v>120</v>
      </c>
      <c r="C2620" s="46" t="s">
        <v>10853</v>
      </c>
      <c r="D2620" s="46">
        <v>5.05</v>
      </c>
      <c r="E2620" s="47">
        <f>SUMIF(Data!$E:$E,$C2620,Data!$AI:$AI)</f>
        <v>0</v>
      </c>
    </row>
    <row r="2621" spans="1:5" x14ac:dyDescent="0.25">
      <c r="A2621" s="46" t="s">
        <v>10894</v>
      </c>
      <c r="B2621" s="46" t="s">
        <v>120</v>
      </c>
      <c r="C2621" s="46" t="s">
        <v>5170</v>
      </c>
      <c r="D2621" s="46">
        <v>0.21490000000000001</v>
      </c>
      <c r="E2621" s="47">
        <f>SUMIF(Data!$E:$E,$C2621,Data!$AI:$AI)</f>
        <v>0</v>
      </c>
    </row>
    <row r="2622" spans="1:5" x14ac:dyDescent="0.25">
      <c r="A2622" s="46" t="s">
        <v>10894</v>
      </c>
      <c r="B2622" s="46" t="s">
        <v>120</v>
      </c>
      <c r="C2622" s="46" t="s">
        <v>3157</v>
      </c>
      <c r="D2622" s="46">
        <v>1.0526</v>
      </c>
      <c r="E2622" s="47">
        <f>SUMIF(Data!$E:$E,$C2622,Data!$AI:$AI)</f>
        <v>0</v>
      </c>
    </row>
    <row r="2623" spans="1:5" x14ac:dyDescent="0.25">
      <c r="A2623" s="46" t="s">
        <v>10894</v>
      </c>
      <c r="B2623" s="46" t="s">
        <v>120</v>
      </c>
      <c r="C2623" s="46" t="s">
        <v>4870</v>
      </c>
      <c r="D2623" s="46">
        <v>2.4973999999999998</v>
      </c>
      <c r="E2623" s="47">
        <f>SUMIF(Data!$E:$E,$C2623,Data!$AI:$AI)</f>
        <v>0</v>
      </c>
    </row>
    <row r="2624" spans="1:5" x14ac:dyDescent="0.25">
      <c r="A2624" s="46" t="s">
        <v>10894</v>
      </c>
      <c r="B2624" s="46" t="s">
        <v>120</v>
      </c>
      <c r="C2624" s="46" t="s">
        <v>3164</v>
      </c>
      <c r="D2624" s="46">
        <v>0.71850000000000003</v>
      </c>
      <c r="E2624" s="47">
        <f>SUMIF(Data!$E:$E,$C2624,Data!$AI:$AI)</f>
        <v>0</v>
      </c>
    </row>
    <row r="2625" spans="1:5" x14ac:dyDescent="0.25">
      <c r="A2625" s="46" t="s">
        <v>10894</v>
      </c>
      <c r="B2625" s="46" t="s">
        <v>120</v>
      </c>
      <c r="C2625" s="46" t="s">
        <v>517</v>
      </c>
      <c r="D2625" s="46">
        <v>0.95089999999999997</v>
      </c>
      <c r="E2625" s="47">
        <f>SUMIF(Data!$E:$E,$C2625,Data!$AI:$AI)</f>
        <v>0</v>
      </c>
    </row>
    <row r="2626" spans="1:5" x14ac:dyDescent="0.25">
      <c r="A2626" s="46" t="s">
        <v>10894</v>
      </c>
      <c r="B2626" s="46" t="s">
        <v>120</v>
      </c>
      <c r="C2626" s="46" t="s">
        <v>4897</v>
      </c>
      <c r="D2626" s="46">
        <v>1.1378999999999999</v>
      </c>
      <c r="E2626" s="47">
        <f>SUMIF(Data!$E:$E,$C2626,Data!$AI:$AI)</f>
        <v>0</v>
      </c>
    </row>
    <row r="2627" spans="1:5" x14ac:dyDescent="0.25">
      <c r="A2627" s="46" t="s">
        <v>10894</v>
      </c>
      <c r="B2627" s="46" t="s">
        <v>120</v>
      </c>
      <c r="C2627" s="46" t="s">
        <v>4481</v>
      </c>
      <c r="D2627" s="46">
        <v>5.5003000000000002</v>
      </c>
      <c r="E2627" s="47">
        <f>SUMIF(Data!$E:$E,$C2627,Data!$AI:$AI)</f>
        <v>0</v>
      </c>
    </row>
    <row r="2628" spans="1:5" x14ac:dyDescent="0.25">
      <c r="A2628" s="46" t="s">
        <v>10894</v>
      </c>
      <c r="B2628" s="46" t="s">
        <v>120</v>
      </c>
      <c r="C2628" s="46" t="s">
        <v>4916</v>
      </c>
      <c r="D2628" s="46">
        <v>0.48620000000000002</v>
      </c>
      <c r="E2628" s="47">
        <f>SUMIF(Data!$E:$E,$C2628,Data!$AI:$AI)</f>
        <v>0</v>
      </c>
    </row>
    <row r="2629" spans="1:5" x14ac:dyDescent="0.25">
      <c r="A2629" s="46" t="s">
        <v>10894</v>
      </c>
      <c r="B2629" s="46" t="s">
        <v>120</v>
      </c>
      <c r="C2629" s="46" t="s">
        <v>4923</v>
      </c>
      <c r="D2629" s="46">
        <v>0.84330000000000005</v>
      </c>
      <c r="E2629" s="47">
        <f>SUMIF(Data!$E:$E,$C2629,Data!$AI:$AI)</f>
        <v>0</v>
      </c>
    </row>
    <row r="2630" spans="1:5" x14ac:dyDescent="0.25">
      <c r="A2630" s="46" t="s">
        <v>10894</v>
      </c>
      <c r="B2630" s="46" t="s">
        <v>120</v>
      </c>
      <c r="C2630" s="46" t="s">
        <v>5218</v>
      </c>
      <c r="D2630" s="46">
        <v>0.59050000000000002</v>
      </c>
      <c r="E2630" s="47">
        <f>SUMIF(Data!$E:$E,$C2630,Data!$AI:$AI)</f>
        <v>0</v>
      </c>
    </row>
    <row r="2631" spans="1:5" x14ac:dyDescent="0.25">
      <c r="A2631" s="46" t="s">
        <v>10894</v>
      </c>
      <c r="B2631" s="46" t="s">
        <v>120</v>
      </c>
      <c r="C2631" s="46" t="s">
        <v>4935</v>
      </c>
      <c r="D2631" s="46">
        <v>0.99460000000000004</v>
      </c>
      <c r="E2631" s="47">
        <f>SUMIF(Data!$E:$E,$C2631,Data!$AI:$AI)</f>
        <v>0</v>
      </c>
    </row>
    <row r="2632" spans="1:5" x14ac:dyDescent="0.25">
      <c r="A2632" s="46" t="s">
        <v>10894</v>
      </c>
      <c r="B2632" s="46" t="s">
        <v>120</v>
      </c>
      <c r="C2632" s="46" t="s">
        <v>4006</v>
      </c>
      <c r="D2632" s="46">
        <v>0.23219999999999999</v>
      </c>
      <c r="E2632" s="47">
        <f>SUMIF(Data!$E:$E,$C2632,Data!$AI:$AI)</f>
        <v>0</v>
      </c>
    </row>
    <row r="2633" spans="1:5" x14ac:dyDescent="0.25">
      <c r="A2633" s="46" t="s">
        <v>10894</v>
      </c>
      <c r="B2633" s="46" t="s">
        <v>120</v>
      </c>
      <c r="C2633" s="46" t="s">
        <v>1939</v>
      </c>
      <c r="D2633" s="46">
        <v>5.8265000000000002</v>
      </c>
      <c r="E2633" s="47">
        <f>SUMIF(Data!$E:$E,$C2633,Data!$AI:$AI)</f>
        <v>0</v>
      </c>
    </row>
    <row r="2634" spans="1:5" x14ac:dyDescent="0.25">
      <c r="A2634" s="46" t="s">
        <v>10894</v>
      </c>
      <c r="B2634" s="46" t="s">
        <v>120</v>
      </c>
      <c r="C2634" s="46" t="s">
        <v>4948</v>
      </c>
      <c r="D2634" s="46">
        <v>1.3571</v>
      </c>
      <c r="E2634" s="47">
        <f>SUMIF(Data!$E:$E,$C2634,Data!$AI:$AI)</f>
        <v>0</v>
      </c>
    </row>
    <row r="2635" spans="1:5" x14ac:dyDescent="0.25">
      <c r="A2635" s="46" t="s">
        <v>10894</v>
      </c>
      <c r="B2635" s="46" t="s">
        <v>120</v>
      </c>
      <c r="C2635" s="46" t="s">
        <v>1466</v>
      </c>
      <c r="D2635" s="46">
        <v>0.46079999999999999</v>
      </c>
      <c r="E2635" s="47">
        <f>SUMIF(Data!$E:$E,$C2635,Data!$AI:$AI)</f>
        <v>0</v>
      </c>
    </row>
    <row r="2636" spans="1:5" x14ac:dyDescent="0.25">
      <c r="A2636" s="46" t="s">
        <v>10894</v>
      </c>
      <c r="B2636" s="46" t="s">
        <v>120</v>
      </c>
      <c r="C2636" s="46" t="s">
        <v>4968</v>
      </c>
      <c r="D2636" s="46">
        <v>0.41289999999999999</v>
      </c>
      <c r="E2636" s="47">
        <f>SUMIF(Data!$E:$E,$C2636,Data!$AI:$AI)</f>
        <v>0</v>
      </c>
    </row>
    <row r="2637" spans="1:5" x14ac:dyDescent="0.25">
      <c r="A2637" s="46" t="s">
        <v>10894</v>
      </c>
      <c r="B2637" s="46" t="s">
        <v>120</v>
      </c>
      <c r="C2637" s="46" t="s">
        <v>6847</v>
      </c>
      <c r="D2637" s="46">
        <v>0.5464</v>
      </c>
      <c r="E2637" s="47">
        <f>SUMIF(Data!$E:$E,$C2637,Data!$AI:$AI)</f>
        <v>0</v>
      </c>
    </row>
    <row r="2638" spans="1:5" x14ac:dyDescent="0.25">
      <c r="A2638" s="46" t="s">
        <v>10894</v>
      </c>
      <c r="B2638" s="46" t="s">
        <v>120</v>
      </c>
      <c r="C2638" s="46" t="s">
        <v>10856</v>
      </c>
      <c r="D2638" s="46">
        <v>0.6119</v>
      </c>
      <c r="E2638" s="47">
        <f>SUMIF(Data!$E:$E,$C2638,Data!$AI:$AI)</f>
        <v>0</v>
      </c>
    </row>
    <row r="2639" spans="1:5" x14ac:dyDescent="0.25">
      <c r="A2639" s="46" t="s">
        <v>10894</v>
      </c>
      <c r="B2639" s="46" t="s">
        <v>120</v>
      </c>
      <c r="C2639" s="46" t="s">
        <v>4517</v>
      </c>
      <c r="D2639" s="46">
        <v>0.58789999999999998</v>
      </c>
      <c r="E2639" s="47">
        <f>SUMIF(Data!$E:$E,$C2639,Data!$AI:$AI)</f>
        <v>0</v>
      </c>
    </row>
    <row r="2640" spans="1:5" x14ac:dyDescent="0.25">
      <c r="A2640" s="46" t="s">
        <v>10894</v>
      </c>
      <c r="B2640" s="46" t="s">
        <v>120</v>
      </c>
      <c r="C2640" s="46" t="s">
        <v>5332</v>
      </c>
      <c r="D2640" s="46">
        <v>1.3445</v>
      </c>
      <c r="E2640" s="47">
        <f>SUMIF(Data!$E:$E,$C2640,Data!$AI:$AI)</f>
        <v>0</v>
      </c>
    </row>
    <row r="2641" spans="1:5" x14ac:dyDescent="0.25">
      <c r="A2641" s="46" t="s">
        <v>10894</v>
      </c>
      <c r="B2641" s="46" t="s">
        <v>120</v>
      </c>
      <c r="C2641" s="46" t="s">
        <v>4610</v>
      </c>
      <c r="D2641" s="46">
        <v>0.19739999999999999</v>
      </c>
      <c r="E2641" s="47">
        <f>SUMIF(Data!$E:$E,$C2641,Data!$AI:$AI)</f>
        <v>0</v>
      </c>
    </row>
    <row r="2642" spans="1:5" x14ac:dyDescent="0.25">
      <c r="A2642" s="46" t="s">
        <v>10894</v>
      </c>
      <c r="B2642" s="46" t="s">
        <v>120</v>
      </c>
      <c r="C2642" s="46" t="s">
        <v>5365</v>
      </c>
      <c r="D2642" s="46">
        <v>40.847299999999997</v>
      </c>
      <c r="E2642" s="47">
        <f>SUMIF(Data!$E:$E,$C2642,Data!$AI:$AI)</f>
        <v>0</v>
      </c>
    </row>
    <row r="2643" spans="1:5" x14ac:dyDescent="0.25">
      <c r="A2643" s="46" t="s">
        <v>10894</v>
      </c>
      <c r="B2643" s="46" t="s">
        <v>120</v>
      </c>
      <c r="C2643" s="46" t="s">
        <v>4988</v>
      </c>
      <c r="D2643" s="46">
        <v>0.3528</v>
      </c>
      <c r="E2643" s="47">
        <f>SUMIF(Data!$E:$E,$C2643,Data!$AI:$AI)</f>
        <v>0</v>
      </c>
    </row>
    <row r="2644" spans="1:5" x14ac:dyDescent="0.25">
      <c r="A2644" s="46" t="s">
        <v>10894</v>
      </c>
      <c r="B2644" s="46" t="s">
        <v>120</v>
      </c>
      <c r="C2644" s="46" t="s">
        <v>4995</v>
      </c>
      <c r="D2644" s="46">
        <v>1.6709000000000001</v>
      </c>
      <c r="E2644" s="47">
        <f>SUMIF(Data!$E:$E,$C2644,Data!$AI:$AI)</f>
        <v>0</v>
      </c>
    </row>
    <row r="2645" spans="1:5" x14ac:dyDescent="0.25">
      <c r="A2645" s="46" t="s">
        <v>10894</v>
      </c>
      <c r="B2645" s="46" t="s">
        <v>120</v>
      </c>
      <c r="C2645" s="46" t="s">
        <v>6335</v>
      </c>
      <c r="D2645" s="46">
        <v>0.33789999999999998</v>
      </c>
      <c r="E2645" s="47">
        <f>SUMIF(Data!$E:$E,$C2645,Data!$AI:$AI)</f>
        <v>0</v>
      </c>
    </row>
    <row r="2646" spans="1:5" x14ac:dyDescent="0.25">
      <c r="A2646" s="46" t="s">
        <v>10894</v>
      </c>
      <c r="B2646" s="46" t="s">
        <v>120</v>
      </c>
      <c r="C2646" s="46" t="s">
        <v>5002</v>
      </c>
      <c r="D2646" s="46">
        <v>0.55589999999999995</v>
      </c>
      <c r="E2646" s="47">
        <f>SUMIF(Data!$E:$E,$C2646,Data!$AI:$AI)</f>
        <v>0</v>
      </c>
    </row>
    <row r="2647" spans="1:5" x14ac:dyDescent="0.25">
      <c r="A2647" s="46" t="s">
        <v>10895</v>
      </c>
      <c r="B2647" s="46" t="s">
        <v>120</v>
      </c>
      <c r="C2647" s="46" t="s">
        <v>10896</v>
      </c>
      <c r="D2647" s="46">
        <v>100</v>
      </c>
      <c r="E2647" s="47">
        <f>SUMIF(Data!$E:$E,$C2647,Data!$AI:$AI)</f>
        <v>0</v>
      </c>
    </row>
  </sheetData>
  <autoFilter ref="A1:E2647" xr:uid="{CC2713F3-AAEC-40EC-8A92-A2721FFB6F17}"/>
  <hyperlinks>
    <hyperlink ref="U1" r:id="rId1" display="Source" xr:uid="{0DB47205-EED2-4C2B-A3E9-19EF0EA6E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</vt:lpstr>
      <vt:lpstr>Static</vt:lpstr>
      <vt:lpstr>Summary</vt:lpstr>
      <vt:lpstr>Glbl Expsr</vt:lpstr>
      <vt:lpstr>Data</vt:lpstr>
      <vt:lpstr>Deltas</vt:lpstr>
      <vt:lpstr>BM</vt:lpstr>
      <vt:lpstr>Hols</vt:lpstr>
    </vt:vector>
  </TitlesOfParts>
  <Company>Prescient Investment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Hilton Netta</dc:creator>
  <cp:lastModifiedBy>Hilton Netta</cp:lastModifiedBy>
  <dcterms:created xsi:type="dcterms:W3CDTF">2010-07-03T19:37:27Z</dcterms:created>
  <dcterms:modified xsi:type="dcterms:W3CDTF">2022-04-26T15:05:06Z</dcterms:modified>
</cp:coreProperties>
</file>