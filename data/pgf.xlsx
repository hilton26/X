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P:\Working Folders\Hilton\py\"/>
    </mc:Choice>
  </mc:AlternateContent>
  <xr:revisionPtr revIDLastSave="0" documentId="13_ncr:1_{AA91A9D8-307D-4276-A8C2-D386D9E71458}" xr6:coauthVersionLast="47" xr6:coauthVersionMax="47" xr10:uidLastSave="{00000000-0000-0000-0000-000000000000}"/>
  <bookViews>
    <workbookView xWindow="-120" yWindow="-120" windowWidth="29040" windowHeight="15840" tabRatio="590" firstSheet="2" activeTab="2" xr2:uid="{00000000-000D-0000-FFFF-FFFF00000000}"/>
  </bookViews>
  <sheets>
    <sheet name="Process" sheetId="10" state="hidden" r:id="rId1"/>
    <sheet name="Static" sheetId="28" state="hidden" r:id="rId2"/>
    <sheet name="Summary" sheetId="30" r:id="rId3"/>
    <sheet name="Portfolio Valuation" sheetId="31" state="hidden" r:id="rId4"/>
    <sheet name="Class NAVs" sheetId="32" state="hidden" r:id="rId5"/>
    <sheet name="UCITS rules" sheetId="9" r:id="rId6"/>
  </sheets>
  <externalReferences>
    <externalReference r:id="rId7"/>
    <externalReference r:id="rId8"/>
  </externalReferences>
  <definedNames>
    <definedName name="_xlnm._FilterDatabase" localSheetId="3" hidden="1">'Portfolio Valuation'!$A$1:$AQ$1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9" i="30" l="1"/>
  <c r="J10" i="30"/>
  <c r="J11" i="30"/>
  <c r="J12" i="30"/>
  <c r="J8" i="30" l="1"/>
  <c r="J7" i="30"/>
  <c r="J6" i="30"/>
  <c r="J5" i="30"/>
  <c r="J4" i="30"/>
  <c r="J3" i="30"/>
  <c r="J2" i="30"/>
  <c r="J1" i="30"/>
  <c r="I1" i="30" l="1"/>
  <c r="M1" i="30" l="1"/>
  <c r="P1" i="30" l="1"/>
  <c r="N12" i="30" l="1"/>
  <c r="N11" i="30"/>
  <c r="N10" i="30"/>
  <c r="N9" i="30"/>
  <c r="G3" i="30" l="1"/>
  <c r="K3" i="30" s="1"/>
  <c r="G4" i="30"/>
  <c r="K4" i="30" s="1"/>
  <c r="G5" i="30"/>
  <c r="K5" i="30" s="1"/>
  <c r="G6" i="30"/>
  <c r="K6" i="30" s="1"/>
  <c r="G7" i="30"/>
  <c r="K7" i="30" s="1"/>
  <c r="G8" i="30"/>
  <c r="K8" i="30" s="1"/>
  <c r="G2" i="30"/>
  <c r="K2" i="30" s="1"/>
  <c r="G9" i="30"/>
  <c r="K9" i="30" s="1"/>
  <c r="G10" i="30"/>
  <c r="K10" i="30" s="1"/>
  <c r="G11" i="30"/>
  <c r="K11" i="30" s="1"/>
  <c r="G12" i="30"/>
  <c r="K12" i="30" s="1"/>
  <c r="B19" i="30"/>
  <c r="L3" i="30" l="1"/>
  <c r="L4" i="30"/>
  <c r="L5" i="30"/>
  <c r="L6" i="30"/>
  <c r="L7" i="30"/>
  <c r="L8" i="30"/>
  <c r="L9" i="30"/>
  <c r="L10" i="30"/>
  <c r="L11" i="30"/>
  <c r="L12" i="30"/>
  <c r="L2" i="30"/>
  <c r="E31" i="10" l="1"/>
  <c r="K1" i="30" l="1"/>
  <c r="B23" i="30" l="1"/>
  <c r="H6" i="30"/>
  <c r="F6" i="30" a="1"/>
  <c r="F6" i="30" s="1"/>
  <c r="E6" i="30" a="1"/>
  <c r="E6" i="30" s="1"/>
  <c r="D6" i="30" a="1"/>
  <c r="D6" i="30" s="1"/>
  <c r="C6" i="30" a="1"/>
  <c r="C6" i="30" s="1"/>
  <c r="B6" i="30"/>
  <c r="E4" i="10"/>
  <c r="E5" i="10"/>
  <c r="E6" i="10"/>
  <c r="E3" i="10"/>
  <c r="I6" i="30" l="1"/>
  <c r="M6" i="30" l="1"/>
  <c r="O6" i="30" s="1"/>
  <c r="G12" i="10"/>
  <c r="G11" i="10"/>
  <c r="G10" i="10"/>
  <c r="G2" i="10"/>
  <c r="G1" i="10"/>
  <c r="F8" i="30" a="1"/>
  <c r="F8" i="30" s="1"/>
  <c r="E8" i="30" a="1"/>
  <c r="E8" i="30" s="1"/>
  <c r="D8" i="30" a="1"/>
  <c r="D8" i="30" s="1"/>
  <c r="C8" i="30" a="1"/>
  <c r="C8" i="30" s="1"/>
  <c r="B8" i="30"/>
  <c r="F2" i="30" a="1"/>
  <c r="F2" i="30" s="1"/>
  <c r="E2" i="30" a="1"/>
  <c r="E2" i="30" s="1"/>
  <c r="D2" i="30" a="1"/>
  <c r="D2" i="30" s="1"/>
  <c r="C2" i="30" a="1"/>
  <c r="C2" i="30" s="1"/>
  <c r="B2" i="30"/>
  <c r="F12" i="30" a="1"/>
  <c r="F12" i="30" s="1"/>
  <c r="E12" i="30" a="1"/>
  <c r="E12" i="30" s="1"/>
  <c r="D12" i="30" a="1"/>
  <c r="D12" i="30" s="1"/>
  <c r="C12" i="30" a="1"/>
  <c r="C12" i="30" s="1"/>
  <c r="B12" i="30"/>
  <c r="F11" i="30" a="1"/>
  <c r="F11" i="30" s="1"/>
  <c r="E11" i="30" a="1"/>
  <c r="E11" i="30" s="1"/>
  <c r="D11" i="30" a="1"/>
  <c r="D11" i="30" s="1"/>
  <c r="C11" i="30" a="1"/>
  <c r="C11" i="30" s="1"/>
  <c r="B11" i="30"/>
  <c r="F5" i="30" a="1"/>
  <c r="F5" i="30" s="1"/>
  <c r="E5" i="30" a="1"/>
  <c r="E5" i="30" s="1"/>
  <c r="D5" i="30" a="1"/>
  <c r="D5" i="30" s="1"/>
  <c r="C5" i="30" a="1"/>
  <c r="C5" i="30" s="1"/>
  <c r="B5" i="30"/>
  <c r="F10" i="30" a="1"/>
  <c r="F10" i="30" s="1"/>
  <c r="E10" i="30" a="1"/>
  <c r="E10" i="30" s="1"/>
  <c r="D10" i="30" a="1"/>
  <c r="D10" i="30" s="1"/>
  <c r="C10" i="30" a="1"/>
  <c r="C10" i="30" s="1"/>
  <c r="B10" i="30"/>
  <c r="F7" i="30" a="1"/>
  <c r="F7" i="30" s="1"/>
  <c r="E7" i="30" a="1"/>
  <c r="E7" i="30" s="1"/>
  <c r="D7" i="30" a="1"/>
  <c r="D7" i="30" s="1"/>
  <c r="C7" i="30" a="1"/>
  <c r="C7" i="30" s="1"/>
  <c r="B7" i="30"/>
  <c r="B24" i="30"/>
  <c r="F4" i="30" a="1"/>
  <c r="F4" i="30" s="1"/>
  <c r="E4" i="30" a="1"/>
  <c r="E4" i="30" s="1"/>
  <c r="D4" i="30" a="1"/>
  <c r="D4" i="30" s="1"/>
  <c r="C4" i="30" a="1"/>
  <c r="C4" i="30" s="1"/>
  <c r="B4" i="30"/>
  <c r="B22" i="30"/>
  <c r="F3" i="30" a="1"/>
  <c r="F3" i="30" s="1"/>
  <c r="E3" i="30" a="1"/>
  <c r="E3" i="30" s="1"/>
  <c r="D3" i="30" a="1"/>
  <c r="D3" i="30" s="1"/>
  <c r="C3" i="30" a="1"/>
  <c r="C3" i="30" s="1"/>
  <c r="B3" i="30"/>
  <c r="B21" i="30"/>
  <c r="F9" i="30" a="1"/>
  <c r="F9" i="30" s="1"/>
  <c r="E9" i="30" a="1"/>
  <c r="E9" i="30" s="1"/>
  <c r="D9" i="30" a="1"/>
  <c r="D9" i="30" s="1"/>
  <c r="C9" i="30" a="1"/>
  <c r="C9" i="30" s="1"/>
  <c r="B9" i="30"/>
  <c r="B20" i="30"/>
  <c r="N6" i="30" l="1"/>
  <c r="H8" i="30"/>
  <c r="I8" i="30" s="1"/>
  <c r="H5" i="30"/>
  <c r="H11" i="30"/>
  <c r="I11" i="30" s="1"/>
  <c r="H7" i="30"/>
  <c r="I7" i="30" s="1"/>
  <c r="H12" i="30"/>
  <c r="I12" i="30" s="1"/>
  <c r="H10" i="30"/>
  <c r="I10" i="30" s="1"/>
  <c r="H2" i="30"/>
  <c r="I2" i="30" s="1"/>
  <c r="M2" i="30" l="1"/>
  <c r="O2" i="30" s="1"/>
  <c r="M7" i="30"/>
  <c r="O7" i="30" s="1"/>
  <c r="M8" i="30"/>
  <c r="O8" i="30" s="1"/>
  <c r="I5" i="30"/>
  <c r="H9" i="30"/>
  <c r="I9" i="30" s="1"/>
  <c r="H4" i="30"/>
  <c r="I4" i="30" s="1"/>
  <c r="H3" i="30"/>
  <c r="I3" i="30" s="1"/>
  <c r="N2" i="30" l="1"/>
  <c r="M4" i="30"/>
  <c r="O4" i="30" s="1"/>
  <c r="N7" i="30"/>
  <c r="M3" i="30"/>
  <c r="O3" i="30" s="1"/>
  <c r="M5" i="30"/>
  <c r="O5" i="30" s="1"/>
  <c r="N8" i="30"/>
  <c r="E1" i="9"/>
  <c r="N4" i="30" l="1"/>
  <c r="N5" i="30"/>
  <c r="N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Hilton Netta</author>
  </authors>
  <commentList>
    <comment ref="A2" authorId="0" shapeId="0" xr:uid="{DD6BE794-8532-4584-B516-088894855417}">
      <text>
        <r>
          <rPr>
            <sz val="9"/>
            <color indexed="81"/>
            <rFont val="Tahoma"/>
            <family val="2"/>
          </rPr>
          <t>Get the share classes for the funds</t>
        </r>
      </text>
    </comment>
    <comment ref="A11" authorId="0" shapeId="0" xr:uid="{39C1116E-D394-4B31-B39F-E24F786C445B}">
      <text>
        <r>
          <rPr>
            <sz val="9"/>
            <color indexed="81"/>
            <rFont val="Tahoma"/>
            <family val="2"/>
          </rPr>
          <t xml:space="preserve">Get the instruments for the share classes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<sst xmlns="http://schemas.openxmlformats.org/spreadsheetml/2006/main" count="1517" uniqueCount="303">
  <si>
    <t>Entity Name</t>
  </si>
  <si>
    <t>Effective Date</t>
  </si>
  <si>
    <t>NAV Entity ID</t>
  </si>
  <si>
    <t>JSE Code</t>
  </si>
  <si>
    <t>NAV Price</t>
  </si>
  <si>
    <t>Clean Price</t>
  </si>
  <si>
    <t>Income Price</t>
  </si>
  <si>
    <t>Class Size</t>
  </si>
  <si>
    <t>Units in Class</t>
  </si>
  <si>
    <t>Daily Flows</t>
  </si>
  <si>
    <t>Distribution Rate</t>
  </si>
  <si>
    <t>Mgmt Fee</t>
  </si>
  <si>
    <t>Performance Fee</t>
  </si>
  <si>
    <t>PGPCGED</t>
  </si>
  <si>
    <t>PGPGBFD</t>
  </si>
  <si>
    <t>PIM Global Income Provider E (PGPGIFE)</t>
  </si>
  <si>
    <t>PGPGIFE</t>
  </si>
  <si>
    <t>PR03EZAR</t>
  </si>
  <si>
    <t>PGPRFE</t>
  </si>
  <si>
    <t>PGPRFG</t>
  </si>
  <si>
    <t>PGPCZAR</t>
  </si>
  <si>
    <t>PGIP_I</t>
  </si>
  <si>
    <t>PGIPZAR</t>
  </si>
  <si>
    <t>PGBEUR</t>
  </si>
  <si>
    <t>PGPRGBP</t>
  </si>
  <si>
    <t>PGBGBP</t>
  </si>
  <si>
    <t>PGBZAR</t>
  </si>
  <si>
    <t>PGPRZAR</t>
  </si>
  <si>
    <t>PGPRUS0%</t>
  </si>
  <si>
    <t>PGPRUSD</t>
  </si>
  <si>
    <t>Class</t>
  </si>
  <si>
    <t>Ticker</t>
  </si>
  <si>
    <t>USD</t>
  </si>
  <si>
    <t>ZAR</t>
  </si>
  <si>
    <t>EUR</t>
  </si>
  <si>
    <t>GBP</t>
  </si>
  <si>
    <t>QIFFGIF</t>
  </si>
  <si>
    <t>FWD</t>
  </si>
  <si>
    <t>Pos Return Fund ZAR Sec</t>
  </si>
  <si>
    <t>Pos Return Fund USD Sec</t>
  </si>
  <si>
    <t>Positive Return Fund Class I (</t>
  </si>
  <si>
    <t>Pos Return Fund GBP Sec</t>
  </si>
  <si>
    <t>Prescient Global Income Provid</t>
  </si>
  <si>
    <t>PIM Global Income Provider Cla</t>
  </si>
  <si>
    <t>PGPGGF</t>
  </si>
  <si>
    <t>Prescient Global Balanced Zar</t>
  </si>
  <si>
    <t>Prescient Global Balanced EUR</t>
  </si>
  <si>
    <t>Prescient Global Balanced GBP</t>
  </si>
  <si>
    <t>Prescient Core Global Equity Z</t>
  </si>
  <si>
    <t>PGPCEM</t>
  </si>
  <si>
    <t>PGCEF</t>
  </si>
  <si>
    <t>PGCCF</t>
  </si>
  <si>
    <t>PGCBF</t>
  </si>
  <si>
    <t>PCGEARF</t>
  </si>
  <si>
    <t>PGPCGE_C</t>
  </si>
  <si>
    <t/>
  </si>
  <si>
    <t>PGPGBF_C</t>
  </si>
  <si>
    <t>UNKNOWN</t>
  </si>
  <si>
    <t>FORWARDS</t>
  </si>
  <si>
    <t>PGPRF_C</t>
  </si>
  <si>
    <t>PGPGIF_C</t>
  </si>
  <si>
    <t>ISIN Code</t>
  </si>
  <si>
    <t>Issuer</t>
  </si>
  <si>
    <t>Weighted Modified Duration</t>
  </si>
  <si>
    <t>Weighted Average Coupon</t>
  </si>
  <si>
    <t>Weighted Average NACS Yield</t>
  </si>
  <si>
    <t>Entity ID</t>
  </si>
  <si>
    <t>i Position Effective Date</t>
  </si>
  <si>
    <t>Current Exposure %</t>
  </si>
  <si>
    <t>Current Exposure</t>
  </si>
  <si>
    <t>Market Value %</t>
  </si>
  <si>
    <t>Weighted Avg NACM Yield</t>
  </si>
  <si>
    <t>Weighted Avg NACA Yield</t>
  </si>
  <si>
    <t>NACM Yield</t>
  </si>
  <si>
    <t>NACA Yield</t>
  </si>
  <si>
    <t>Security Rating</t>
  </si>
  <si>
    <t>Issuer Rating</t>
  </si>
  <si>
    <t>Industry</t>
  </si>
  <si>
    <t>Supersector</t>
  </si>
  <si>
    <t>Sector</t>
  </si>
  <si>
    <t>CCY</t>
  </si>
  <si>
    <t>Sub Security Type</t>
  </si>
  <si>
    <t>Security Type</t>
  </si>
  <si>
    <t>Investment Type</t>
  </si>
  <si>
    <t>Modified Duration</t>
  </si>
  <si>
    <t>Duration</t>
  </si>
  <si>
    <t>Coupon</t>
  </si>
  <si>
    <t>Maturity Date</t>
  </si>
  <si>
    <t>Next Coupon Date</t>
  </si>
  <si>
    <t>% of Total Market Value</t>
  </si>
  <si>
    <t>Market Price /Yield</t>
  </si>
  <si>
    <t>Sum of Market Value Income</t>
  </si>
  <si>
    <t>Dividend Receivable</t>
  </si>
  <si>
    <t>Accrued Income</t>
  </si>
  <si>
    <t>Clean Market Value</t>
  </si>
  <si>
    <t>Clean Book Value</t>
  </si>
  <si>
    <t>Original Nominal</t>
  </si>
  <si>
    <t>Issue Description</t>
  </si>
  <si>
    <t>PrimaryAssetID</t>
  </si>
  <si>
    <t>i Issue Name</t>
  </si>
  <si>
    <t>Valuation Second Level</t>
  </si>
  <si>
    <t>Valuation First Level</t>
  </si>
  <si>
    <t>Maximum % of Net Assets</t>
  </si>
  <si>
    <t>1. Transferable Securities and Money Market Instruments</t>
  </si>
  <si>
    <t>Other than those referred to in Paragraph 1 of UCITS 9.4</t>
  </si>
  <si>
    <t>2. Collective Investment Schemes</t>
  </si>
  <si>
    <t>Any one CIS</t>
  </si>
  <si>
    <t>3. Transferable Securities and Money Market Instruments</t>
  </si>
  <si>
    <t>Issued by the same body</t>
  </si>
  <si>
    <t>Total value held in issuing bodies of which holdings are greater than 5%</t>
  </si>
  <si>
    <t>4. Deposits</t>
  </si>
  <si>
    <t>Same Credit Institution</t>
  </si>
  <si>
    <t>Deposits with any one credit institution, other than those specified below * held as ancillary liquidity</t>
  </si>
  <si>
    <t>5. OTC Derivatives</t>
  </si>
  <si>
    <t xml:space="preserve">risk exposure to a counterparty to an OTC derivative </t>
  </si>
  <si>
    <t>risk exposure to a counterparty to an OTC derivative with credit institutions below *</t>
  </si>
  <si>
    <t>6. Special Cases</t>
  </si>
  <si>
    <t>(a) Bonds issued by a credit institution registered in a Member State and subject by law to special public supervision designed to protect bond-holders</t>
  </si>
  <si>
    <t>Total value of bonds held in issuing bodies (a) above of which holdings are greater than 5%</t>
  </si>
  <si>
    <t>(b) Transferable securities or money market instruments issued or guaranteed by a Member State or its local authorities or by a non-Member State or public international body of which one or more Member States are members</t>
  </si>
  <si>
    <t>7. Combinations</t>
  </si>
  <si>
    <t xml:space="preserve">two or more of 3,4 or 5 issued by, or made or undertaken with, the same body </t>
  </si>
  <si>
    <t xml:space="preserve"> </t>
  </si>
  <si>
    <t>* Specified deposits with credit instutions:</t>
  </si>
  <si>
    <t>A UCITS may invest in deposits provided that they are repayable on demand or have the right to be withdrawn, will mature in no more than 12 months and are made with a credit institution which falls under one of the following categories:</t>
  </si>
  <si>
    <t>(i)  authorised in the European Economic Area (EEA) (European Union Member States, Norway, Iceland, Liechtenstein);</t>
  </si>
  <si>
    <t>(ii)  authorised within a signatory state, other than a Member State of the EEA, to the Basle Capital Convergence Agreement of July 1988 (Switzerland, Canada, Japan, United States);</t>
  </si>
  <si>
    <t>(iii)  authorised in Jersey, Guernsey, the Isle of Man, Australia or New Zealand.</t>
  </si>
  <si>
    <t>Significant Holdings</t>
  </si>
  <si>
    <t>A UCITS may acquire no more than:</t>
  </si>
  <si>
    <r>
      <t>(i)</t>
    </r>
    <r>
      <rPr>
        <sz val="7"/>
        <color indexed="8"/>
        <rFont val="Times New Roman"/>
        <family val="1"/>
      </rPr>
      <t xml:space="preserve">          </t>
    </r>
    <r>
      <rPr>
        <sz val="11"/>
        <color indexed="8"/>
        <rFont val="Calibri"/>
        <family val="2"/>
      </rPr>
      <t>10 per cent of the non-voting shares of any single issuing body;</t>
    </r>
  </si>
  <si>
    <r>
      <t>(ii)</t>
    </r>
    <r>
      <rPr>
        <sz val="7"/>
        <color indexed="8"/>
        <rFont val="Times New Roman"/>
        <family val="1"/>
      </rPr>
      <t xml:space="preserve">         </t>
    </r>
    <r>
      <rPr>
        <sz val="11"/>
        <color indexed="8"/>
        <rFont val="Calibri"/>
        <family val="2"/>
      </rPr>
      <t>10 per cent of the debt securities of any single issuing body;</t>
    </r>
  </si>
  <si>
    <r>
      <t>(iii)</t>
    </r>
    <r>
      <rPr>
        <sz val="7"/>
        <color indexed="8"/>
        <rFont val="Times New Roman"/>
        <family val="1"/>
      </rPr>
      <t xml:space="preserve">       </t>
    </r>
    <r>
      <rPr>
        <sz val="11"/>
        <color indexed="8"/>
        <rFont val="Calibri"/>
        <family val="2"/>
      </rPr>
      <t>25 per cent of the units of any single CIS;</t>
    </r>
  </si>
  <si>
    <r>
      <t>(iv)</t>
    </r>
    <r>
      <rPr>
        <sz val="7"/>
        <color indexed="8"/>
        <rFont val="Times New Roman"/>
        <family val="1"/>
      </rPr>
      <t xml:space="preserve">       </t>
    </r>
    <r>
      <rPr>
        <sz val="11"/>
        <color indexed="8"/>
        <rFont val="Calibri"/>
        <family val="2"/>
      </rPr>
      <t>10 per cent of the money market instruments of any single issuing body.</t>
    </r>
  </si>
  <si>
    <t>Derogation</t>
  </si>
  <si>
    <r>
      <t>1.</t>
    </r>
    <r>
      <rPr>
        <sz val="7"/>
        <color indexed="8"/>
        <rFont val="Times New Roman"/>
        <family val="1"/>
      </rPr>
      <t xml:space="preserve">       </t>
    </r>
    <r>
      <rPr>
        <sz val="11"/>
        <color indexed="8"/>
        <rFont val="Calibri"/>
        <family val="2"/>
      </rPr>
      <t>The Central Bank may allow recently authorised UCITS to derogate from the provisions of paragraph 1.3.1 and paragraphs 3 to 15 above for six months following the date of their authorisation, provided they observe the principle of risk spreading.</t>
    </r>
  </si>
  <si>
    <t>The Central Bank will allow Prescient Global Funds to derogate from the provisions of Regulations 49,50 and 51 until 1 October 2011 provided it observes the priniciple of risk spreading.</t>
  </si>
  <si>
    <t>Derivatives</t>
  </si>
  <si>
    <t>The risk exposure of a UCITS to a counterparty to an OTC derivative may not exceed 5% of net asset value. This limit is raised to 10% in the case of credit institutions listed in paragraph 1.4 (i) (ii) and (iii) above.</t>
  </si>
  <si>
    <t>From UCITS Regulations 2011:</t>
  </si>
  <si>
    <t>69. (4) (c)</t>
  </si>
  <si>
    <t xml:space="preserve"> When a transferable security or money market instrument contains</t>
  </si>
  <si>
    <t>an embedded derivative, the latter shall be taken into account when</t>
  </si>
  <si>
    <t>complying with the requirements of this Regulation.</t>
  </si>
  <si>
    <t>Fund</t>
  </si>
  <si>
    <t>No Data found for this Entity</t>
  </si>
  <si>
    <t>Class NAV</t>
  </si>
  <si>
    <t>PGIPZAR, PGIP_I</t>
  </si>
  <si>
    <t>PGBEUR, PGBGBP, PGBZAR</t>
  </si>
  <si>
    <t>Get PAR-N for classes with PGPRxxx</t>
  </si>
  <si>
    <t>Get PAR-N for classes with PGIPxxx</t>
  </si>
  <si>
    <t>Get PAR-N for classes with PGPCxxx</t>
  </si>
  <si>
    <t>Get PAR-N for classes with PGBxxx</t>
  </si>
  <si>
    <t>Class Name</t>
  </si>
  <si>
    <t>PGPGGF (terminating)</t>
  </si>
  <si>
    <t>PGCCF (terminating)</t>
  </si>
  <si>
    <t>Funds</t>
  </si>
  <si>
    <t>PROCESS</t>
  </si>
  <si>
    <t>-</t>
  </si>
  <si>
    <t>QIFFGIF (QIAIF)</t>
  </si>
  <si>
    <t>PGPRFE, PGPRFG</t>
  </si>
  <si>
    <t>Prescient Global Positive Return Fund</t>
  </si>
  <si>
    <t>Prescient Global Income Provider Fund</t>
  </si>
  <si>
    <t>Prescient Core Global Equity Fund</t>
  </si>
  <si>
    <t>Prescient Global Balanced Fund</t>
  </si>
  <si>
    <t>Prescient Core Global Emerging Markets Equity Fund</t>
  </si>
  <si>
    <t>Prescient China Growth Enhanced Absolute Return Fund</t>
  </si>
  <si>
    <t>Prescient China Equity Fund</t>
  </si>
  <si>
    <t>Prescient China Balanced Fund</t>
  </si>
  <si>
    <t>Prescient China Conservative Fund</t>
  </si>
  <si>
    <t>Prescient Global Equity Fund</t>
  </si>
  <si>
    <t>Prescient Flexible Global Income (USD) Fund</t>
  </si>
  <si>
    <t>Fund Name</t>
  </si>
  <si>
    <t>PGPRUSD, PGPRZAR, PGPRUS0%,PGPRGBP</t>
  </si>
  <si>
    <t>PGPRFI</t>
  </si>
  <si>
    <t>PGPRFJ</t>
  </si>
  <si>
    <t>Fund Hedge Instrument</t>
  </si>
  <si>
    <t>PGPGIFI</t>
  </si>
  <si>
    <t>PGPGBFG</t>
  </si>
  <si>
    <t>PGPGBFF</t>
  </si>
  <si>
    <t>Share Class</t>
  </si>
  <si>
    <t>terminating</t>
  </si>
  <si>
    <t>QIAIF</t>
  </si>
  <si>
    <t>Note</t>
  </si>
  <si>
    <t>Hedge Classes</t>
  </si>
  <si>
    <t>Instrument</t>
  </si>
  <si>
    <t>Fund Names</t>
  </si>
  <si>
    <t>PIM Global Income Provider I (PGPGIFI)</t>
  </si>
  <si>
    <t>PR03IZAR</t>
  </si>
  <si>
    <t>Useful Links</t>
  </si>
  <si>
    <t>2) Class holdings: Queries -&gt; Portfolios -&gt; Portfolio Analytics Report -&gt; New</t>
  </si>
  <si>
    <t>Hedge is within early warning and regulatory limits</t>
  </si>
  <si>
    <t>Hedge exceeds regulatory 95% to 105% limit</t>
  </si>
  <si>
    <t>Hedge exceeds early warning 96.5% to 103.5% limit</t>
  </si>
  <si>
    <t>Get UTP for PGPGBxx</t>
  </si>
  <si>
    <t>Get UTP for PGPGIxx</t>
  </si>
  <si>
    <t>PGPGIFE, PGPGIFI</t>
  </si>
  <si>
    <t>Get UTP for PGPRFxx</t>
  </si>
  <si>
    <t>PGPCEMD</t>
  </si>
  <si>
    <t>PGPCEM_C</t>
  </si>
  <si>
    <t>PIM Core Glo EM Equity Fund D (PGPCEMD)</t>
  </si>
  <si>
    <t>PR58DZAR</t>
  </si>
  <si>
    <t>PGEMZAR</t>
  </si>
  <si>
    <t>Get PAR-N for classes with PGEMxxx</t>
  </si>
  <si>
    <t>added 27 Sep 2022</t>
  </si>
  <si>
    <t>PIM Core Global Emerging Marke</t>
  </si>
  <si>
    <t>Fund Share Class</t>
  </si>
  <si>
    <t>1) Unit Trust Prices: Queries -&gt; Unit Trust Pricing -&gt; Unit Trust Prices (PGPCGED, PGPGBFD, PGPGIFE, PGPGIFI, PGPRFE, PGPRFG, PGPCEMD)</t>
  </si>
  <si>
    <t>PIM Global Positive Return  E (PGPRFE)</t>
  </si>
  <si>
    <t>PR04EUSD</t>
  </si>
  <si>
    <t>Subject</t>
  </si>
  <si>
    <t>Content</t>
  </si>
  <si>
    <t>CASH</t>
  </si>
  <si>
    <t>Traded Cash</t>
  </si>
  <si>
    <t>CRNY</t>
  </si>
  <si>
    <t>South African Rand</t>
  </si>
  <si>
    <t>CASHZAR</t>
  </si>
  <si>
    <t>PIM Global Positive Return  G (PGPRFG)</t>
  </si>
  <si>
    <t>PR04GZAR</t>
  </si>
  <si>
    <t>PIM Global Balanced  D (PGPGBFD)</t>
  </si>
  <si>
    <t>PR30DZAR</t>
  </si>
  <si>
    <t>Forwards</t>
  </si>
  <si>
    <t>USD/ZAR FWD 20231025 BAR</t>
  </si>
  <si>
    <t>USD/ZAR FWD 20231025</t>
  </si>
  <si>
    <t>ZAR/USD FWD 20231025 BAR</t>
  </si>
  <si>
    <t>USD/ZAR FWD 20231025 BAR0.00</t>
  </si>
  <si>
    <t>USD/ZAR 20231025 FWD 20230413</t>
  </si>
  <si>
    <t>ZAR/USD FWD 20231025 BAR0.00</t>
  </si>
  <si>
    <t>PGPCEMD, PGPCGED</t>
  </si>
  <si>
    <t>Get UTP for PGPCxxx</t>
  </si>
  <si>
    <t>PIM Core Glbl Equity Fd Cl D (PGPCGED)</t>
  </si>
  <si>
    <t>PR39DZAR</t>
  </si>
  <si>
    <t>EUR/USD FWD 20240125 BAR0.01</t>
  </si>
  <si>
    <t>65Q86KO41MMT5FIP</t>
  </si>
  <si>
    <t>USD/EUR FWD 20240125 BAR0.01</t>
  </si>
  <si>
    <t>EUR/ZAR FWD 20240125 BAR0.03</t>
  </si>
  <si>
    <t>GR4BKNIG09OUIICA</t>
  </si>
  <si>
    <t>ZAR/EUR FWD 20240125 BAR0.03</t>
  </si>
  <si>
    <t>EUR/USD FWD 20240125 BAR0.03</t>
  </si>
  <si>
    <t>9321D8HKNK0M833M</t>
  </si>
  <si>
    <t>USD/EUR FWD 20240125 BAR0.03</t>
  </si>
  <si>
    <t>EUR/ZAR FWD 20240125 BAR0.04</t>
  </si>
  <si>
    <t>2CL3QB8SGFSSJQKJ</t>
  </si>
  <si>
    <t>ZAR/EUR FWD 20240125 BAR0.04</t>
  </si>
  <si>
    <t>USD/ZAR FWD 20231025 BAR0.01</t>
  </si>
  <si>
    <t>1MGH2DFQH7DICSF8</t>
  </si>
  <si>
    <t>ZAR/USD FWD 20231025 BAR0.01</t>
  </si>
  <si>
    <t>USD/ZAR FWD 20231025 BAR0.04</t>
  </si>
  <si>
    <t>7OFT43LHS28B7I9S</t>
  </si>
  <si>
    <t>ZAR/USD FWD 20231025 BAR0.04</t>
  </si>
  <si>
    <t>USD/ZAR FWD 20240226 BAR0.29</t>
  </si>
  <si>
    <t>514NK00GBEIRI623</t>
  </si>
  <si>
    <t>ZAR/USD FWD 20240226 BAR0.29</t>
  </si>
  <si>
    <t>USD/ZAR FWD 20231124 BAR0.19</t>
  </si>
  <si>
    <t>GUIF8RPBUKFIA10M</t>
  </si>
  <si>
    <t>ZAR/USD FWD 20231124 BAR0.19</t>
  </si>
  <si>
    <t>USD/ZAR FWD 20240226 BAR0.30</t>
  </si>
  <si>
    <t>FNEPI3QR9PJSV9OJ</t>
  </si>
  <si>
    <t>ZAR/USD FWD 20240226 BAR0.30</t>
  </si>
  <si>
    <t>USD/ZAR FWD 20231124 BAR0.18</t>
  </si>
  <si>
    <t>3EFNLMHHCED6KSVK</t>
  </si>
  <si>
    <t>ZAR/USD FWD 20231124 BAR0.18</t>
  </si>
  <si>
    <t>USD/ZAR FWD 20240226 GSS0.01</t>
  </si>
  <si>
    <t>ULJBLHLTSRAGHNRB</t>
  </si>
  <si>
    <t>ZAR/USD FWD 20240226 GSS0.01</t>
  </si>
  <si>
    <t>USD/ZAR FWD 20240226 GSS0.02</t>
  </si>
  <si>
    <t>RJQKGG7F88A7NMHR</t>
  </si>
  <si>
    <t>ZAR/USD FWD 20240226 GSS0.02</t>
  </si>
  <si>
    <t>EUR/ZAR FWD 20240125 BAR0.05</t>
  </si>
  <si>
    <t>H6P9TP07ORKJMB2V</t>
  </si>
  <si>
    <t>ZAR/EUR FWD 20240125 BAR0.05</t>
  </si>
  <si>
    <t>EUR/ZAR FWD 20240125 BAR0.07</t>
  </si>
  <si>
    <t>J963C3SR6M9F6L57</t>
  </si>
  <si>
    <t>ZAR/EUR FWD 20240125 BAR0.07</t>
  </si>
  <si>
    <t>Unit trust prices</t>
  </si>
  <si>
    <t>PAR-N</t>
  </si>
  <si>
    <t>Date</t>
  </si>
  <si>
    <t>py</t>
  </si>
  <si>
    <t>USD/ZAR FWD 20240226 BAR0.02</t>
  </si>
  <si>
    <t>O2T00GRJKRIMG742</t>
  </si>
  <si>
    <t>ZAR/USD FWD 20240226 BAR0.02</t>
  </si>
  <si>
    <t>USD/ZAR FWD 20231124 BAR0.01</t>
  </si>
  <si>
    <t>EUD968S7NKMM3FG3</t>
  </si>
  <si>
    <t>ZAR/USD FWD 20231124 BAR0.01</t>
  </si>
  <si>
    <t>USD/ZAR FWD 20240226 BAR0.31</t>
  </si>
  <si>
    <t>SSCFNLQ5QDJOR8SN</t>
  </si>
  <si>
    <t>ZAR/USD FWD 20240226 BAR0.31</t>
  </si>
  <si>
    <t>USD/ZAR FWD 20240226 BAR0.03</t>
  </si>
  <si>
    <t>V1BDHNFDE51I54BM</t>
  </si>
  <si>
    <t>ZAR/USD FWD 20240226 BAR0.03</t>
  </si>
  <si>
    <t>USD/ZAR FWD 20231025 BAR0.05</t>
  </si>
  <si>
    <t>M8P6IV1KS65V9CLB</t>
  </si>
  <si>
    <t>ZAR/USD FWD 20231025 BAR0.05</t>
  </si>
  <si>
    <t>USD/ZAR FWD 20231025 BAR0.40</t>
  </si>
  <si>
    <t>20231025 ZAR USD FWD 20231025</t>
  </si>
  <si>
    <t>ZAR/USD FWD 20231025 BAR0.40</t>
  </si>
  <si>
    <t>PIM Core Glbl Equity Fd Cl D</t>
  </si>
  <si>
    <t>PIM Core Glo EM Equity Fund D</t>
  </si>
  <si>
    <t>PIM Global Balanced  D</t>
  </si>
  <si>
    <t>PIM Global Income Provider E</t>
  </si>
  <si>
    <t>PIM Global Income Provider I</t>
  </si>
  <si>
    <t>PIM Global Positive Return  E</t>
  </si>
  <si>
    <t>PIM Global Positive Return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</si>
</sst>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0"/>
    <numFmt numFmtId="165" formatCode="#,##0.000000"/>
    <numFmt numFmtId="166" formatCode="#,##0.00000000"/>
    <numFmt numFmtId="167" formatCode="#,##0.000000000000"/>
    <numFmt numFmtId="168" formatCode="_-* #,##0_-;\-* #,##0_-;_-* &quot;-&quot;??_-;_-@_-"/>
    <numFmt numFmtId="169" formatCode="0.0%"/>
    <numFmt numFmtId="170" formatCode="ddd/dd/mmm/yy"/>
  </numFmts>
  <fonts count="38"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b/>
      <sz val="11"/>
      <color indexed="8"/>
      <name val="Calibri"/>
      <family val="2"/>
    </font>
    <font>
      <sz val="11"/>
      <name val="Calibri"/>
      <family val="2"/>
      <scheme val="minor"/>
    </font>
    <font>
      <sz val="10"/>
      <name val="Arial"/>
      <family val="2"/>
    </font>
    <font>
      <sz val="8"/>
      <color theme="1"/>
      <name val="Tahoma"/>
      <family val="2"/>
    </font>
    <font>
      <u/>
      <sz val="11"/>
      <color theme="10"/>
      <name val="Calibri"/>
      <family val="2"/>
    </font>
    <font>
      <b/>
      <u/>
      <sz val="10"/>
      <color theme="10"/>
      <name val="Calibri"/>
      <family val="2"/>
      <scheme val="minor"/>
    </font>
    <font>
      <u/>
      <sz val="11"/>
      <color indexed="8"/>
      <name val="Calibri"/>
      <family val="2"/>
    </font>
    <font>
      <sz val="11"/>
      <color indexed="56"/>
      <name val="Calibri"/>
      <family val="2"/>
    </font>
    <font>
      <sz val="7"/>
      <color indexed="8"/>
      <name val="Times New Roman"/>
      <family val="1"/>
    </font>
    <font>
      <b/>
      <u/>
      <sz val="11"/>
      <color indexed="8"/>
      <name val="Calibri"/>
      <family val="2"/>
    </font>
    <font>
      <sz val="11"/>
      <color rgb="FF92D050"/>
      <name val="Calibri"/>
      <family val="2"/>
    </font>
    <font>
      <b/>
      <u/>
      <sz val="11"/>
      <color theme="10"/>
      <name val="Calibri"/>
      <family val="2"/>
    </font>
    <font>
      <sz val="9"/>
      <color indexed="81"/>
      <name val="Tahoma"/>
      <family val="2"/>
    </font>
    <font>
      <sz val="11"/>
      <color rgb="FF00FF00"/>
      <name val="Calibri"/>
      <family val="2"/>
    </font>
    <font>
      <sz val="10"/>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00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auto="1"/>
      </bottom>
      <diagonal/>
    </border>
    <border>
      <left/>
      <right/>
      <top/>
      <bottom style="thin">
        <color auto="1"/>
      </bottom>
      <diagonal/>
    </border>
    <border>
      <left style="medium">
        <color indexed="64"/>
      </left>
      <right/>
      <top/>
      <bottom style="thin">
        <color auto="1"/>
      </bottom>
      <diagonal/>
    </border>
    <border>
      <left/>
      <right style="medium">
        <color indexed="64"/>
      </right>
      <top/>
      <bottom style="thin">
        <color auto="1"/>
      </bottom>
      <diagonal/>
    </border>
    <border>
      <left/>
      <right/>
      <top/>
      <bottom style="thin">
        <color auto="1"/>
      </bottom>
      <diagonal/>
    </border>
    <border>
      <left/>
      <right/>
      <top/>
      <bottom style="thin">
        <color auto="1"/>
      </bottom>
      <diagonal/>
    </border>
    <border>
      <left/>
      <right/>
      <top/>
      <bottom style="thin">
        <color auto="1"/>
      </bottom>
      <diagonal/>
    </border>
  </borders>
  <cellStyleXfs count="75">
    <xf numFmtId="0" fontId="0" fillId="0" borderId="0" applyBorder="0"/>
    <xf numFmtId="43" fontId="5" fillId="0" borderId="0" applyFont="0" applyFill="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43" fontId="22" fillId="0" borderId="0" applyFont="0" applyFill="0" applyBorder="0" applyAlignment="0" applyProtection="0"/>
    <xf numFmtId="9" fontId="22" fillId="0" borderId="0" applyFont="0" applyFill="0" applyBorder="0" applyAlignment="0" applyProtection="0"/>
    <xf numFmtId="0" fontId="25" fillId="0" borderId="0"/>
    <xf numFmtId="0" fontId="26" fillId="0" borderId="0"/>
    <xf numFmtId="0" fontId="4" fillId="0" borderId="0"/>
    <xf numFmtId="43" fontId="22" fillId="0" borderId="0" applyFont="0" applyFill="0" applyBorder="0" applyAlignment="0" applyProtection="0"/>
    <xf numFmtId="9" fontId="22" fillId="0" borderId="0" applyFont="0" applyFill="0" applyBorder="0" applyAlignment="0" applyProtection="0"/>
    <xf numFmtId="0" fontId="25" fillId="0" borderId="0"/>
    <xf numFmtId="9" fontId="22" fillId="0" borderId="0" applyFont="0" applyFill="0" applyBorder="0" applyAlignment="0" applyProtection="0"/>
    <xf numFmtId="0" fontId="3" fillId="0" borderId="0"/>
    <xf numFmtId="0" fontId="27" fillId="0" borderId="0" applyNumberFormat="0" applyFill="0" applyBorder="0" applyAlignment="0" applyProtection="0"/>
    <xf numFmtId="0" fontId="2"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4" fontId="0" fillId="0" borderId="0" xfId="0" applyNumberFormat="1"/>
    <xf numFmtId="165" fontId="0" fillId="0" borderId="0" xfId="0" applyNumberFormat="1"/>
    <xf numFmtId="164" fontId="0" fillId="0" borderId="0" xfId="0" applyNumberFormat="1"/>
    <xf numFmtId="14" fontId="0" fillId="0" borderId="0" xfId="0" applyNumberFormat="1"/>
    <xf numFmtId="166" fontId="0" fillId="0" borderId="0" xfId="0" applyNumberFormat="1"/>
    <xf numFmtId="167" fontId="0" fillId="0" borderId="0" xfId="0" applyNumberFormat="1"/>
    <xf numFmtId="0" fontId="0" fillId="0" borderId="11" xfId="0" applyBorder="1"/>
    <xf numFmtId="0" fontId="0" fillId="0" borderId="13" xfId="0" applyBorder="1"/>
    <xf numFmtId="0" fontId="0" fillId="0" borderId="0" xfId="0" applyBorder="1"/>
    <xf numFmtId="0" fontId="0" fillId="0" borderId="15" xfId="0" applyBorder="1"/>
    <xf numFmtId="0" fontId="0" fillId="0" borderId="16" xfId="0" applyBorder="1"/>
    <xf numFmtId="0" fontId="3" fillId="0" borderId="0" xfId="53"/>
    <xf numFmtId="0" fontId="23" fillId="0" borderId="0" xfId="53" applyFont="1" applyAlignment="1">
      <alignment wrapText="1"/>
    </xf>
    <xf numFmtId="0" fontId="28" fillId="0" borderId="0" xfId="54" applyFont="1"/>
    <xf numFmtId="0" fontId="29" fillId="0" borderId="0" xfId="53" applyFont="1"/>
    <xf numFmtId="9" fontId="3" fillId="0" borderId="0" xfId="53" applyNumberFormat="1"/>
    <xf numFmtId="0" fontId="3" fillId="0" borderId="0" xfId="53" applyAlignment="1">
      <alignment wrapText="1"/>
    </xf>
    <xf numFmtId="0" fontId="30" fillId="0" borderId="0" xfId="53" applyFont="1" applyAlignment="1">
      <alignment wrapText="1"/>
    </xf>
    <xf numFmtId="0" fontId="3" fillId="0" borderId="0" xfId="53" applyAlignment="1">
      <alignment horizontal="left" vertical="center" indent="2"/>
    </xf>
    <xf numFmtId="0" fontId="3" fillId="0" borderId="0" xfId="53" applyAlignment="1">
      <alignment horizontal="left" vertical="center" indent="6"/>
    </xf>
    <xf numFmtId="0" fontId="32" fillId="0" borderId="0" xfId="53" applyFont="1" applyAlignment="1">
      <alignment horizontal="left" vertical="center" indent="6"/>
    </xf>
    <xf numFmtId="0" fontId="32" fillId="0" borderId="0" xfId="53" applyFont="1"/>
    <xf numFmtId="0" fontId="3" fillId="0" borderId="0" xfId="53" applyAlignment="1">
      <alignment horizontal="left" vertical="center" wrapText="1" indent="2"/>
    </xf>
    <xf numFmtId="0" fontId="3" fillId="0" borderId="0" xfId="53" applyAlignment="1">
      <alignment horizontal="left" vertical="center" wrapText="1"/>
    </xf>
    <xf numFmtId="0" fontId="27" fillId="0" borderId="0" xfId="54" applyBorder="1"/>
    <xf numFmtId="0" fontId="23" fillId="0" borderId="0" xfId="0" applyFont="1"/>
    <xf numFmtId="10" fontId="0" fillId="0" borderId="0" xfId="52" applyNumberFormat="1" applyFont="1"/>
    <xf numFmtId="0" fontId="24" fillId="0" borderId="0" xfId="55" applyFont="1"/>
    <xf numFmtId="0" fontId="2" fillId="0" borderId="0" xfId="55"/>
    <xf numFmtId="168" fontId="0" fillId="0" borderId="0" xfId="1" applyNumberFormat="1" applyFont="1"/>
    <xf numFmtId="0" fontId="23" fillId="34" borderId="18" xfId="0" applyFont="1" applyFill="1" applyBorder="1" applyAlignment="1">
      <alignment horizontal="center"/>
    </xf>
    <xf numFmtId="0" fontId="23" fillId="0" borderId="18" xfId="0" applyFont="1" applyBorder="1"/>
    <xf numFmtId="0" fontId="0" fillId="0" borderId="0" xfId="0" quotePrefix="1"/>
    <xf numFmtId="0" fontId="27" fillId="0" borderId="0" xfId="54"/>
    <xf numFmtId="0" fontId="0" fillId="0" borderId="14" xfId="0" applyBorder="1"/>
    <xf numFmtId="0" fontId="0" fillId="0" borderId="17" xfId="0" applyBorder="1"/>
    <xf numFmtId="0" fontId="0" fillId="0" borderId="12" xfId="0" applyBorder="1"/>
    <xf numFmtId="0" fontId="23" fillId="0" borderId="20" xfId="0" applyFont="1" applyBorder="1"/>
    <xf numFmtId="0" fontId="23" fillId="0" borderId="21" xfId="0" applyFont="1" applyBorder="1"/>
    <xf numFmtId="0" fontId="23" fillId="0" borderId="10" xfId="0" applyFont="1" applyBorder="1"/>
    <xf numFmtId="0" fontId="23" fillId="34" borderId="19" xfId="0" applyFont="1" applyFill="1" applyBorder="1" applyAlignment="1">
      <alignment horizontal="center"/>
    </xf>
    <xf numFmtId="0" fontId="0" fillId="35" borderId="0" xfId="0" applyFill="1" applyAlignment="1">
      <alignment horizontal="left"/>
    </xf>
    <xf numFmtId="0" fontId="34" fillId="0" borderId="0" xfId="54" applyFont="1"/>
    <xf numFmtId="0" fontId="34" fillId="34" borderId="19" xfId="54" applyFont="1" applyFill="1" applyBorder="1" applyAlignment="1">
      <alignment horizontal="center"/>
    </xf>
    <xf numFmtId="0" fontId="23" fillId="34" borderId="18" xfId="0" applyFont="1" applyFill="1" applyBorder="1" applyAlignment="1">
      <alignment horizontal="center" wrapText="1"/>
    </xf>
    <xf numFmtId="0" fontId="33" fillId="36" borderId="0" xfId="0" applyFont="1" applyFill="1"/>
    <xf numFmtId="10" fontId="0" fillId="37" borderId="0" xfId="52" applyNumberFormat="1" applyFont="1" applyFill="1" applyAlignment="1"/>
    <xf numFmtId="0" fontId="23" fillId="0" borderId="19" xfId="0" applyFont="1" applyBorder="1" applyAlignment="1">
      <alignment horizontal="left"/>
    </xf>
    <xf numFmtId="0" fontId="36" fillId="36" borderId="0" xfId="0" applyFont="1" applyFill="1"/>
    <xf numFmtId="169" fontId="0" fillId="0" borderId="0" xfId="52" applyNumberFormat="1" applyFont="1"/>
    <xf numFmtId="0" fontId="0" fillId="0" borderId="0" xfId="0" applyAlignment="1">
      <alignment horizontal="center"/>
    </xf>
    <xf numFmtId="0" fontId="37" fillId="0" borderId="0" xfId="0" applyFont="1"/>
    <xf numFmtId="0" fontId="37" fillId="0" borderId="0" xfId="0" quotePrefix="1" applyFont="1"/>
    <xf numFmtId="168" fontId="0" fillId="0" borderId="0" xfId="1" applyNumberFormat="1" applyFont="1" applyFill="1"/>
    <xf numFmtId="0" fontId="23" fillId="34" borderId="22" xfId="0" applyFont="1" applyFill="1" applyBorder="1" applyAlignment="1">
      <alignment horizontal="center" wrapText="1"/>
    </xf>
    <xf numFmtId="0" fontId="27" fillId="0" borderId="0" xfId="54" applyAlignment="1">
      <alignment wrapText="1"/>
    </xf>
    <xf numFmtId="170" fontId="0" fillId="0" borderId="0" xfId="0" applyNumberFormat="1"/>
    <xf numFmtId="0" fontId="23" fillId="0" borderId="23" xfId="0" applyFont="1" applyBorder="1"/>
    <xf numFmtId="0" fontId="0" fillId="0" borderId="0" xfId="0" applyAlignment="1">
      <alignment horizontal="right"/>
    </xf>
    <xf numFmtId="0" fontId="23" fillId="33" borderId="24" xfId="0" applyFont="1" applyFill="1" applyBorder="1" applyAlignment="1">
      <alignment horizontal="center"/>
    </xf>
  </cellXfs>
  <cellStyles count="75">
    <cellStyle name="20% - Accent1" xfId="20" builtinId="30" customBuiltin="1"/>
    <cellStyle name="20% - Accent1 2" xfId="57" xr:uid="{748A0E17-B5E2-4FF4-89BA-83F6BDED128C}"/>
    <cellStyle name="20% - Accent2" xfId="24" builtinId="34" customBuiltin="1"/>
    <cellStyle name="20% - Accent2 2" xfId="60" xr:uid="{62108AB5-B662-4874-B95E-4E064BF86FB6}"/>
    <cellStyle name="20% - Accent3" xfId="28" builtinId="38" customBuiltin="1"/>
    <cellStyle name="20% - Accent3 2" xfId="63" xr:uid="{58CEE931-0EAD-4D0A-972A-449A0B536A85}"/>
    <cellStyle name="20% - Accent4" xfId="32" builtinId="42" customBuiltin="1"/>
    <cellStyle name="20% - Accent4 2" xfId="66" xr:uid="{7E0388BF-23B8-43A7-89F0-64603B71AE96}"/>
    <cellStyle name="20% - Accent5" xfId="36" builtinId="46" customBuiltin="1"/>
    <cellStyle name="20% - Accent5 2" xfId="69" xr:uid="{20C7DF6B-F053-41F6-9622-9C393FF93AFE}"/>
    <cellStyle name="20% - Accent6" xfId="40" builtinId="50" customBuiltin="1"/>
    <cellStyle name="20% - Accent6 2" xfId="72" xr:uid="{061782A7-DA3E-4E5B-918B-50EB8AB76B47}"/>
    <cellStyle name="40% - Accent1" xfId="21" builtinId="31" customBuiltin="1"/>
    <cellStyle name="40% - Accent1 2" xfId="58" xr:uid="{EAD0C113-0EBF-44DC-A723-92AF43EB5AFF}"/>
    <cellStyle name="40% - Accent2" xfId="25" builtinId="35" customBuiltin="1"/>
    <cellStyle name="40% - Accent2 2" xfId="61" xr:uid="{C8523D00-7D47-49C0-AEEA-8B71CD5471D4}"/>
    <cellStyle name="40% - Accent3" xfId="29" builtinId="39" customBuiltin="1"/>
    <cellStyle name="40% - Accent3 2" xfId="64" xr:uid="{72B91274-082C-4118-B333-05B2AA956CB2}"/>
    <cellStyle name="40% - Accent4" xfId="33" builtinId="43" customBuiltin="1"/>
    <cellStyle name="40% - Accent4 2" xfId="67" xr:uid="{9F23BEF3-2AD4-4FB5-A34D-A7F50CF8090B}"/>
    <cellStyle name="40% - Accent5" xfId="37" builtinId="47" customBuiltin="1"/>
    <cellStyle name="40% - Accent5 2" xfId="70" xr:uid="{4C49184A-0D54-466D-AE0B-4DB3C88132C9}"/>
    <cellStyle name="40% - Accent6" xfId="41" builtinId="51" customBuiltin="1"/>
    <cellStyle name="40% - Accent6 2" xfId="73" xr:uid="{7CEFAD27-4576-466E-BE7A-47D976A09DCB}"/>
    <cellStyle name="60% - Accent1" xfId="22" builtinId="32" customBuiltin="1"/>
    <cellStyle name="60% - Accent1 2" xfId="59" xr:uid="{22052935-242A-474F-8DA8-4A1E8A6F9A2C}"/>
    <cellStyle name="60% - Accent2" xfId="26" builtinId="36" customBuiltin="1"/>
    <cellStyle name="60% - Accent2 2" xfId="62" xr:uid="{A8310C49-A6A6-4480-804F-E40D0DBEB916}"/>
    <cellStyle name="60% - Accent3" xfId="30" builtinId="40" customBuiltin="1"/>
    <cellStyle name="60% - Accent3 2" xfId="65" xr:uid="{EE6F597D-EE82-4581-B944-AE13B646914F}"/>
    <cellStyle name="60% - Accent4" xfId="34" builtinId="44" customBuiltin="1"/>
    <cellStyle name="60% - Accent4 2" xfId="68" xr:uid="{0962D435-849C-45B6-A673-D93BC26B35FE}"/>
    <cellStyle name="60% - Accent5" xfId="38" builtinId="48" customBuiltin="1"/>
    <cellStyle name="60% - Accent5 2" xfId="71" xr:uid="{9918AF40-752A-465A-BEAC-DA47AA6FDE44}"/>
    <cellStyle name="60% - Accent6" xfId="42" builtinId="52" customBuiltin="1"/>
    <cellStyle name="60% - Accent6 2" xfId="74" xr:uid="{BE3F3059-806F-4CB1-8590-F328F10F2BA2}"/>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4" xr:uid="{00000000-0005-0000-0000-00001C000000}"/>
    <cellStyle name="Comma 2 2" xfId="49" xr:uid="{00000000-0005-0000-0000-00001D000000}"/>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54" builtinId="8"/>
    <cellStyle name="Input" xfId="10" builtinId="20" customBuiltin="1"/>
    <cellStyle name="Linked Cell" xfId="13" builtinId="24" customBuiltin="1"/>
    <cellStyle name="Neutral" xfId="9" builtinId="28" customBuiltin="1"/>
    <cellStyle name="Normal" xfId="0" builtinId="0" customBuiltin="1"/>
    <cellStyle name="Normal 2" xfId="43" xr:uid="{00000000-0005-0000-0000-000028000000}"/>
    <cellStyle name="Normal 2 2" xfId="46" xr:uid="{00000000-0005-0000-0000-000029000000}"/>
    <cellStyle name="Normal 2 2 2" xfId="51" xr:uid="{00000000-0005-0000-0000-00002A000000}"/>
    <cellStyle name="Normal 2 3" xfId="48" xr:uid="{00000000-0005-0000-0000-00002B000000}"/>
    <cellStyle name="Normal 2 3 2" xfId="53" xr:uid="{7C28C625-AF54-4B85-A70A-6A26E6BD119F}"/>
    <cellStyle name="Normal 3" xfId="47" xr:uid="{00000000-0005-0000-0000-00002C000000}"/>
    <cellStyle name="Normal 4" xfId="55" xr:uid="{6D6C8CD4-7EA4-41B9-806B-FAB80F3F50F0}"/>
    <cellStyle name="Note" xfId="16" builtinId="10" customBuiltin="1"/>
    <cellStyle name="Note 2" xfId="56" xr:uid="{CE30DDC5-C74E-4E90-ACE8-1106420FDB72}"/>
    <cellStyle name="Output" xfId="11" builtinId="21" customBuiltin="1"/>
    <cellStyle name="Percent" xfId="52" builtinId="5"/>
    <cellStyle name="Percent 2" xfId="45" xr:uid="{00000000-0005-0000-0000-00002F000000}"/>
    <cellStyle name="Percent 2 4" xfId="50" xr:uid="{00000000-0005-0000-0000-000030000000}"/>
    <cellStyle name="Title" xfId="2" builtinId="15" customBuiltin="1"/>
    <cellStyle name="Total" xfId="18" builtinId="25" customBuiltin="1"/>
    <cellStyle name="Warning Text" xfId="15" builtinId="11" customBuiltin="1"/>
  </cellStyles>
  <dxfs count="8">
    <dxf>
      <fill>
        <patternFill>
          <bgColor rgb="FF00FF00"/>
        </patternFill>
      </fill>
    </dxf>
    <dxf>
      <font>
        <b val="0"/>
        <i val="0"/>
        <color theme="1"/>
      </font>
      <fill>
        <patternFill>
          <bgColor rgb="FFFFFF00"/>
        </patternFill>
      </fill>
    </dxf>
    <dxf>
      <font>
        <b/>
        <i val="0"/>
        <color rgb="FF00FF00"/>
      </font>
      <fill>
        <patternFill>
          <bgColor rgb="FFFF0000"/>
        </patternFill>
      </fill>
    </dxf>
    <dxf>
      <fill>
        <patternFill>
          <bgColor rgb="FF00FF00"/>
        </patternFill>
      </fill>
    </dxf>
    <dxf>
      <font>
        <b val="0"/>
        <i val="0"/>
        <color theme="1"/>
      </font>
      <fill>
        <patternFill>
          <bgColor rgb="FFFFFF00"/>
        </patternFill>
      </fill>
    </dxf>
    <dxf>
      <font>
        <b/>
        <i val="0"/>
        <color rgb="FF00FF00"/>
      </font>
      <fill>
        <patternFill>
          <bgColor rgb="FFFF0000"/>
        </patternFill>
      </fill>
    </dxf>
    <dxf>
      <font>
        <b/>
        <i val="0"/>
        <color rgb="FF00FF00"/>
      </font>
      <fill>
        <patternFill>
          <bgColor rgb="FFFF0000"/>
        </patternFill>
      </fill>
    </dxf>
    <dxf>
      <fill>
        <patternFill>
          <bgColor rgb="FFFF0000"/>
        </patternFill>
      </fill>
    </dxf>
  </dxfs>
  <tableStyles count="0" defaultTableStyle="TableStyleMedium2" defaultPivotStyle="PivotStyleLight16"/>
  <colors>
    <mruColors>
      <color rgb="FF00FF00"/>
      <color rgb="FF09D2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443959</xdr:colOff>
      <xdr:row>0</xdr:row>
      <xdr:rowOff>38099</xdr:rowOff>
    </xdr:from>
    <xdr:to>
      <xdr:col>20</xdr:col>
      <xdr:colOff>294402</xdr:colOff>
      <xdr:row>18</xdr:row>
      <xdr:rowOff>123250</xdr:rowOff>
    </xdr:to>
    <xdr:pic>
      <xdr:nvPicPr>
        <xdr:cNvPr id="2" name="Picture 1">
          <a:extLst>
            <a:ext uri="{FF2B5EF4-FFF2-40B4-BE49-F238E27FC236}">
              <a16:creationId xmlns:a16="http://schemas.microsoft.com/office/drawing/2014/main" id="{F0F469BB-299F-A2FC-AE76-F975030C6B35}"/>
            </a:ext>
          </a:extLst>
        </xdr:cNvPr>
        <xdr:cNvPicPr>
          <a:picLocks noChangeAspect="1"/>
        </xdr:cNvPicPr>
      </xdr:nvPicPr>
      <xdr:blipFill>
        <a:blip xmlns:r="http://schemas.openxmlformats.org/officeDocument/2006/relationships" r:embed="rId1"/>
        <a:stretch>
          <a:fillRect/>
        </a:stretch>
      </xdr:blipFill>
      <xdr:spPr>
        <a:xfrm>
          <a:off x="8702134" y="38099"/>
          <a:ext cx="5336843" cy="35141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0</xdr:rowOff>
    </xdr:from>
    <xdr:ext cx="6066667" cy="3580952"/>
    <xdr:pic>
      <xdr:nvPicPr>
        <xdr:cNvPr id="2" name="Picture 1">
          <a:extLst>
            <a:ext uri="{FF2B5EF4-FFF2-40B4-BE49-F238E27FC236}">
              <a16:creationId xmlns:a16="http://schemas.microsoft.com/office/drawing/2014/main" id="{8927269E-F15D-436E-90C0-C32261301AA8}"/>
            </a:ext>
          </a:extLst>
        </xdr:cNvPr>
        <xdr:cNvPicPr>
          <a:picLocks noChangeAspect="1"/>
        </xdr:cNvPicPr>
      </xdr:nvPicPr>
      <xdr:blipFill>
        <a:blip xmlns:r="http://schemas.openxmlformats.org/officeDocument/2006/relationships" r:embed="rId1"/>
        <a:stretch>
          <a:fillRect/>
        </a:stretch>
      </xdr:blipFill>
      <xdr:spPr>
        <a:xfrm>
          <a:off x="8239125" y="381000"/>
          <a:ext cx="6066667" cy="3580952"/>
        </a:xfrm>
        <a:prstGeom prst="rect">
          <a:avLst/>
        </a:prstGeom>
      </xdr:spPr>
    </xdr:pic>
    <xdr:clientData/>
  </xdr:oneCellAnchor>
  <xdr:oneCellAnchor>
    <xdr:from>
      <xdr:col>4</xdr:col>
      <xdr:colOff>19050</xdr:colOff>
      <xdr:row>18</xdr:row>
      <xdr:rowOff>180975</xdr:rowOff>
    </xdr:from>
    <xdr:ext cx="5057143" cy="7133333"/>
    <xdr:pic>
      <xdr:nvPicPr>
        <xdr:cNvPr id="3" name="Picture 2">
          <a:extLst>
            <a:ext uri="{FF2B5EF4-FFF2-40B4-BE49-F238E27FC236}">
              <a16:creationId xmlns:a16="http://schemas.microsoft.com/office/drawing/2014/main" id="{D173FDC5-5FEA-4CC2-812F-54F59D05BF84}"/>
            </a:ext>
          </a:extLst>
        </xdr:cNvPr>
        <xdr:cNvPicPr>
          <a:picLocks noChangeAspect="1"/>
        </xdr:cNvPicPr>
      </xdr:nvPicPr>
      <xdr:blipFill>
        <a:blip xmlns:r="http://schemas.openxmlformats.org/officeDocument/2006/relationships" r:embed="rId2"/>
        <a:stretch>
          <a:fillRect/>
        </a:stretch>
      </xdr:blipFill>
      <xdr:spPr>
        <a:xfrm>
          <a:off x="8258175" y="3990975"/>
          <a:ext cx="5057143" cy="713333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vestment%20Operations/GRC/Compliance/PGF%20UCITS%20Share%20Class%20Hedges/20231003%20PGF%20Share%20Class%20Hedg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Investment%20Operations\GRC\Compliance\Daily\2A%20-%20Fund%20Codes,%20Breach%20Register.xlsx" TargetMode="External"/><Relationship Id="rId1" Type="http://schemas.openxmlformats.org/officeDocument/2006/relationships/externalLinkPath" Target="/Investment%20Operations/GRC/Compliance/Daily/2A%20-%20Fund%20Codes,%20Breach%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
      <sheetName val="Static"/>
      <sheetName val="Summary"/>
      <sheetName val="Portfolio Valuation"/>
      <sheetName val="Class NAVs"/>
      <sheetName val="UCITS rules"/>
    </sheetNames>
    <sheetDataSet>
      <sheetData sheetId="0"/>
      <sheetData sheetId="1"/>
      <sheetData sheetId="2">
        <row r="1">
          <cell r="A1" t="str">
            <v>Class</v>
          </cell>
          <cell r="I1" t="str">
            <v>Hedge Effectiveness Tue 3 Oct 2023</v>
          </cell>
        </row>
        <row r="2">
          <cell r="A2" t="str">
            <v>PGIPZAR</v>
          </cell>
          <cell r="I2">
            <v>1.0161576502836283</v>
          </cell>
        </row>
        <row r="3">
          <cell r="A3" t="str">
            <v>PGPRUSD</v>
          </cell>
          <cell r="I3">
            <v>1.0363358002254859</v>
          </cell>
        </row>
        <row r="4">
          <cell r="A4" t="str">
            <v>PGPRZAR</v>
          </cell>
          <cell r="I4">
            <v>1.0215677047912464</v>
          </cell>
        </row>
        <row r="5">
          <cell r="A5" t="str">
            <v>PGBZAR</v>
          </cell>
          <cell r="I5">
            <v>1.0186197222246109</v>
          </cell>
        </row>
        <row r="6">
          <cell r="A6" t="str">
            <v>PGEMZAR</v>
          </cell>
          <cell r="I6">
            <v>1.0209124181136555</v>
          </cell>
        </row>
        <row r="7">
          <cell r="A7" t="str">
            <v>PGPCZAR</v>
          </cell>
          <cell r="I7">
            <v>1.025864103671873</v>
          </cell>
        </row>
        <row r="8">
          <cell r="A8" t="str">
            <v>PGIP_I</v>
          </cell>
          <cell r="I8">
            <v>0.98676905511872814</v>
          </cell>
        </row>
        <row r="9">
          <cell r="A9" t="str">
            <v>PGPRUS0%</v>
          </cell>
          <cell r="I9" t="str">
            <v>Inactive share class</v>
          </cell>
        </row>
        <row r="10">
          <cell r="A10" t="str">
            <v>PGPRGBP</v>
          </cell>
          <cell r="I10" t="str">
            <v>Inactive share class</v>
          </cell>
        </row>
        <row r="11">
          <cell r="A11" t="str">
            <v>PGBEUR</v>
          </cell>
          <cell r="I11" t="str">
            <v>Inactive share class</v>
          </cell>
        </row>
        <row r="12">
          <cell r="A12" t="str">
            <v>PGBGBP</v>
          </cell>
          <cell r="I12" t="str">
            <v>Inactive share class</v>
          </cell>
        </row>
      </sheetData>
      <sheetData sheetId="3"/>
      <sheetData sheetId="4">
        <row r="2">
          <cell r="B2">
            <v>45202</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unds"/>
      <sheetName val="Sttlmnt"/>
      <sheetName val="Indices"/>
      <sheetName val="All funds ever"/>
      <sheetName val="PIM Credit Ratings 1Sep2019"/>
      <sheetName val="s122"/>
      <sheetName val="Dates"/>
      <sheetName val="PMs"/>
      <sheetName val="Sent to Confluence"/>
      <sheetName val="2A - Fund Codes, Breach Registe"/>
    </sheetNames>
    <sheetDataSet>
      <sheetData sheetId="0">
        <row r="1">
          <cell r="A1" t="str">
            <v>Fund Code</v>
          </cell>
          <cell r="D1" t="str">
            <v>Team</v>
          </cell>
        </row>
        <row r="2">
          <cell r="A2" t="str">
            <v>3BBCIINC</v>
          </cell>
          <cell r="D2" t="str">
            <v>FxdInt</v>
          </cell>
        </row>
        <row r="3">
          <cell r="A3" t="str">
            <v>BPROV</v>
          </cell>
          <cell r="D3" t="str">
            <v>MultAsst</v>
          </cell>
        </row>
        <row r="4">
          <cell r="A4" t="str">
            <v>AMPBQP</v>
          </cell>
          <cell r="D4" t="str">
            <v>Bonds (Reza)</v>
          </cell>
        </row>
        <row r="5">
          <cell r="A5" t="str">
            <v>AFPFLB</v>
          </cell>
          <cell r="D5" t="str">
            <v>FxdInt</v>
          </cell>
        </row>
        <row r="6">
          <cell r="A6" t="str">
            <v>IPIPF</v>
          </cell>
          <cell r="D6" t="str">
            <v>FxdInt</v>
          </cell>
        </row>
        <row r="7">
          <cell r="A7" t="str">
            <v>MASASIRF</v>
          </cell>
          <cell r="D7" t="str">
            <v>FxdInt</v>
          </cell>
        </row>
        <row r="8">
          <cell r="A8" t="str">
            <v>MOMFXB</v>
          </cell>
          <cell r="D8" t="str">
            <v>Bonds (Reza)</v>
          </cell>
        </row>
        <row r="9">
          <cell r="A9" t="str">
            <v>MULTICH</v>
          </cell>
          <cell r="D9" t="str">
            <v>MultAsst</v>
          </cell>
        </row>
        <row r="10">
          <cell r="A10" t="str">
            <v>MWPFILB</v>
          </cell>
          <cell r="D10" t="str">
            <v>Bonds (Reza)</v>
          </cell>
        </row>
        <row r="11">
          <cell r="A11" t="str">
            <v>PSSPFEQU</v>
          </cell>
          <cell r="D11" t="str">
            <v>Eqty</v>
          </cell>
        </row>
        <row r="12">
          <cell r="A12" t="str">
            <v>PRLMMF</v>
          </cell>
          <cell r="D12" t="str">
            <v>Cash</v>
          </cell>
        </row>
        <row r="13">
          <cell r="A13" t="str">
            <v>TSRFPOS</v>
          </cell>
          <cell r="D13" t="str">
            <v>MultAsst</v>
          </cell>
        </row>
        <row r="14">
          <cell r="A14" t="str">
            <v>UNISABAL</v>
          </cell>
          <cell r="D14" t="str">
            <v>MultAsst</v>
          </cell>
        </row>
        <row r="15">
          <cell r="A15" t="str">
            <v>UOZMMF</v>
          </cell>
          <cell r="D15" t="str">
            <v>Cash</v>
          </cell>
        </row>
        <row r="16">
          <cell r="A16" t="str">
            <v>GEMSMED</v>
          </cell>
          <cell r="D16" t="str">
            <v>MultAsst</v>
          </cell>
        </row>
        <row r="17">
          <cell r="A17" t="str">
            <v>ASHCEIDF</v>
          </cell>
          <cell r="D17" t="str">
            <v>Termd</v>
          </cell>
        </row>
        <row r="18">
          <cell r="A18" t="str">
            <v>ACIMMF</v>
          </cell>
          <cell r="D18" t="str">
            <v>Cash</v>
          </cell>
        </row>
        <row r="19">
          <cell r="A19" t="str">
            <v>ABMMABR</v>
          </cell>
          <cell r="D19" t="str">
            <v>Termd</v>
          </cell>
        </row>
        <row r="20">
          <cell r="A20" t="str">
            <v>ABMMBND</v>
          </cell>
          <cell r="D20" t="str">
            <v>Bonds (Reza)</v>
          </cell>
        </row>
        <row r="21">
          <cell r="A21" t="str">
            <v>ABMMEQU</v>
          </cell>
          <cell r="D21" t="str">
            <v>Eqty</v>
          </cell>
        </row>
        <row r="22">
          <cell r="A22" t="str">
            <v>ABMMABRF</v>
          </cell>
          <cell r="D22" t="str">
            <v>MultAsst</v>
          </cell>
        </row>
        <row r="23">
          <cell r="A23" t="str">
            <v>SSLSP</v>
          </cell>
          <cell r="D23" t="str">
            <v/>
          </cell>
        </row>
        <row r="24">
          <cell r="A24" t="str">
            <v>ISPFP</v>
          </cell>
          <cell r="D24" t="str">
            <v>Bonds (Reza)</v>
          </cell>
        </row>
        <row r="25">
          <cell r="A25" t="str">
            <v>CAPGIP</v>
          </cell>
          <cell r="D25" t="str">
            <v>FxdInt</v>
          </cell>
        </row>
        <row r="26">
          <cell r="A26" t="str">
            <v>SHNIPF</v>
          </cell>
          <cell r="D26" t="str">
            <v>FxdInt</v>
          </cell>
        </row>
        <row r="27">
          <cell r="A27" t="str">
            <v>ASHGFB</v>
          </cell>
          <cell r="D27" t="str">
            <v>Bonds (Reza)</v>
          </cell>
        </row>
        <row r="28">
          <cell r="A28" t="str">
            <v>ASHFLX</v>
          </cell>
          <cell r="D28" t="str">
            <v>FxdInt</v>
          </cell>
        </row>
        <row r="29">
          <cell r="A29" t="str">
            <v>GRFINV</v>
          </cell>
          <cell r="D29" t="str">
            <v>FxdInt</v>
          </cell>
        </row>
        <row r="30">
          <cell r="A30" t="str">
            <v>GTCWP2</v>
          </cell>
          <cell r="D30" t="str">
            <v>MultAsst</v>
          </cell>
        </row>
        <row r="31">
          <cell r="A31" t="str">
            <v>EMHPBQ</v>
          </cell>
          <cell r="D31" t="str">
            <v>Termd</v>
          </cell>
        </row>
        <row r="32">
          <cell r="A32" t="str">
            <v>EMHPIP</v>
          </cell>
          <cell r="D32" t="str">
            <v>Termd</v>
          </cell>
        </row>
        <row r="33">
          <cell r="A33" t="str">
            <v>EMHMMF</v>
          </cell>
          <cell r="D33" t="str">
            <v>Termd</v>
          </cell>
        </row>
        <row r="34">
          <cell r="A34" t="str">
            <v>HPCF</v>
          </cell>
          <cell r="D34" t="str">
            <v>Termd</v>
          </cell>
        </row>
        <row r="35">
          <cell r="A35" t="str">
            <v>HOLDINC</v>
          </cell>
          <cell r="D35" t="str">
            <v>FxdInt</v>
          </cell>
        </row>
        <row r="36">
          <cell r="A36" t="str">
            <v>HOLDINCR</v>
          </cell>
          <cell r="D36" t="str">
            <v>FxdInt</v>
          </cell>
        </row>
        <row r="37">
          <cell r="A37" t="str">
            <v>HOLMMF</v>
          </cell>
          <cell r="D37" t="str">
            <v>Cash</v>
          </cell>
        </row>
        <row r="38">
          <cell r="A38" t="str">
            <v>HOLYPF</v>
          </cell>
          <cell r="D38" t="str">
            <v>FxdInt</v>
          </cell>
        </row>
        <row r="39">
          <cell r="A39" t="str">
            <v>AMMIPF</v>
          </cell>
          <cell r="D39" t="str">
            <v>Termd</v>
          </cell>
        </row>
        <row r="40">
          <cell r="A40" t="str">
            <v>IJGBAL</v>
          </cell>
          <cell r="D40" t="str">
            <v>MultAsst</v>
          </cell>
        </row>
        <row r="41">
          <cell r="A41" t="str">
            <v>IJGCOR</v>
          </cell>
          <cell r="D41" t="str">
            <v>FxdInt</v>
          </cell>
        </row>
        <row r="42">
          <cell r="A42" t="str">
            <v>IJGIPF</v>
          </cell>
          <cell r="D42" t="str">
            <v>FxdInt</v>
          </cell>
        </row>
        <row r="43">
          <cell r="A43" t="str">
            <v>IJGMMF</v>
          </cell>
          <cell r="D43" t="str">
            <v>Cash</v>
          </cell>
        </row>
        <row r="44">
          <cell r="A44" t="str">
            <v>MOMSGPR</v>
          </cell>
          <cell r="D44" t="str">
            <v>Termd</v>
          </cell>
        </row>
        <row r="45">
          <cell r="A45" t="str">
            <v>MOMBBF</v>
          </cell>
          <cell r="D45" t="str">
            <v>FxdInt</v>
          </cell>
        </row>
        <row r="46">
          <cell r="A46" t="str">
            <v>MOMBBRF</v>
          </cell>
          <cell r="D46" t="str">
            <v>FxdInt</v>
          </cell>
        </row>
        <row r="47">
          <cell r="A47" t="str">
            <v>ADVMB</v>
          </cell>
          <cell r="D47" t="str">
            <v>Bonds (Reza)</v>
          </cell>
        </row>
        <row r="48">
          <cell r="A48" t="str">
            <v>ADVMM</v>
          </cell>
          <cell r="D48" t="str">
            <v>Cash</v>
          </cell>
        </row>
        <row r="49">
          <cell r="A49" t="str">
            <v>ADRRC</v>
          </cell>
          <cell r="D49" t="str">
            <v>MultAsst</v>
          </cell>
        </row>
        <row r="50">
          <cell r="A50" t="str">
            <v>MOMFLX</v>
          </cell>
          <cell r="D50" t="str">
            <v>Bonds (Reza)</v>
          </cell>
        </row>
        <row r="51">
          <cell r="A51" t="str">
            <v>AFIINC</v>
          </cell>
          <cell r="D51" t="str">
            <v>FxdInt</v>
          </cell>
        </row>
        <row r="52">
          <cell r="A52" t="str">
            <v>CCNPF</v>
          </cell>
          <cell r="D52" t="str">
            <v>Bonds (Reza)</v>
          </cell>
        </row>
        <row r="53">
          <cell r="A53" t="str">
            <v>CCTCSH</v>
          </cell>
          <cell r="D53" t="str">
            <v>Cash</v>
          </cell>
        </row>
        <row r="54">
          <cell r="A54" t="str">
            <v>CMPFCASH</v>
          </cell>
          <cell r="D54" t="str">
            <v>Cash</v>
          </cell>
        </row>
        <row r="55">
          <cell r="A55" t="str">
            <v>CMPFFLEX</v>
          </cell>
          <cell r="D55" t="str">
            <v>Bonds (Reza)</v>
          </cell>
        </row>
        <row r="56">
          <cell r="A56" t="str">
            <v>CSIRBQP</v>
          </cell>
          <cell r="D56" t="str">
            <v>Bonds (Reza)</v>
          </cell>
        </row>
        <row r="57">
          <cell r="A57" t="str">
            <v>ECICBAL</v>
          </cell>
          <cell r="D57" t="str">
            <v>MultAsst</v>
          </cell>
        </row>
        <row r="58">
          <cell r="A58" t="str">
            <v>ECICBALA</v>
          </cell>
          <cell r="D58" t="str">
            <v>MultAsst</v>
          </cell>
        </row>
        <row r="59">
          <cell r="A59" t="str">
            <v>ECICBALE</v>
          </cell>
          <cell r="D59" t="str">
            <v>Eqty</v>
          </cell>
        </row>
        <row r="60">
          <cell r="A60" t="str">
            <v>ELCIPF</v>
          </cell>
          <cell r="D60" t="str">
            <v>MultAsst</v>
          </cell>
        </row>
        <row r="61">
          <cell r="A61" t="str">
            <v>ENGENIP</v>
          </cell>
          <cell r="D61" t="str">
            <v>FxdInt</v>
          </cell>
        </row>
        <row r="62">
          <cell r="A62" t="str">
            <v>ENGENMBF</v>
          </cell>
          <cell r="D62" t="str">
            <v>MultAsst</v>
          </cell>
        </row>
        <row r="63">
          <cell r="A63" t="str">
            <v>GACASH</v>
          </cell>
          <cell r="D63" t="str">
            <v>Cash</v>
          </cell>
        </row>
        <row r="64">
          <cell r="A64" t="str">
            <v>GAEMBF</v>
          </cell>
          <cell r="D64" t="str">
            <v>MultAsst</v>
          </cell>
        </row>
        <row r="65">
          <cell r="A65" t="str">
            <v>GMRETF</v>
          </cell>
          <cell r="D65" t="str">
            <v>MultAsst</v>
          </cell>
        </row>
        <row r="66">
          <cell r="A66" t="str">
            <v>GMRETF2</v>
          </cell>
          <cell r="D66" t="str">
            <v>MultAsst</v>
          </cell>
        </row>
        <row r="67">
          <cell r="A67" t="str">
            <v>HOSMED</v>
          </cell>
          <cell r="D67" t="str">
            <v>Cash</v>
          </cell>
        </row>
        <row r="68">
          <cell r="A68" t="str">
            <v>IMPALA</v>
          </cell>
          <cell r="D68" t="str">
            <v>Cash</v>
          </cell>
        </row>
        <row r="69">
          <cell r="A69" t="str">
            <v>IPCASH</v>
          </cell>
          <cell r="D69" t="str">
            <v>Cash</v>
          </cell>
        </row>
        <row r="70">
          <cell r="A70" t="str">
            <v>LARETCH</v>
          </cell>
          <cell r="D70" t="str">
            <v>MultAsst</v>
          </cell>
        </row>
        <row r="71">
          <cell r="A71" t="str">
            <v>LARETLB</v>
          </cell>
          <cell r="D71" t="str">
            <v>MultAsst</v>
          </cell>
        </row>
        <row r="72">
          <cell r="A72" t="str">
            <v>LARETLE</v>
          </cell>
          <cell r="D72" t="str">
            <v>MultAsst</v>
          </cell>
        </row>
        <row r="73">
          <cell r="A73" t="str">
            <v>LARETOE</v>
          </cell>
          <cell r="D73" t="str">
            <v>MultAsst</v>
          </cell>
        </row>
        <row r="74">
          <cell r="A74" t="str">
            <v>LIBTAA</v>
          </cell>
          <cell r="D74" t="str">
            <v>MultAsst</v>
          </cell>
        </row>
        <row r="75">
          <cell r="A75" t="str">
            <v>LIBTAAST</v>
          </cell>
          <cell r="D75" t="str">
            <v>MultAsst</v>
          </cell>
        </row>
        <row r="76">
          <cell r="A76" t="str">
            <v>LIBTAAUT</v>
          </cell>
          <cell r="D76" t="str">
            <v>MultAsst</v>
          </cell>
        </row>
        <row r="77">
          <cell r="A77" t="str">
            <v>LPIIFTAA</v>
          </cell>
          <cell r="D77" t="str">
            <v>MultAsst</v>
          </cell>
        </row>
        <row r="78">
          <cell r="A78" t="str">
            <v>MASAINC</v>
          </cell>
          <cell r="D78" t="str">
            <v>FxdInt</v>
          </cell>
        </row>
        <row r="79">
          <cell r="A79" t="str">
            <v>MASAINRF</v>
          </cell>
          <cell r="D79" t="str">
            <v>FxdInt</v>
          </cell>
        </row>
        <row r="80">
          <cell r="A80" t="str">
            <v>MASAMMF</v>
          </cell>
          <cell r="D80" t="str">
            <v>Cash</v>
          </cell>
        </row>
        <row r="81">
          <cell r="A81" t="str">
            <v>MASASI</v>
          </cell>
          <cell r="D81" t="str">
            <v>Cash</v>
          </cell>
        </row>
        <row r="82">
          <cell r="A82" t="str">
            <v>MEDIPOS</v>
          </cell>
          <cell r="D82" t="str">
            <v>FxdInt</v>
          </cell>
        </row>
        <row r="83">
          <cell r="A83" t="str">
            <v>METGRP</v>
          </cell>
          <cell r="D83" t="str">
            <v>Bonds (Reza)</v>
          </cell>
        </row>
        <row r="84">
          <cell r="A84" t="str">
            <v>MOMABIL</v>
          </cell>
          <cell r="D84" t="str">
            <v>FxdInt</v>
          </cell>
        </row>
        <row r="85">
          <cell r="A85" t="str">
            <v>MOMPRET</v>
          </cell>
          <cell r="D85" t="str">
            <v>MultAsst</v>
          </cell>
        </row>
        <row r="86">
          <cell r="A86" t="str">
            <v>MWPFEQU</v>
          </cell>
          <cell r="D86" t="str">
            <v>Eqty</v>
          </cell>
        </row>
        <row r="87">
          <cell r="A87" t="str">
            <v>NEDMED</v>
          </cell>
          <cell r="D87" t="str">
            <v>MultAsst</v>
          </cell>
        </row>
        <row r="88">
          <cell r="A88" t="str">
            <v>NESEQU</v>
          </cell>
          <cell r="D88" t="str">
            <v>Eqty</v>
          </cell>
        </row>
        <row r="89">
          <cell r="A89" t="str">
            <v>NFMEQRF2</v>
          </cell>
          <cell r="D89" t="str">
            <v>Eqty</v>
          </cell>
        </row>
        <row r="90">
          <cell r="A90" t="str">
            <v>NFMWAGG</v>
          </cell>
          <cell r="D90" t="str">
            <v>MultAsst</v>
          </cell>
        </row>
        <row r="91">
          <cell r="A91" t="str">
            <v>NFMWEQU</v>
          </cell>
          <cell r="D91" t="str">
            <v>Eqty</v>
          </cell>
        </row>
        <row r="92">
          <cell r="A92" t="str">
            <v>NFMWGF</v>
          </cell>
          <cell r="D92" t="str">
            <v>MultAsst</v>
          </cell>
        </row>
        <row r="93">
          <cell r="A93" t="str">
            <v>NFMWSTA</v>
          </cell>
          <cell r="D93" t="str">
            <v>MultAsst</v>
          </cell>
        </row>
        <row r="94">
          <cell r="A94" t="str">
            <v>NGKINC</v>
          </cell>
          <cell r="D94" t="str">
            <v>FxdInt</v>
          </cell>
        </row>
        <row r="95">
          <cell r="A95" t="str">
            <v>OMLMMF</v>
          </cell>
          <cell r="D95" t="str">
            <v>Cash</v>
          </cell>
        </row>
        <row r="96">
          <cell r="A96" t="str">
            <v>PICPROV</v>
          </cell>
          <cell r="D96" t="str">
            <v>FxdInt</v>
          </cell>
        </row>
        <row r="97">
          <cell r="A97" t="str">
            <v>PLMED</v>
          </cell>
          <cell r="D97" t="str">
            <v>MultAsst</v>
          </cell>
        </row>
        <row r="98">
          <cell r="A98" t="str">
            <v>PLPRGR</v>
          </cell>
          <cell r="D98" t="str">
            <v>FxdInt</v>
          </cell>
        </row>
        <row r="99">
          <cell r="A99" t="str">
            <v>PLPRNA</v>
          </cell>
          <cell r="D99" t="str">
            <v>FxdInt</v>
          </cell>
        </row>
        <row r="100">
          <cell r="A100" t="str">
            <v>PORFGPR</v>
          </cell>
          <cell r="D100" t="str">
            <v>MultAsst</v>
          </cell>
        </row>
        <row r="101">
          <cell r="A101" t="str">
            <v>PPWEQU</v>
          </cell>
          <cell r="D101" t="str">
            <v>Eqty</v>
          </cell>
        </row>
        <row r="102">
          <cell r="A102" t="str">
            <v>PSILB</v>
          </cell>
          <cell r="D102" t="str">
            <v>Bonds (Reza)</v>
          </cell>
        </row>
        <row r="103">
          <cell r="A103" t="str">
            <v>PSPAM</v>
          </cell>
          <cell r="D103" t="str">
            <v>MultAsst</v>
          </cell>
        </row>
        <row r="104">
          <cell r="A104" t="str">
            <v>SABCCSHF</v>
          </cell>
          <cell r="D104" t="str">
            <v>Cash</v>
          </cell>
        </row>
        <row r="105">
          <cell r="A105" t="str">
            <v>SILAIF</v>
          </cell>
          <cell r="D105" t="str">
            <v>FxdInt</v>
          </cell>
        </row>
        <row r="106">
          <cell r="A106" t="str">
            <v>SILEQF</v>
          </cell>
          <cell r="D106" t="str">
            <v>Eqty</v>
          </cell>
        </row>
        <row r="107">
          <cell r="A107" t="str">
            <v>SISLP</v>
          </cell>
          <cell r="D107" t="str">
            <v>Bonds (Reza)</v>
          </cell>
        </row>
        <row r="108">
          <cell r="A108" t="str">
            <v>STBFIP</v>
          </cell>
          <cell r="D108" t="str">
            <v>FxdInt</v>
          </cell>
        </row>
        <row r="109">
          <cell r="A109" t="str">
            <v>SWGSWX</v>
          </cell>
          <cell r="D109" t="str">
            <v>Eqty</v>
          </cell>
        </row>
        <row r="110">
          <cell r="A110" t="str">
            <v>SYGCSWX</v>
          </cell>
          <cell r="D110" t="str">
            <v>Termd</v>
          </cell>
        </row>
        <row r="111">
          <cell r="A111" t="str">
            <v>TOYCEF</v>
          </cell>
          <cell r="D111" t="str">
            <v>Termd</v>
          </cell>
        </row>
        <row r="112">
          <cell r="A112" t="str">
            <v>TRFINC</v>
          </cell>
          <cell r="D112" t="str">
            <v>FxdInt</v>
          </cell>
        </row>
        <row r="113">
          <cell r="A113" t="str">
            <v>TRFWLTH</v>
          </cell>
          <cell r="D113" t="str">
            <v>Cash</v>
          </cell>
        </row>
        <row r="114">
          <cell r="A114" t="str">
            <v>UCT3IP</v>
          </cell>
          <cell r="D114" t="str">
            <v>FxdInt</v>
          </cell>
        </row>
        <row r="115">
          <cell r="A115" t="str">
            <v>UCT3YQ</v>
          </cell>
          <cell r="D115" t="str">
            <v>Cash</v>
          </cell>
        </row>
        <row r="116">
          <cell r="A116" t="str">
            <v>UCTINC</v>
          </cell>
          <cell r="D116" t="str">
            <v>FxdInt</v>
          </cell>
        </row>
        <row r="117">
          <cell r="A117" t="str">
            <v>UCTRFBAL</v>
          </cell>
          <cell r="D117" t="str">
            <v>MultAsst</v>
          </cell>
        </row>
        <row r="118">
          <cell r="A118" t="str">
            <v>UCTRFINC</v>
          </cell>
          <cell r="D118" t="str">
            <v>FxdInt</v>
          </cell>
        </row>
        <row r="119">
          <cell r="A119" t="str">
            <v>MOMIPF</v>
          </cell>
          <cell r="D119" t="str">
            <v>Cash</v>
          </cell>
        </row>
        <row r="120">
          <cell r="A120" t="str">
            <v>UNVFRS</v>
          </cell>
          <cell r="D120" t="str">
            <v>FxdInt</v>
          </cell>
        </row>
        <row r="121">
          <cell r="A121" t="str">
            <v>USAIPF</v>
          </cell>
          <cell r="D121" t="str">
            <v>FxdInt</v>
          </cell>
        </row>
        <row r="122">
          <cell r="A122" t="str">
            <v>PLIPF</v>
          </cell>
          <cell r="D122" t="str">
            <v>Termd</v>
          </cell>
        </row>
        <row r="123">
          <cell r="A123" t="str">
            <v>NELSON</v>
          </cell>
          <cell r="D123" t="str">
            <v>Termd</v>
          </cell>
        </row>
        <row r="124">
          <cell r="A124" t="str">
            <v>UCTRFBND</v>
          </cell>
          <cell r="D124" t="str">
            <v>Termd</v>
          </cell>
        </row>
        <row r="125">
          <cell r="A125" t="str">
            <v>TRSECRF</v>
          </cell>
          <cell r="D125" t="str">
            <v>Termd</v>
          </cell>
        </row>
        <row r="126">
          <cell r="A126" t="str">
            <v>TSHMPF</v>
          </cell>
          <cell r="D126" t="str">
            <v>Termd</v>
          </cell>
        </row>
        <row r="127">
          <cell r="A127" t="str">
            <v>SDINCPM</v>
          </cell>
          <cell r="D127" t="str">
            <v>FxdInt</v>
          </cell>
        </row>
        <row r="128">
          <cell r="A128" t="str">
            <v>OMFLXI5</v>
          </cell>
          <cell r="D128" t="str">
            <v>Bonds (Reza)</v>
          </cell>
        </row>
        <row r="129">
          <cell r="A129" t="str">
            <v>SYMMMF</v>
          </cell>
          <cell r="D129" t="str">
            <v>Cash</v>
          </cell>
        </row>
        <row r="130">
          <cell r="A130" t="str">
            <v>PTIF</v>
          </cell>
          <cell r="D130" t="str">
            <v>FxdInt</v>
          </cell>
        </row>
        <row r="131">
          <cell r="A131" t="str">
            <v>PPSBAL</v>
          </cell>
          <cell r="D131" t="str">
            <v>MultAsst</v>
          </cell>
        </row>
        <row r="132">
          <cell r="A132" t="str">
            <v>PPSBAL_C</v>
          </cell>
          <cell r="D132" t="str">
            <v>MultAsst</v>
          </cell>
        </row>
        <row r="133">
          <cell r="A133" t="str">
            <v>PPSRBNQ</v>
          </cell>
          <cell r="D133" t="str">
            <v>Bonds (Reza)</v>
          </cell>
        </row>
        <row r="134">
          <cell r="A134" t="str">
            <v>PPSFLEX</v>
          </cell>
          <cell r="D134" t="str">
            <v>FxdInt</v>
          </cell>
        </row>
        <row r="135">
          <cell r="A135" t="str">
            <v>PPSFLXRF</v>
          </cell>
          <cell r="D135" t="str">
            <v>FxdInt</v>
          </cell>
        </row>
        <row r="136">
          <cell r="A136" t="str">
            <v>PPSNAM</v>
          </cell>
          <cell r="D136" t="str">
            <v>MultAsst</v>
          </cell>
        </row>
        <row r="137">
          <cell r="A137" t="str">
            <v>PBAL</v>
          </cell>
          <cell r="D137" t="str">
            <v>MultAsst</v>
          </cell>
        </row>
        <row r="138">
          <cell r="A138" t="str">
            <v>PIMBAL</v>
          </cell>
          <cell r="D138" t="str">
            <v>MultAsst</v>
          </cell>
        </row>
        <row r="139">
          <cell r="A139" t="str">
            <v>PCBF</v>
          </cell>
          <cell r="D139" t="str">
            <v>Grant</v>
          </cell>
        </row>
        <row r="140">
          <cell r="A140" t="str">
            <v>PIMEVO</v>
          </cell>
          <cell r="D140" t="str">
            <v>Credit</v>
          </cell>
        </row>
        <row r="141">
          <cell r="A141" t="str">
            <v>PCAEF</v>
          </cell>
          <cell r="D141" t="str">
            <v>Eqty</v>
          </cell>
        </row>
        <row r="142">
          <cell r="A142" t="str">
            <v>PCCEF</v>
          </cell>
          <cell r="D142" t="str">
            <v>Eqty</v>
          </cell>
        </row>
        <row r="143">
          <cell r="A143" t="str">
            <v>PCCRF2</v>
          </cell>
        </row>
        <row r="144">
          <cell r="A144" t="str">
            <v>PCEQTF</v>
          </cell>
          <cell r="D144" t="str">
            <v>Eqty</v>
          </cell>
        </row>
        <row r="145">
          <cell r="A145" t="str">
            <v>PCGEF</v>
          </cell>
          <cell r="D145" t="str">
            <v>Eqty</v>
          </cell>
        </row>
        <row r="146">
          <cell r="A146" t="str">
            <v>PEQ</v>
          </cell>
          <cell r="D146" t="str">
            <v>Eqty</v>
          </cell>
        </row>
        <row r="147">
          <cell r="A147" t="str">
            <v>PCMMF</v>
          </cell>
          <cell r="D147" t="str">
            <v>Cash</v>
          </cell>
        </row>
        <row r="148">
          <cell r="A148" t="str">
            <v>PABS</v>
          </cell>
          <cell r="D148" t="str">
            <v>MultAsst</v>
          </cell>
        </row>
        <row r="149">
          <cell r="A149" t="str">
            <v>PEYF</v>
          </cell>
          <cell r="D149" t="str">
            <v>Cash</v>
          </cell>
        </row>
        <row r="150">
          <cell r="A150" t="str">
            <v>PEAQ</v>
          </cell>
          <cell r="D150" t="str">
            <v>Eqty</v>
          </cell>
        </row>
        <row r="151">
          <cell r="A151" t="str">
            <v>PEQF</v>
          </cell>
          <cell r="D151" t="str">
            <v>Eqty</v>
          </cell>
        </row>
        <row r="152">
          <cell r="A152" t="str">
            <v>PBNDQ</v>
          </cell>
          <cell r="D152" t="str">
            <v>Bonds (Reza)</v>
          </cell>
        </row>
        <row r="153">
          <cell r="A153" t="str">
            <v>PFFIF</v>
          </cell>
          <cell r="D153" t="str">
            <v>FxdInt</v>
          </cell>
        </row>
        <row r="154">
          <cell r="A154" t="str">
            <v>PGBF</v>
          </cell>
          <cell r="D154" t="str">
            <v>MultAsst</v>
          </cell>
        </row>
        <row r="155">
          <cell r="A155" t="str">
            <v>PGGF</v>
          </cell>
          <cell r="D155" t="str">
            <v>Eqty</v>
          </cell>
        </row>
        <row r="156">
          <cell r="A156" t="str">
            <v>PGIF</v>
          </cell>
          <cell r="D156" t="str">
            <v>FxdInt</v>
          </cell>
        </row>
        <row r="157">
          <cell r="A157" t="str">
            <v>PIF</v>
          </cell>
          <cell r="D157" t="str">
            <v>FxdInt</v>
          </cell>
        </row>
        <row r="158">
          <cell r="A158" t="str">
            <v>PIPFP</v>
          </cell>
          <cell r="D158" t="str">
            <v>Credit</v>
          </cell>
        </row>
        <row r="159">
          <cell r="A159" t="str">
            <v>PIPF</v>
          </cell>
          <cell r="D159" t="str">
            <v>FxdInt</v>
          </cell>
        </row>
        <row r="160">
          <cell r="A160" t="str">
            <v>PIMIDF</v>
          </cell>
          <cell r="D160" t="str">
            <v>Credit</v>
          </cell>
        </row>
        <row r="161">
          <cell r="A161" t="str">
            <v>PMMF</v>
          </cell>
          <cell r="D161" t="str">
            <v>Cash</v>
          </cell>
        </row>
        <row r="162">
          <cell r="A162" t="str">
            <v>POIF</v>
          </cell>
          <cell r="D162" t="str">
            <v>POIF_C</v>
          </cell>
        </row>
        <row r="163">
          <cell r="A163" t="str">
            <v>PPOS</v>
          </cell>
          <cell r="D163" t="str">
            <v>MultAsst</v>
          </cell>
        </row>
        <row r="164">
          <cell r="A164" t="str">
            <v>PPEF</v>
          </cell>
          <cell r="D164" t="str">
            <v>Eqty</v>
          </cell>
        </row>
        <row r="165">
          <cell r="A165" t="str">
            <v>PSTIF</v>
          </cell>
          <cell r="D165" t="str">
            <v>FxdInt</v>
          </cell>
        </row>
        <row r="166">
          <cell r="A166" t="str">
            <v>PCSHQ</v>
          </cell>
          <cell r="D166" t="str">
            <v>Cash</v>
          </cell>
        </row>
        <row r="167">
          <cell r="A167" t="str">
            <v>SAAMCAU</v>
          </cell>
          <cell r="D167" t="str">
            <v>Eqty</v>
          </cell>
        </row>
        <row r="168">
          <cell r="A168" t="str">
            <v>SAAMINC</v>
          </cell>
          <cell r="D168" t="str">
            <v>FxdInt</v>
          </cell>
        </row>
        <row r="169">
          <cell r="A169" t="str">
            <v>SAAMMAN</v>
          </cell>
          <cell r="D169" t="str">
            <v>Termd</v>
          </cell>
        </row>
        <row r="170">
          <cell r="A170" t="str">
            <v>SAAMMOD</v>
          </cell>
          <cell r="D170" t="str">
            <v>Eqty</v>
          </cell>
        </row>
        <row r="171">
          <cell r="A171" t="str">
            <v>SMMIBF</v>
          </cell>
          <cell r="D171" t="str">
            <v>Bonds (Reza)</v>
          </cell>
        </row>
        <row r="172">
          <cell r="A172" t="str">
            <v>PPSALBI</v>
          </cell>
          <cell r="D172" t="str">
            <v>FxdInt</v>
          </cell>
        </row>
        <row r="173">
          <cell r="A173" t="str">
            <v>PPSCILI</v>
          </cell>
          <cell r="D173" t="str">
            <v>FxdInt</v>
          </cell>
        </row>
        <row r="174">
          <cell r="A174" t="str">
            <v>STSBND</v>
          </cell>
          <cell r="D174" t="str">
            <v>Bonds (Reza)</v>
          </cell>
        </row>
        <row r="175">
          <cell r="A175" t="str">
            <v>STSYPF</v>
          </cell>
          <cell r="D175" t="str">
            <v>FxdInt</v>
          </cell>
        </row>
        <row r="176">
          <cell r="A176" t="str">
            <v>SMMAIF</v>
          </cell>
          <cell r="D176" t="str">
            <v>FxdInt</v>
          </cell>
        </row>
        <row r="177">
          <cell r="A177" t="str">
            <v>SMMBPR</v>
          </cell>
          <cell r="D177" t="str">
            <v>Termd</v>
          </cell>
        </row>
        <row r="178">
          <cell r="A178" t="str">
            <v>SMMEYP</v>
          </cell>
          <cell r="D178" t="str">
            <v>FxdInt</v>
          </cell>
        </row>
        <row r="179">
          <cell r="A179" t="str">
            <v>SMMRRF</v>
          </cell>
          <cell r="D179" t="str">
            <v>MultAsst</v>
          </cell>
        </row>
        <row r="180">
          <cell r="A180" t="str">
            <v>SISMMF</v>
          </cell>
          <cell r="D180" t="str">
            <v>Cash</v>
          </cell>
        </row>
        <row r="181">
          <cell r="A181" t="str">
            <v>ASBTOS</v>
          </cell>
          <cell r="D181" t="str">
            <v>MultAsst</v>
          </cell>
        </row>
        <row r="182">
          <cell r="A182" t="str">
            <v>MOBIPF_C</v>
          </cell>
          <cell r="D182" t="str">
            <v>FxdInt</v>
          </cell>
        </row>
        <row r="183">
          <cell r="A183" t="str">
            <v>XBRIDGE</v>
          </cell>
          <cell r="D183" t="str">
            <v>FxdInt</v>
          </cell>
        </row>
        <row r="184">
          <cell r="A184" t="str">
            <v>OMLIPF</v>
          </cell>
          <cell r="D184" t="str">
            <v>FxdInt</v>
          </cell>
        </row>
        <row r="185">
          <cell r="A185" t="str">
            <v>PCGEARF</v>
          </cell>
          <cell r="D185" t="str">
            <v/>
          </cell>
        </row>
        <row r="186">
          <cell r="A186" t="str">
            <v>PORFIP</v>
          </cell>
          <cell r="D186" t="str">
            <v>FxdInt</v>
          </cell>
        </row>
        <row r="187">
          <cell r="A187" t="str">
            <v>ECICBALC</v>
          </cell>
          <cell r="D187" t="str">
            <v>MultAsst</v>
          </cell>
        </row>
        <row r="188">
          <cell r="A188" t="str">
            <v>GEMSMEDC</v>
          </cell>
          <cell r="D188" t="str">
            <v>MultAsst</v>
          </cell>
        </row>
        <row r="189">
          <cell r="A189" t="str">
            <v>PGPCEM</v>
          </cell>
          <cell r="D189" t="str">
            <v>Eqty</v>
          </cell>
        </row>
        <row r="190">
          <cell r="A190" t="str">
            <v>PGPCEM_C</v>
          </cell>
          <cell r="D190" t="str">
            <v>Eqty</v>
          </cell>
        </row>
        <row r="191">
          <cell r="A191" t="str">
            <v>ABMMBLIQ</v>
          </cell>
          <cell r="D191" t="str">
            <v>Termd</v>
          </cell>
        </row>
        <row r="192">
          <cell r="A192" t="str">
            <v>PSIF</v>
          </cell>
          <cell r="D192" t="str">
            <v>FxdInt</v>
          </cell>
        </row>
        <row r="193">
          <cell r="A193" t="str">
            <v>RETFGD</v>
          </cell>
          <cell r="D193" t="str">
            <v>Eqty</v>
          </cell>
        </row>
        <row r="194">
          <cell r="A194" t="str">
            <v>RETFPE</v>
          </cell>
          <cell r="D194" t="str">
            <v>Eqty</v>
          </cell>
        </row>
        <row r="195">
          <cell r="A195" t="str">
            <v>RETFPP</v>
          </cell>
          <cell r="D195" t="str">
            <v>Eqty</v>
          </cell>
        </row>
        <row r="196">
          <cell r="A196" t="str">
            <v>UWRFGRO</v>
          </cell>
          <cell r="D196" t="str">
            <v>MultAsst</v>
          </cell>
        </row>
        <row r="197">
          <cell r="A197" t="str">
            <v>UWRFCON</v>
          </cell>
          <cell r="D197" t="str">
            <v>MultAsst</v>
          </cell>
        </row>
        <row r="198">
          <cell r="A198" t="str">
            <v>CMPFINC</v>
          </cell>
          <cell r="D198" t="str">
            <v>FxdInt</v>
          </cell>
        </row>
        <row r="199">
          <cell r="A199" t="str">
            <v>CMPFBOND</v>
          </cell>
          <cell r="D199" t="str">
            <v>FxdInt</v>
          </cell>
        </row>
        <row r="200">
          <cell r="A200" t="str">
            <v>MEDINC</v>
          </cell>
          <cell r="D200" t="str">
            <v>FxdInt</v>
          </cell>
        </row>
        <row r="201">
          <cell r="A201" t="str">
            <v>PBBGPF</v>
          </cell>
          <cell r="D201" t="str">
            <v>Liang</v>
          </cell>
        </row>
        <row r="202">
          <cell r="A202" t="str">
            <v>POIF_C</v>
          </cell>
          <cell r="D202" t="str">
            <v>POIF_C</v>
          </cell>
        </row>
        <row r="203">
          <cell r="A203" t="str">
            <v>POIFEQT</v>
          </cell>
          <cell r="D203" t="str">
            <v>Eqty</v>
          </cell>
        </row>
        <row r="204">
          <cell r="A204" t="str">
            <v>SNPFEQU</v>
          </cell>
          <cell r="D204" t="str">
            <v>Eqty</v>
          </cell>
        </row>
        <row r="205">
          <cell r="A205" t="str">
            <v>UFHINC</v>
          </cell>
          <cell r="D205" t="str">
            <v>FxdInt</v>
          </cell>
        </row>
        <row r="206">
          <cell r="A206" t="str">
            <v>PGCBF</v>
          </cell>
          <cell r="D206" t="str">
            <v>Grant</v>
          </cell>
        </row>
        <row r="207">
          <cell r="A207" t="str">
            <v>PGCCF</v>
          </cell>
          <cell r="D207" t="str">
            <v>Grant</v>
          </cell>
        </row>
        <row r="208">
          <cell r="A208" t="str">
            <v>PGCEF</v>
          </cell>
          <cell r="D208" t="str">
            <v>Grant</v>
          </cell>
        </row>
        <row r="209">
          <cell r="A209" t="str">
            <v>PGPCGE</v>
          </cell>
          <cell r="D209" t="str">
            <v>Eqty</v>
          </cell>
        </row>
        <row r="210">
          <cell r="A210" t="str">
            <v>PGPCGE_C</v>
          </cell>
          <cell r="D210" t="str">
            <v>Eqty</v>
          </cell>
        </row>
        <row r="211">
          <cell r="A211" t="str">
            <v>PGPGBF</v>
          </cell>
          <cell r="D211" t="str">
            <v>MultAsst</v>
          </cell>
        </row>
        <row r="212">
          <cell r="A212" t="str">
            <v>PGPGBF_C</v>
          </cell>
          <cell r="D212" t="str">
            <v>MultAsst</v>
          </cell>
        </row>
        <row r="213">
          <cell r="A213" t="str">
            <v>PGPGGF</v>
          </cell>
          <cell r="D213" t="str">
            <v>Eqty</v>
          </cell>
        </row>
        <row r="214">
          <cell r="A214" t="str">
            <v>PGPGIF</v>
          </cell>
          <cell r="D214" t="str">
            <v>FxdInt</v>
          </cell>
        </row>
        <row r="215">
          <cell r="A215" t="str">
            <v>PGPGIF_C</v>
          </cell>
          <cell r="D215" t="str">
            <v>FxdInt</v>
          </cell>
        </row>
        <row r="216">
          <cell r="A216" t="str">
            <v>PGPRF</v>
          </cell>
          <cell r="D216" t="str">
            <v>MultAsst</v>
          </cell>
        </row>
        <row r="217">
          <cell r="A217" t="str">
            <v>PGPRF_C</v>
          </cell>
          <cell r="D217" t="str">
            <v>MultAsst</v>
          </cell>
        </row>
        <row r="218">
          <cell r="A218" t="str">
            <v>QIFFGIF</v>
          </cell>
          <cell r="D218" t="str">
            <v/>
          </cell>
        </row>
        <row r="219">
          <cell r="A219" t="str">
            <v>ADVTAA</v>
          </cell>
          <cell r="D219" t="str">
            <v>Termd</v>
          </cell>
        </row>
        <row r="220">
          <cell r="A220" t="str">
            <v>MOMBAL</v>
          </cell>
          <cell r="D220" t="str">
            <v>Termd</v>
          </cell>
        </row>
        <row r="221">
          <cell r="A221" t="str">
            <v>USA26</v>
          </cell>
          <cell r="D221" t="str">
            <v>Admin</v>
          </cell>
        </row>
        <row r="222">
          <cell r="A222" t="str">
            <v>USA30</v>
          </cell>
          <cell r="D222" t="str">
            <v>Admin</v>
          </cell>
        </row>
        <row r="223">
          <cell r="A223" t="str">
            <v>USA41</v>
          </cell>
          <cell r="D223" t="str">
            <v>Admin</v>
          </cell>
        </row>
        <row r="224">
          <cell r="A224" t="str">
            <v>PGPCEM</v>
          </cell>
        </row>
        <row r="225">
          <cell r="A225" t="str">
            <v>PGEMZAR</v>
          </cell>
        </row>
        <row r="226">
          <cell r="A226" t="str">
            <v>PGIP_I</v>
          </cell>
        </row>
        <row r="227">
          <cell r="A227" t="str">
            <v>PGPRGBP</v>
          </cell>
        </row>
        <row r="228">
          <cell r="A228" t="str">
            <v>PGPRUSD</v>
          </cell>
        </row>
        <row r="229">
          <cell r="A229" t="str">
            <v>PGPRZAR</v>
          </cell>
        </row>
        <row r="230">
          <cell r="A230" t="str">
            <v>PGPRUS0%</v>
          </cell>
        </row>
        <row r="231">
          <cell r="A231" t="str">
            <v>PGPCZAR</v>
          </cell>
        </row>
        <row r="232">
          <cell r="A232" t="str">
            <v>PGBEUR</v>
          </cell>
        </row>
        <row r="233">
          <cell r="A233" t="str">
            <v>PGBGBP</v>
          </cell>
        </row>
        <row r="234">
          <cell r="A234" t="str">
            <v>PGBZAR</v>
          </cell>
        </row>
        <row r="235">
          <cell r="A235" t="str">
            <v>PGIPZAR</v>
          </cell>
        </row>
      </sheetData>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Investment%20Operations/GRC/Compliance/PGF%20UCITS%20Share%20Class%20Hedges/20230130%20PGF%20Share%20Class%20Hedges.xls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9078-A689-44A8-8A07-D2AEB1475144}">
  <sheetPr codeName="Sheet8"/>
  <dimension ref="A1:AC35"/>
  <sheetViews>
    <sheetView workbookViewId="0">
      <pane xSplit="1" ySplit="6" topLeftCell="B10" activePane="bottomRight" state="frozen"/>
      <selection activeCell="B37" sqref="B37"/>
      <selection pane="topRight" activeCell="B37" sqref="B37"/>
      <selection pane="bottomLeft" activeCell="B37" sqref="B37"/>
      <selection pane="bottomRight" activeCell="B12" sqref="B12"/>
    </sheetView>
  </sheetViews>
  <sheetFormatPr defaultRowHeight="15" x14ac:dyDescent="0.25"/>
  <cols>
    <col min="1" max="1" width="66.5703125" bestFit="1" customWidth="1"/>
    <col min="2" max="2" width="39" bestFit="1" customWidth="1"/>
    <col min="3" max="3" width="20.7109375" hidden="1" customWidth="1"/>
    <col min="4" max="4" width="16.5703125" hidden="1" customWidth="1"/>
    <col min="5" max="5" width="51.85546875" hidden="1" customWidth="1"/>
    <col min="6" max="6" width="0" hidden="1" customWidth="1"/>
    <col min="7" max="7" width="38.85546875" hidden="1" customWidth="1"/>
    <col min="8" max="9" width="0" hidden="1" customWidth="1"/>
    <col min="29" max="29" width="13.42578125" customWidth="1"/>
  </cols>
  <sheetData>
    <row r="1" spans="1:29" x14ac:dyDescent="0.25">
      <c r="A1" s="26" t="s">
        <v>157</v>
      </c>
      <c r="G1" s="34" t="str">
        <f>HYPERLINK("\\fileserver.prescient.local\pim-business\Business Practice\PGF UCITS Share Class Hedges","Shares Classes Folder")</f>
        <v>Shares Classes Folder</v>
      </c>
      <c r="Z1" s="59" t="s">
        <v>277</v>
      </c>
      <c r="AA1" s="58" t="s">
        <v>274</v>
      </c>
      <c r="AB1" s="58" t="s">
        <v>275</v>
      </c>
      <c r="AC1" s="58" t="s">
        <v>276</v>
      </c>
    </row>
    <row r="2" spans="1:29" x14ac:dyDescent="0.25">
      <c r="A2" s="26" t="s">
        <v>207</v>
      </c>
      <c r="E2" s="32" t="s">
        <v>176</v>
      </c>
      <c r="G2" s="34" t="str">
        <f>HYPERLINK("http://www.irishstatutebook.ie/eli/2013/si/257/made/en/print","SI 257 of 2013 EU (AIFM) Regulation 2013")</f>
        <v>SI 257 of 2013 EU (AIFM) Regulation 2013</v>
      </c>
      <c r="AA2" t="s">
        <v>198</v>
      </c>
      <c r="AB2" t="s">
        <v>29</v>
      </c>
      <c r="AC2" s="57">
        <v>45167</v>
      </c>
    </row>
    <row r="3" spans="1:29" x14ac:dyDescent="0.25">
      <c r="A3" t="s">
        <v>229</v>
      </c>
      <c r="B3" t="s">
        <v>228</v>
      </c>
      <c r="E3" t="e">
        <f>_xlfn.XLOOKUP($B3,$D$12:$D$22,$B$12:$B$22)</f>
        <v>#N/A</v>
      </c>
      <c r="G3" s="34"/>
      <c r="AA3" t="s">
        <v>13</v>
      </c>
      <c r="AB3" t="s">
        <v>27</v>
      </c>
    </row>
    <row r="4" spans="1:29" x14ac:dyDescent="0.25">
      <c r="A4" t="s">
        <v>194</v>
      </c>
      <c r="B4" t="s">
        <v>14</v>
      </c>
      <c r="E4" t="str">
        <f>_xlfn.XLOOKUP($B4,$D$12:$D$22,$B$12:$B$22)</f>
        <v>PGBEUR, PGBGBP, PGBZAR</v>
      </c>
      <c r="G4" s="34"/>
      <c r="AA4" t="s">
        <v>14</v>
      </c>
      <c r="AB4" t="s">
        <v>28</v>
      </c>
    </row>
    <row r="5" spans="1:29" x14ac:dyDescent="0.25">
      <c r="A5" t="s">
        <v>195</v>
      </c>
      <c r="B5" t="s">
        <v>196</v>
      </c>
      <c r="E5" t="str">
        <f>_xlfn.XLOOKUP($B5,$D$12:$D$22,$B$12:$B$22)</f>
        <v>PGIPZAR, PGIP_I</v>
      </c>
      <c r="G5" s="34"/>
      <c r="AA5" t="s">
        <v>16</v>
      </c>
      <c r="AB5" t="s">
        <v>24</v>
      </c>
    </row>
    <row r="6" spans="1:29" x14ac:dyDescent="0.25">
      <c r="A6" t="s">
        <v>197</v>
      </c>
      <c r="B6" t="s">
        <v>160</v>
      </c>
      <c r="E6" t="str">
        <f>_xlfn.XLOOKUP($B6,$D$12:$D$22,$B$12:$B$22)</f>
        <v>PGPRUSD, PGPRZAR, PGPRUS0%,PGPRGBP</v>
      </c>
      <c r="G6" s="34"/>
      <c r="AA6" t="s">
        <v>177</v>
      </c>
      <c r="AB6" t="s">
        <v>22</v>
      </c>
    </row>
    <row r="7" spans="1:29" x14ac:dyDescent="0.25">
      <c r="A7" s="43"/>
      <c r="G7" s="34"/>
      <c r="AA7" t="s">
        <v>18</v>
      </c>
      <c r="AB7" t="s">
        <v>21</v>
      </c>
    </row>
    <row r="8" spans="1:29" x14ac:dyDescent="0.25">
      <c r="A8" s="43"/>
      <c r="G8" s="34"/>
      <c r="AA8" t="s">
        <v>19</v>
      </c>
      <c r="AB8" t="s">
        <v>20</v>
      </c>
    </row>
    <row r="9" spans="1:29" x14ac:dyDescent="0.25">
      <c r="A9" s="43"/>
      <c r="G9" s="34"/>
      <c r="AB9" t="s">
        <v>23</v>
      </c>
    </row>
    <row r="10" spans="1:29" x14ac:dyDescent="0.25">
      <c r="A10" s="26"/>
      <c r="G10" s="34" t="str">
        <f>HYPERLINK("http://www.irishstatutebook.ie/eli/2015/si/420/made/en/print","SI 420 of 2015 CBoI UCITS Regulations 2015")</f>
        <v>SI 420 of 2015 CBoI UCITS Regulations 2015</v>
      </c>
      <c r="AB10" t="s">
        <v>25</v>
      </c>
    </row>
    <row r="11" spans="1:29" x14ac:dyDescent="0.25">
      <c r="A11" s="32" t="s">
        <v>190</v>
      </c>
      <c r="B11" s="32" t="s">
        <v>176</v>
      </c>
      <c r="C11" s="32" t="s">
        <v>144</v>
      </c>
      <c r="D11" s="32" t="s">
        <v>206</v>
      </c>
      <c r="E11" s="32" t="s">
        <v>172</v>
      </c>
      <c r="G11" s="34" t="str">
        <f>HYPERLINK("https://www.centralbank.ie/docs/default-source/publications/Consultation-Papers/CP27/gn-399-share-classes---hedging-against-exchange-rate-movements.pdf?sfvrsn=2","UCITS share class hedging GN3/99")</f>
        <v>UCITS share class hedging GN3/99</v>
      </c>
      <c r="AB11" t="s">
        <v>26</v>
      </c>
    </row>
    <row r="12" spans="1:29" x14ac:dyDescent="0.25">
      <c r="A12" t="s">
        <v>149</v>
      </c>
      <c r="B12" t="s">
        <v>173</v>
      </c>
      <c r="C12" t="s">
        <v>59</v>
      </c>
      <c r="D12" t="s">
        <v>160</v>
      </c>
      <c r="E12" t="s">
        <v>161</v>
      </c>
      <c r="G12" s="25" t="str">
        <f>HYPERLINK("\\pim-cpt-statpro\SPC_602\Client\Profiles\PIM\Exports\PGF ICAV Hedged Classes 12Nov2020.xlsx","ICAV Hedge Classes 12Nov 2020")</f>
        <v>ICAV Hedge Classes 12Nov 2020</v>
      </c>
      <c r="AB12" t="s">
        <v>202</v>
      </c>
    </row>
    <row r="13" spans="1:29" x14ac:dyDescent="0.25">
      <c r="A13" t="s">
        <v>150</v>
      </c>
      <c r="B13" t="s">
        <v>147</v>
      </c>
      <c r="C13" t="s">
        <v>60</v>
      </c>
      <c r="D13" t="s">
        <v>196</v>
      </c>
      <c r="E13" t="s">
        <v>162</v>
      </c>
    </row>
    <row r="14" spans="1:29" x14ac:dyDescent="0.25">
      <c r="A14" t="s">
        <v>151</v>
      </c>
      <c r="B14" t="s">
        <v>20</v>
      </c>
      <c r="C14" t="s">
        <v>54</v>
      </c>
      <c r="D14" t="s">
        <v>13</v>
      </c>
      <c r="E14" t="s">
        <v>163</v>
      </c>
    </row>
    <row r="15" spans="1:29" x14ac:dyDescent="0.25">
      <c r="A15" t="s">
        <v>152</v>
      </c>
      <c r="B15" t="s">
        <v>148</v>
      </c>
      <c r="C15" t="s">
        <v>56</v>
      </c>
      <c r="D15" t="s">
        <v>14</v>
      </c>
      <c r="E15" t="s">
        <v>164</v>
      </c>
    </row>
    <row r="16" spans="1:29" x14ac:dyDescent="0.25">
      <c r="A16" t="s">
        <v>203</v>
      </c>
      <c r="B16" t="s">
        <v>202</v>
      </c>
      <c r="C16" t="s">
        <v>49</v>
      </c>
      <c r="D16" s="33" t="s">
        <v>198</v>
      </c>
      <c r="E16" t="s">
        <v>165</v>
      </c>
      <c r="F16" t="s">
        <v>204</v>
      </c>
    </row>
    <row r="17" spans="1:5" x14ac:dyDescent="0.25">
      <c r="A17" s="33" t="s">
        <v>158</v>
      </c>
      <c r="B17" s="33" t="s">
        <v>158</v>
      </c>
      <c r="C17" t="s">
        <v>53</v>
      </c>
      <c r="D17" s="33" t="s">
        <v>158</v>
      </c>
      <c r="E17" t="s">
        <v>166</v>
      </c>
    </row>
    <row r="18" spans="1:5" x14ac:dyDescent="0.25">
      <c r="A18" s="33" t="s">
        <v>158</v>
      </c>
      <c r="B18" s="33" t="s">
        <v>158</v>
      </c>
      <c r="C18" t="s">
        <v>50</v>
      </c>
      <c r="D18" s="33" t="s">
        <v>158</v>
      </c>
      <c r="E18" t="s">
        <v>167</v>
      </c>
    </row>
    <row r="19" spans="1:5" x14ac:dyDescent="0.25">
      <c r="A19" s="33" t="s">
        <v>158</v>
      </c>
      <c r="B19" s="33" t="s">
        <v>158</v>
      </c>
      <c r="C19" t="s">
        <v>52</v>
      </c>
      <c r="D19" s="33" t="s">
        <v>158</v>
      </c>
      <c r="E19" t="s">
        <v>168</v>
      </c>
    </row>
    <row r="20" spans="1:5" x14ac:dyDescent="0.25">
      <c r="A20" s="33" t="s">
        <v>158</v>
      </c>
      <c r="B20" s="33" t="s">
        <v>158</v>
      </c>
      <c r="C20" t="s">
        <v>155</v>
      </c>
      <c r="D20" s="33" t="s">
        <v>158</v>
      </c>
      <c r="E20" t="s">
        <v>169</v>
      </c>
    </row>
    <row r="21" spans="1:5" x14ac:dyDescent="0.25">
      <c r="A21" s="33" t="s">
        <v>158</v>
      </c>
      <c r="B21" s="33" t="s">
        <v>158</v>
      </c>
      <c r="C21" t="s">
        <v>154</v>
      </c>
      <c r="D21" s="33" t="s">
        <v>158</v>
      </c>
      <c r="E21" t="s">
        <v>170</v>
      </c>
    </row>
    <row r="22" spans="1:5" x14ac:dyDescent="0.25">
      <c r="A22" s="33" t="s">
        <v>158</v>
      </c>
      <c r="B22" s="33" t="s">
        <v>158</v>
      </c>
      <c r="C22" t="s">
        <v>159</v>
      </c>
      <c r="D22" s="33" t="s">
        <v>158</v>
      </c>
      <c r="E22" t="s">
        <v>171</v>
      </c>
    </row>
    <row r="24" spans="1:5" x14ac:dyDescent="0.25">
      <c r="B24" s="32" t="s">
        <v>176</v>
      </c>
      <c r="C24" s="32" t="s">
        <v>206</v>
      </c>
      <c r="D24" s="32" t="s">
        <v>144</v>
      </c>
      <c r="E24" s="32" t="s">
        <v>172</v>
      </c>
    </row>
    <row r="25" spans="1:5" x14ac:dyDescent="0.25">
      <c r="B25" t="s">
        <v>29</v>
      </c>
      <c r="C25" t="s">
        <v>18</v>
      </c>
      <c r="D25" t="s">
        <v>59</v>
      </c>
      <c r="E25" t="s">
        <v>161</v>
      </c>
    </row>
    <row r="26" spans="1:5" x14ac:dyDescent="0.25">
      <c r="B26" t="s">
        <v>27</v>
      </c>
      <c r="C26" t="s">
        <v>19</v>
      </c>
      <c r="D26" t="s">
        <v>59</v>
      </c>
      <c r="E26" t="s">
        <v>161</v>
      </c>
    </row>
    <row r="27" spans="1:5" x14ac:dyDescent="0.25">
      <c r="B27" t="s">
        <v>28</v>
      </c>
      <c r="C27" t="s">
        <v>174</v>
      </c>
      <c r="D27" t="s">
        <v>59</v>
      </c>
      <c r="E27" t="s">
        <v>161</v>
      </c>
    </row>
    <row r="28" spans="1:5" x14ac:dyDescent="0.25">
      <c r="B28" t="s">
        <v>24</v>
      </c>
      <c r="C28" t="s">
        <v>175</v>
      </c>
      <c r="D28" t="s">
        <v>59</v>
      </c>
      <c r="E28" t="s">
        <v>161</v>
      </c>
    </row>
    <row r="29" spans="1:5" x14ac:dyDescent="0.25">
      <c r="B29" t="s">
        <v>22</v>
      </c>
      <c r="C29" t="s">
        <v>16</v>
      </c>
      <c r="D29" t="s">
        <v>60</v>
      </c>
      <c r="E29" t="s">
        <v>162</v>
      </c>
    </row>
    <row r="30" spans="1:5" x14ac:dyDescent="0.25">
      <c r="B30" t="s">
        <v>21</v>
      </c>
      <c r="C30" t="s">
        <v>177</v>
      </c>
      <c r="D30" t="s">
        <v>60</v>
      </c>
      <c r="E30" t="s">
        <v>162</v>
      </c>
    </row>
    <row r="31" spans="1:5" x14ac:dyDescent="0.25">
      <c r="B31" t="s">
        <v>20</v>
      </c>
      <c r="C31" t="s">
        <v>13</v>
      </c>
      <c r="D31" t="s">
        <v>54</v>
      </c>
      <c r="E31">
        <f>-'Class NAVs'!G11</f>
        <v>0</v>
      </c>
    </row>
    <row r="32" spans="1:5" x14ac:dyDescent="0.25">
      <c r="B32" t="s">
        <v>23</v>
      </c>
      <c r="C32" t="s">
        <v>178</v>
      </c>
      <c r="D32" t="s">
        <v>56</v>
      </c>
      <c r="E32" t="s">
        <v>164</v>
      </c>
    </row>
    <row r="33" spans="2:6" x14ac:dyDescent="0.25">
      <c r="B33" t="s">
        <v>25</v>
      </c>
      <c r="C33" t="s">
        <v>179</v>
      </c>
      <c r="D33" t="s">
        <v>56</v>
      </c>
      <c r="E33" t="s">
        <v>164</v>
      </c>
    </row>
    <row r="34" spans="2:6" x14ac:dyDescent="0.25">
      <c r="B34" t="s">
        <v>26</v>
      </c>
      <c r="C34" t="s">
        <v>14</v>
      </c>
      <c r="D34" t="s">
        <v>56</v>
      </c>
      <c r="E34" t="s">
        <v>164</v>
      </c>
    </row>
    <row r="35" spans="2:6" x14ac:dyDescent="0.25">
      <c r="B35" t="s">
        <v>202</v>
      </c>
      <c r="C35" t="s">
        <v>198</v>
      </c>
      <c r="D35" t="s">
        <v>199</v>
      </c>
      <c r="E35" t="s">
        <v>165</v>
      </c>
      <c r="F35" t="s">
        <v>204</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B49C-BAD7-498C-9153-B99AA508B7B7}">
  <sheetPr codeName="Sheet9"/>
  <dimension ref="A1:F26"/>
  <sheetViews>
    <sheetView workbookViewId="0">
      <selection activeCell="H9" sqref="H9"/>
    </sheetView>
  </sheetViews>
  <sheetFormatPr defaultRowHeight="15" x14ac:dyDescent="0.25"/>
  <cols>
    <col min="1" max="1" width="10.140625" bestFit="1" customWidth="1"/>
    <col min="2" max="2" width="52" customWidth="1"/>
    <col min="3" max="3" width="11.42578125" bestFit="1" customWidth="1"/>
    <col min="4" max="4" width="13.7109375" bestFit="1" customWidth="1"/>
    <col min="5" max="5" width="10.85546875" bestFit="1" customWidth="1"/>
    <col min="6" max="6" width="10.140625" bestFit="1" customWidth="1"/>
  </cols>
  <sheetData>
    <row r="1" spans="1:6" x14ac:dyDescent="0.25">
      <c r="A1" s="40" t="s">
        <v>186</v>
      </c>
      <c r="B1" s="7"/>
      <c r="C1" s="37"/>
    </row>
    <row r="2" spans="1:6" x14ac:dyDescent="0.25">
      <c r="A2" s="38" t="s">
        <v>156</v>
      </c>
      <c r="B2" s="32" t="s">
        <v>172</v>
      </c>
      <c r="C2" s="39" t="s">
        <v>183</v>
      </c>
    </row>
    <row r="3" spans="1:6" x14ac:dyDescent="0.25">
      <c r="A3" s="8" t="s">
        <v>59</v>
      </c>
      <c r="B3" s="9" t="s">
        <v>161</v>
      </c>
      <c r="C3" s="35"/>
    </row>
    <row r="4" spans="1:6" x14ac:dyDescent="0.25">
      <c r="A4" s="8" t="s">
        <v>60</v>
      </c>
      <c r="B4" s="9" t="s">
        <v>162</v>
      </c>
      <c r="C4" s="35"/>
    </row>
    <row r="5" spans="1:6" x14ac:dyDescent="0.25">
      <c r="A5" s="8" t="s">
        <v>54</v>
      </c>
      <c r="B5" s="9" t="s">
        <v>163</v>
      </c>
      <c r="C5" s="35"/>
    </row>
    <row r="6" spans="1:6" x14ac:dyDescent="0.25">
      <c r="A6" s="8" t="s">
        <v>56</v>
      </c>
      <c r="B6" s="9" t="s">
        <v>164</v>
      </c>
      <c r="C6" s="35"/>
    </row>
    <row r="7" spans="1:6" x14ac:dyDescent="0.25">
      <c r="A7" s="8" t="s">
        <v>199</v>
      </c>
      <c r="B7" s="9" t="s">
        <v>165</v>
      </c>
      <c r="C7" s="35"/>
    </row>
    <row r="8" spans="1:6" x14ac:dyDescent="0.25">
      <c r="A8" s="8" t="s">
        <v>53</v>
      </c>
      <c r="B8" s="9" t="s">
        <v>166</v>
      </c>
      <c r="C8" s="35"/>
    </row>
    <row r="9" spans="1:6" x14ac:dyDescent="0.25">
      <c r="A9" s="8" t="s">
        <v>50</v>
      </c>
      <c r="B9" s="9" t="s">
        <v>167</v>
      </c>
      <c r="C9" s="35"/>
    </row>
    <row r="10" spans="1:6" x14ac:dyDescent="0.25">
      <c r="A10" s="8" t="s">
        <v>52</v>
      </c>
      <c r="B10" s="9" t="s">
        <v>168</v>
      </c>
      <c r="C10" s="35"/>
    </row>
    <row r="11" spans="1:6" x14ac:dyDescent="0.25">
      <c r="A11" s="8" t="s">
        <v>51</v>
      </c>
      <c r="B11" s="9" t="s">
        <v>169</v>
      </c>
      <c r="C11" s="35" t="s">
        <v>181</v>
      </c>
    </row>
    <row r="12" spans="1:6" x14ac:dyDescent="0.25">
      <c r="A12" s="8" t="s">
        <v>44</v>
      </c>
      <c r="B12" s="9" t="s">
        <v>170</v>
      </c>
      <c r="C12" s="35" t="s">
        <v>181</v>
      </c>
    </row>
    <row r="13" spans="1:6" ht="15.75" thickBot="1" x14ac:dyDescent="0.3">
      <c r="A13" s="10" t="s">
        <v>36</v>
      </c>
      <c r="B13" s="11" t="s">
        <v>171</v>
      </c>
      <c r="C13" s="36" t="s">
        <v>182</v>
      </c>
    </row>
    <row r="14" spans="1:6" x14ac:dyDescent="0.25">
      <c r="D14" s="40" t="s">
        <v>184</v>
      </c>
      <c r="E14" s="7"/>
      <c r="F14" s="37"/>
    </row>
    <row r="15" spans="1:6" x14ac:dyDescent="0.25">
      <c r="D15" s="38" t="s">
        <v>185</v>
      </c>
      <c r="E15" s="32" t="s">
        <v>180</v>
      </c>
      <c r="F15" s="39" t="s">
        <v>144</v>
      </c>
    </row>
    <row r="16" spans="1:6" x14ac:dyDescent="0.25">
      <c r="D16" s="8" t="s">
        <v>29</v>
      </c>
      <c r="E16" s="9" t="s">
        <v>18</v>
      </c>
      <c r="F16" s="35" t="s">
        <v>59</v>
      </c>
    </row>
    <row r="17" spans="4:6" x14ac:dyDescent="0.25">
      <c r="D17" s="8" t="s">
        <v>27</v>
      </c>
      <c r="E17" s="9" t="s">
        <v>19</v>
      </c>
      <c r="F17" s="35" t="s">
        <v>59</v>
      </c>
    </row>
    <row r="18" spans="4:6" x14ac:dyDescent="0.25">
      <c r="D18" s="8" t="s">
        <v>28</v>
      </c>
      <c r="E18" s="9" t="s">
        <v>174</v>
      </c>
      <c r="F18" s="35" t="s">
        <v>59</v>
      </c>
    </row>
    <row r="19" spans="4:6" x14ac:dyDescent="0.25">
      <c r="D19" s="8" t="s">
        <v>24</v>
      </c>
      <c r="E19" s="9" t="s">
        <v>175</v>
      </c>
      <c r="F19" s="35" t="s">
        <v>59</v>
      </c>
    </row>
    <row r="20" spans="4:6" x14ac:dyDescent="0.25">
      <c r="D20" s="8" t="s">
        <v>22</v>
      </c>
      <c r="E20" s="9" t="s">
        <v>16</v>
      </c>
      <c r="F20" s="35" t="s">
        <v>60</v>
      </c>
    </row>
    <row r="21" spans="4:6" x14ac:dyDescent="0.25">
      <c r="D21" s="8" t="s">
        <v>21</v>
      </c>
      <c r="E21" s="9" t="s">
        <v>177</v>
      </c>
      <c r="F21" s="35" t="s">
        <v>60</v>
      </c>
    </row>
    <row r="22" spans="4:6" x14ac:dyDescent="0.25">
      <c r="D22" s="8" t="s">
        <v>20</v>
      </c>
      <c r="E22" s="9" t="s">
        <v>13</v>
      </c>
      <c r="F22" s="35" t="s">
        <v>54</v>
      </c>
    </row>
    <row r="23" spans="4:6" x14ac:dyDescent="0.25">
      <c r="D23" s="8" t="s">
        <v>23</v>
      </c>
      <c r="E23" s="9" t="s">
        <v>178</v>
      </c>
      <c r="F23" s="35" t="s">
        <v>56</v>
      </c>
    </row>
    <row r="24" spans="4:6" x14ac:dyDescent="0.25">
      <c r="D24" s="8" t="s">
        <v>25</v>
      </c>
      <c r="E24" s="9" t="s">
        <v>179</v>
      </c>
      <c r="F24" s="35" t="s">
        <v>56</v>
      </c>
    </row>
    <row r="25" spans="4:6" x14ac:dyDescent="0.25">
      <c r="D25" s="8" t="s">
        <v>202</v>
      </c>
      <c r="E25" t="s">
        <v>198</v>
      </c>
      <c r="F25" s="35" t="s">
        <v>199</v>
      </c>
    </row>
    <row r="26" spans="4:6" ht="15.75" thickBot="1" x14ac:dyDescent="0.3">
      <c r="D26" s="10" t="s">
        <v>26</v>
      </c>
      <c r="E26" s="11" t="s">
        <v>14</v>
      </c>
      <c r="F26" s="36"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1613-6407-4C3D-8D8F-31C2039DE5C2}">
  <sheetPr codeName="Sheet23"/>
  <dimension ref="A1:S24"/>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0.5703125" bestFit="1" customWidth="1"/>
    <col min="2" max="2" width="30.5703125" bestFit="1" customWidth="1"/>
    <col min="3" max="3" width="5.140625" bestFit="1" customWidth="1"/>
    <col min="4" max="4" width="11.5703125" bestFit="1" customWidth="1"/>
    <col min="5" max="5" width="5.140625" bestFit="1" customWidth="1"/>
    <col min="6" max="6" width="9" bestFit="1" customWidth="1"/>
    <col min="7" max="8" width="11.5703125" bestFit="1" customWidth="1"/>
    <col min="9" max="9" width="19.28515625" customWidth="1"/>
    <col min="10" max="10" width="19.28515625" bestFit="1" customWidth="1"/>
    <col min="11" max="11" width="8.85546875" bestFit="1" customWidth="1"/>
    <col min="12" max="12" width="59.42578125" customWidth="1"/>
    <col min="13" max="13" width="7.7109375" style="52" bestFit="1" customWidth="1"/>
    <col min="14" max="14" width="8.7109375" style="52" customWidth="1"/>
    <col min="15" max="15" width="7.85546875" style="52" customWidth="1"/>
    <col min="16" max="16" width="10" style="52" customWidth="1"/>
    <col min="17" max="19" width="9.140625" style="52"/>
  </cols>
  <sheetData>
    <row r="1" spans="1:16" ht="30" x14ac:dyDescent="0.25">
      <c r="A1" s="31" t="s">
        <v>30</v>
      </c>
      <c r="B1" s="31" t="s">
        <v>153</v>
      </c>
      <c r="C1" s="31" t="s">
        <v>34</v>
      </c>
      <c r="D1" s="31" t="s">
        <v>33</v>
      </c>
      <c r="E1" s="31" t="s">
        <v>35</v>
      </c>
      <c r="F1" s="31" t="s">
        <v>32</v>
      </c>
      <c r="G1" s="31" t="s">
        <v>144</v>
      </c>
      <c r="H1" s="31" t="s">
        <v>146</v>
      </c>
      <c r="I1" s="45" t="str">
        <f>"Hedge Effectiveness "&amp;TEXT('Class NAVs'!B2,"ddd d mmm yyyy")</f>
        <v>Hedge Effectiveness Wed 4 Oct 2023</v>
      </c>
      <c r="J1" s="55" t="str">
        <f>"Hedge Effectiveness "&amp;TEXT('[1]Class NAVs'!$B$2,"ddd d mmm yyyy")</f>
        <v>Hedge Effectiveness Tue 3 Oct 2023</v>
      </c>
      <c r="K1" s="44" t="str">
        <f>HYPERLINK("\\PRE-CPT-FS\Profile-Documents$\PProfile Operations\Legal\Legal and Compliance Framework\Hilton\PFS Daily Compliance\2A - Fund Codes, Breach Register.xlsx","Team")</f>
        <v>Team</v>
      </c>
      <c r="L1" s="41" t="s">
        <v>172</v>
      </c>
      <c r="M1" s="56" t="str">
        <f>HYPERLINK("P:\Investment Operations\GRC\Compliance\PGF UCITS Share Class Hedges","Folder")</f>
        <v>Folder</v>
      </c>
      <c r="N1" s="52" t="s">
        <v>210</v>
      </c>
      <c r="O1" s="52" t="s">
        <v>211</v>
      </c>
      <c r="P1" s="34" t="str">
        <f>"\\PIM-CPT-FS.prescient.local\PIM-Documents$\Investment Operations\GRC\Compliance\PGF UCITS Share Class Hedges\"&amp;TEXT('Class NAVs'!B2,"yyyymmdd")&amp;" PGF Share Class Hedges.xlsx"</f>
        <v>\\PIM-CPT-FS.prescient.local\PIM-Documents$\Investment Operations\GRC\Compliance\PGF UCITS Share Class Hedges\20231004 PGF Share Class Hedges.xlsx</v>
      </c>
    </row>
    <row r="2" spans="1:16" x14ac:dyDescent="0.25">
      <c r="A2" s="28" t="s">
        <v>22</v>
      </c>
      <c r="B2" s="28" t="str">
        <f>_xlfn.XLOOKUP($A2,'Portfolio Valuation'!$AK:$AK,'Portfolio Valuation'!$A:$A)</f>
        <v>Prescient Global Income Provid</v>
      </c>
      <c r="C2" s="30" cm="1">
        <f t="array" ref="C2">MAX(0,SUMPRODUCT(('Portfolio Valuation'!$AK:$AK=$A2)*('Portfolio Valuation'!$W:$W=C$1),'Portfolio Valuation'!$L:$L))</f>
        <v>0</v>
      </c>
      <c r="D2" s="30" cm="1">
        <f t="array" ref="D2">MAX(0,SUMPRODUCT(('Portfolio Valuation'!$AK:$AK=$A2)*('Portfolio Valuation'!$W:$W=D$1),'Portfolio Valuation'!$L:$L))</f>
        <v>43941531.469999999</v>
      </c>
      <c r="E2" s="30" cm="1">
        <f t="array" ref="E2">MAX(0,SUMPRODUCT(('Portfolio Valuation'!$AK:$AK=$A2)*('Portfolio Valuation'!$W:$W=E$1),'Portfolio Valuation'!$L:$L))</f>
        <v>0</v>
      </c>
      <c r="F2" s="30" cm="1">
        <f t="array" ref="F2">MAX(0,SUMPRODUCT(('Portfolio Valuation'!$AK:$AK=$A2)*('Portfolio Valuation'!$W:$W=F$1),'Portfolio Valuation'!$L:$L))</f>
        <v>0</v>
      </c>
      <c r="G2" s="30" t="str">
        <f>SUBSTITUTE(_xlfn.XLOOKUP($A2,Static!$D:$D,Static!$F:$F),"_C","")</f>
        <v>PGPGIF</v>
      </c>
      <c r="H2" s="54">
        <f>SUMIF('Class NAVs'!$C:$C,_xlfn.XLOOKUP($A2,Static!$D:$D,Static!$E:$E),'Class NAVs'!$H:$H)</f>
        <v>43263314.409999996</v>
      </c>
      <c r="I2" s="50">
        <f t="shared" ref="I2:I8" si="0">IF(H2=0,"Inactive share class",SUM(C2:F2)/H2)</f>
        <v>1.0156764933350377</v>
      </c>
      <c r="J2" s="50">
        <f>_xlfn.XLOOKUP($A2,[1]Summary!$A:$A,[1]Summary!$I:$I)</f>
        <v>1.0161576502836283</v>
      </c>
      <c r="K2" t="str">
        <f>_xlfn.XLOOKUP($G2,[2]Funds!$A:$A,[2]Funds!$D:$D)</f>
        <v>FxdInt</v>
      </c>
      <c r="L2" t="str">
        <f>_xlfn.XLOOKUP(_xlfn.XLOOKUP($A2,Static!$D:$D,Static!$F:$F),Static!$A:$A,Static!$B:$B)&amp;" ("&amp;_xlfn.XLOOKUP($A2,Static!$D:$D,Static!$F:$F)&amp;")"</f>
        <v>Prescient Global Income Provider Fund (PGPGIF_C)</v>
      </c>
      <c r="M2" s="53" t="str">
        <f>IF(OR($I2&lt;0.95,$I2&gt;1.05),$G2&amp;" "&amp;RIGHT($A2,3)&amp;" class","")</f>
        <v/>
      </c>
      <c r="N2" s="52" t="str">
        <f>"PGF Share Class Hedging - "&amp;TEXT('Class NAVs'!B2,"dddd d mmmm yyyy")&amp;IF($M2=""," - ALL HEDGES ARE WITHIN THE REGULATORY LIMITS"," - "&amp;UPPER($M2)&amp;" IS "&amp;IF($I2&lt;0.95,"BELOW","ABOVE")&amp;" THE REGULATORY LIMIT")</f>
        <v>PGF Share Class Hedging - Wednesday 4 October 2023 - ALL HEDGES ARE WITHIN THE REGULATORY LIMITS</v>
      </c>
      <c r="O2" t="str">
        <f>"Please see below PIM's Prescient Global Funds share class hedges for "&amp;TEXT('Class NAVs'!B2,"dddd d mmmm yyyy")&amp;"; workings are stored here."&amp;IF($M2="",""," Please advise regarding the "&amp;$M2&amp;" breach.")</f>
        <v>Please see below PIM's Prescient Global Funds share class hedges for Wednesday 4 October 2023; workings are stored here.</v>
      </c>
    </row>
    <row r="3" spans="1:16" x14ac:dyDescent="0.25">
      <c r="A3" s="29" t="s">
        <v>29</v>
      </c>
      <c r="B3" s="28" t="str">
        <f>_xlfn.XLOOKUP($A3,'Portfolio Valuation'!$AK:$AK,'Portfolio Valuation'!$A:$A)</f>
        <v>Pos Return Fund USD Sec</v>
      </c>
      <c r="C3" s="30" cm="1">
        <f t="array" ref="C3">MAX(0,SUMPRODUCT(('Portfolio Valuation'!$AK:$AK=$A3)*('Portfolio Valuation'!$W:$W=C$1),'Portfolio Valuation'!$L:$L))</f>
        <v>0</v>
      </c>
      <c r="D3" s="30" cm="1">
        <f t="array" ref="D3">MAX(0,SUMPRODUCT(('Portfolio Valuation'!$AK:$AK=$A3)*('Portfolio Valuation'!$W:$W=D$1),'Portfolio Valuation'!$L:$L))</f>
        <v>0</v>
      </c>
      <c r="E3" s="30" cm="1">
        <f t="array" ref="E3">MAX(0,SUMPRODUCT(('Portfolio Valuation'!$AK:$AK=$A3)*('Portfolio Valuation'!$W:$W=E$1),'Portfolio Valuation'!$L:$L))</f>
        <v>0</v>
      </c>
      <c r="F3" s="30" cm="1">
        <f t="array" ref="F3">MAX(0,SUMPRODUCT(('Portfolio Valuation'!$AK:$AK=$A3)*('Portfolio Valuation'!$W:$W=F$1),'Portfolio Valuation'!$L:$L))</f>
        <v>230983.03</v>
      </c>
      <c r="G3" s="30" t="str">
        <f>SUBSTITUTE(_xlfn.XLOOKUP($A3,Static!$D:$D,Static!$F:$F),"_C","")</f>
        <v>PGPRF</v>
      </c>
      <c r="H3" s="30">
        <f>SUMIF('Class NAVs'!$C:$C,_xlfn.XLOOKUP($A3,Static!$D:$D,Static!$E:$E),'Class NAVs'!$H:$H)</f>
        <v>222951.81</v>
      </c>
      <c r="I3" s="50">
        <f t="shared" si="0"/>
        <v>1.0360222238159897</v>
      </c>
      <c r="J3" s="50">
        <f>_xlfn.XLOOKUP($A3,[1]Summary!$A:$A,[1]Summary!$I:$I)</f>
        <v>1.0363358002254859</v>
      </c>
      <c r="K3" t="str">
        <f>_xlfn.XLOOKUP($G3,[2]Funds!$A:$A,[2]Funds!$D:$D)</f>
        <v>MultAsst</v>
      </c>
      <c r="L3" t="str">
        <f>_xlfn.XLOOKUP(_xlfn.XLOOKUP($A3,Static!$D:$D,Static!$F:$F),Static!$A:$A,Static!$B:$B)&amp;" ("&amp;_xlfn.XLOOKUP($A3,Static!$D:$D,Static!$F:$F)&amp;")"</f>
        <v>Prescient Global Positive Return Fund (PGPRF_C)</v>
      </c>
      <c r="M3" s="53" t="str">
        <f t="shared" ref="M3:M8" si="1">IF(OR($I3&lt;0.95,$I3&gt;1.05),$G3&amp;" "&amp;RIGHT($A3,3)&amp;" class","")</f>
        <v/>
      </c>
      <c r="N3" s="52" t="str">
        <f>"PGF Share Class Hedging - "&amp;TEXT('Class NAVs'!B2,"dddd d mmmm yyyy")&amp;IF($M3=""," - ALL HEDGES ARE WITHIN THE REGULATORY LIMITS"," - "&amp;UPPER($M3)&amp;" IS "&amp;IF($I3&lt;0.95,"BELOW","ABOVE")&amp;" THE REGULATORY LIMIT")</f>
        <v>PGF Share Class Hedging - Wednesday 4 October 2023 - ALL HEDGES ARE WITHIN THE REGULATORY LIMITS</v>
      </c>
      <c r="O3" t="str">
        <f>"Please see below PIM's Prescient Global Funds share class hedges for "&amp;TEXT('Class NAVs'!B3,"dddd d mmmm yyyy")&amp;"; workings are stored here."&amp;IF($M3="",""," Please advise regarding the "&amp;$M3&amp;" breach.")</f>
        <v>Please see below PIM's Prescient Global Funds share class hedges for Wednesday 4 October 2023; workings are stored here.</v>
      </c>
    </row>
    <row r="4" spans="1:16" x14ac:dyDescent="0.25">
      <c r="A4" s="29" t="s">
        <v>27</v>
      </c>
      <c r="B4" s="28" t="str">
        <f>_xlfn.XLOOKUP($A4,'Portfolio Valuation'!$AK:$AK,'Portfolio Valuation'!$A:$A)</f>
        <v>Pos Return Fund ZAR Sec</v>
      </c>
      <c r="C4" s="30" cm="1">
        <f t="array" ref="C4">MAX(0,SUMPRODUCT(('Portfolio Valuation'!$AK:$AK=$A4)*('Portfolio Valuation'!$W:$W=C$1),'Portfolio Valuation'!$L:$L))</f>
        <v>0</v>
      </c>
      <c r="D4" s="30" cm="1">
        <f t="array" ref="D4">MAX(0,SUMPRODUCT(('Portfolio Valuation'!$AK:$AK=$A4)*('Portfolio Valuation'!$W:$W=D$1),'Portfolio Valuation'!$L:$L))</f>
        <v>3350094.94</v>
      </c>
      <c r="E4" s="30" cm="1">
        <f t="array" ref="E4">MAX(0,SUMPRODUCT(('Portfolio Valuation'!$AK:$AK=$A4)*('Portfolio Valuation'!$W:$W=E$1),'Portfolio Valuation'!$L:$L))</f>
        <v>0</v>
      </c>
      <c r="F4" s="30" cm="1">
        <f t="array" ref="F4">MAX(0,SUMPRODUCT(('Portfolio Valuation'!$AK:$AK=$A4)*('Portfolio Valuation'!$W:$W=F$1),'Portfolio Valuation'!$L:$L))</f>
        <v>0</v>
      </c>
      <c r="G4" s="30" t="str">
        <f>SUBSTITUTE(_xlfn.XLOOKUP($A4,Static!$D:$D,Static!$F:$F),"_C","")</f>
        <v>PGPRF</v>
      </c>
      <c r="H4" s="30">
        <f>SUMIF('Class NAVs'!$C:$C,_xlfn.XLOOKUP($A4,Static!$D:$D,Static!$E:$E),'Class NAVs'!$H:$H)</f>
        <v>3280284.74</v>
      </c>
      <c r="I4" s="50">
        <f t="shared" si="0"/>
        <v>1.021281750071489</v>
      </c>
      <c r="J4" s="50">
        <f>_xlfn.XLOOKUP($A4,[1]Summary!$A:$A,[1]Summary!$I:$I)</f>
        <v>1.0215677047912464</v>
      </c>
      <c r="K4" t="str">
        <f>_xlfn.XLOOKUP($G4,[2]Funds!$A:$A,[2]Funds!$D:$D)</f>
        <v>MultAsst</v>
      </c>
      <c r="L4" t="str">
        <f>_xlfn.XLOOKUP(_xlfn.XLOOKUP($A4,Static!$D:$D,Static!$F:$F),Static!$A:$A,Static!$B:$B)&amp;" ("&amp;_xlfn.XLOOKUP($A4,Static!$D:$D,Static!$F:$F)&amp;")"</f>
        <v>Prescient Global Positive Return Fund (PGPRF_C)</v>
      </c>
      <c r="M4" s="53" t="str">
        <f t="shared" si="1"/>
        <v/>
      </c>
      <c r="N4" s="52" t="str">
        <f>"PGF Share Class Hedging - "&amp;TEXT('Class NAVs'!B2,"dddd d mmmm yyyy")&amp;IF($M4=""," - ALL HEDGES ARE WITHIN THE REGULATORY LIMITS"," - "&amp;UPPER($M4)&amp;" IS "&amp;IF($I4&lt;0.95,"BELOW","ABOVE")&amp;" THE REGULATORY LIMIT")</f>
        <v>PGF Share Class Hedging - Wednesday 4 October 2023 - ALL HEDGES ARE WITHIN THE REGULATORY LIMITS</v>
      </c>
      <c r="O4" t="str">
        <f>"Please see below PIM's Prescient Global Funds share class hedges for "&amp;TEXT('Class NAVs'!B4,"dddd d mmmm yyyy")&amp;"; workings are stored here."&amp;IF($M4="",""," Please advise regarding the "&amp;$M4&amp;" breach.")</f>
        <v>Please see below PIM's Prescient Global Funds share class hedges for Wednesday 4 October 2023; workings are stored here.</v>
      </c>
    </row>
    <row r="5" spans="1:16" x14ac:dyDescent="0.25">
      <c r="A5" s="29" t="s">
        <v>26</v>
      </c>
      <c r="B5" s="28" t="str">
        <f>_xlfn.XLOOKUP($A5,'Portfolio Valuation'!$AK:$AK,'Portfolio Valuation'!$A:$A)</f>
        <v>Prescient Global Balanced Zar</v>
      </c>
      <c r="C5" s="30" cm="1">
        <f t="array" ref="C5">MAX(0,SUMPRODUCT(('Portfolio Valuation'!$AK:$AK=$A5)*('Portfolio Valuation'!$W:$W=C$1),'Portfolio Valuation'!$L:$L))</f>
        <v>0</v>
      </c>
      <c r="D5" s="30" cm="1">
        <f t="array" ref="D5">MAX(0,SUMPRODUCT(('Portfolio Valuation'!$AK:$AK=$A5)*('Portfolio Valuation'!$W:$W=D$1),'Portfolio Valuation'!$L:$L))</f>
        <v>22991426.859999999</v>
      </c>
      <c r="E5" s="30" cm="1">
        <f t="array" ref="E5">MAX(0,SUMPRODUCT(('Portfolio Valuation'!$AK:$AK=$A5)*('Portfolio Valuation'!$W:$W=E$1),'Portfolio Valuation'!$L:$L))</f>
        <v>0</v>
      </c>
      <c r="F5" s="30" cm="1">
        <f t="array" ref="F5">MAX(0,SUMPRODUCT(('Portfolio Valuation'!$AK:$AK=$A5)*('Portfolio Valuation'!$W:$W=F$1),'Portfolio Valuation'!$L:$L))</f>
        <v>0</v>
      </c>
      <c r="G5" s="30" t="str">
        <f>SUBSTITUTE(_xlfn.XLOOKUP($A5,Static!$D:$D,Static!$F:$F),"_C","")</f>
        <v>PGPGBF</v>
      </c>
      <c r="H5" s="30">
        <f>SUMIF('Class NAVs'!$C:$C,_xlfn.XLOOKUP($A5,Static!$D:$D,Static!$E:$E),'Class NAVs'!$H:$H)</f>
        <v>22589967.359999999</v>
      </c>
      <c r="I5" s="50">
        <f t="shared" si="0"/>
        <v>1.0177715838895307</v>
      </c>
      <c r="J5" s="50">
        <f>_xlfn.XLOOKUP($A5,[1]Summary!$A:$A,[1]Summary!$I:$I)</f>
        <v>1.0186197222246109</v>
      </c>
      <c r="K5" t="str">
        <f>_xlfn.XLOOKUP($G5,[2]Funds!$A:$A,[2]Funds!$D:$D)</f>
        <v>MultAsst</v>
      </c>
      <c r="L5" t="str">
        <f>_xlfn.XLOOKUP(_xlfn.XLOOKUP($A5,Static!$D:$D,Static!$F:$F),Static!$A:$A,Static!$B:$B)&amp;" ("&amp;_xlfn.XLOOKUP($A5,Static!$D:$D,Static!$F:$F)&amp;")"</f>
        <v>Prescient Global Balanced Fund (PGPGBF_C)</v>
      </c>
      <c r="M5" s="53" t="str">
        <f t="shared" si="1"/>
        <v/>
      </c>
      <c r="N5" s="52" t="str">
        <f>"PGF Share Class Hedging - "&amp;TEXT('Class NAVs'!B2,"dddd d mmmm yyyy")&amp;IF($M5=""," - ALL HEDGES ARE WITHIN THE REGULATORY LIMITS"," - "&amp;UPPER($M5)&amp;" IS "&amp;IF($I5&lt;0.95,"BELOW","ABOVE")&amp;" THE REGULATORY LIMIT")</f>
        <v>PGF Share Class Hedging - Wednesday 4 October 2023 - ALL HEDGES ARE WITHIN THE REGULATORY LIMITS</v>
      </c>
      <c r="O5" t="str">
        <f>"Please see below PIM's Prescient Global Funds share class hedges for "&amp;TEXT('Class NAVs'!B5,"dddd d mmmm yyyy")&amp;"; workings are stored here."&amp;IF($M5="",""," Please advise regarding the "&amp;$M5&amp;" breach.")</f>
        <v>Please see below PIM's Prescient Global Funds share class hedges for Wednesday 4 October 2023; workings are stored here.</v>
      </c>
    </row>
    <row r="6" spans="1:16" x14ac:dyDescent="0.25">
      <c r="A6" s="29" t="s">
        <v>202</v>
      </c>
      <c r="B6" s="28" t="str">
        <f>_xlfn.XLOOKUP($A6,'Portfolio Valuation'!$AK:$AK,'Portfolio Valuation'!$A:$A)</f>
        <v>PIM Core Global Emerging Marke</v>
      </c>
      <c r="C6" s="30" cm="1">
        <f t="array" ref="C6">MAX(0,SUMPRODUCT(('Portfolio Valuation'!$AK:$AK=$A6)*('Portfolio Valuation'!$W:$W=C$1),'Portfolio Valuation'!$L:$L))</f>
        <v>0</v>
      </c>
      <c r="D6" s="30" cm="1">
        <f t="array" ref="D6">MAX(0,SUMPRODUCT(('Portfolio Valuation'!$AK:$AK=$A6)*('Portfolio Valuation'!$W:$W=D$1),'Portfolio Valuation'!$L:$L))</f>
        <v>12471948.93</v>
      </c>
      <c r="E6" s="30" cm="1">
        <f t="array" ref="E6">MAX(0,SUMPRODUCT(('Portfolio Valuation'!$AK:$AK=$A6)*('Portfolio Valuation'!$W:$W=E$1),'Portfolio Valuation'!$L:$L))</f>
        <v>0</v>
      </c>
      <c r="F6" s="30" cm="1">
        <f t="array" ref="F6">MAX(0,SUMPRODUCT(('Portfolio Valuation'!$AK:$AK=$A6)*('Portfolio Valuation'!$W:$W=F$1),'Portfolio Valuation'!$L:$L))</f>
        <v>0</v>
      </c>
      <c r="G6" s="30" t="str">
        <f>SUBSTITUTE(_xlfn.XLOOKUP($A6,Static!$D:$D,Static!$F:$F),"_C","")</f>
        <v>PGPCEM</v>
      </c>
      <c r="H6" s="30">
        <f>SUMIF('Class NAVs'!$C:$C,_xlfn.XLOOKUP($A6,Static!$D:$D,Static!$E:$E),'Class NAVs'!$H:$H)</f>
        <v>12134816.9</v>
      </c>
      <c r="I6" s="50">
        <f t="shared" si="0"/>
        <v>1.0277822098823757</v>
      </c>
      <c r="J6" s="50">
        <f>_xlfn.XLOOKUP($A6,[1]Summary!$A:$A,[1]Summary!$I:$I)</f>
        <v>1.0209124181136555</v>
      </c>
      <c r="K6" t="str">
        <f>_xlfn.XLOOKUP($G6,[2]Funds!$A:$A,[2]Funds!$D:$D)</f>
        <v>Eqty</v>
      </c>
      <c r="L6" t="str">
        <f>_xlfn.XLOOKUP(_xlfn.XLOOKUP($A6,Static!$D:$D,Static!$F:$F),Static!$A:$A,Static!$B:$B)&amp;" ("&amp;_xlfn.XLOOKUP($A6,Static!$D:$D,Static!$F:$F)&amp;")"</f>
        <v>Prescient Core Global Emerging Markets Equity Fund (PGPCEM_C)</v>
      </c>
      <c r="M6" s="53" t="str">
        <f t="shared" si="1"/>
        <v/>
      </c>
      <c r="N6" s="52" t="str">
        <f>"PGF Share Class Hedging - "&amp;TEXT('Class NAVs'!B2,"dddd d mmmm yyyy")&amp;IF($M6=""," - ALL HEDGES ARE WITHIN THE REGULATORY LIMITS"," - "&amp;UPPER($M6)&amp;" IS "&amp;IF($I6&lt;0.95,"BELOW","ABOVE")&amp;" THE REGULATORY LIMIT")</f>
        <v>PGF Share Class Hedging - Wednesday 4 October 2023 - ALL HEDGES ARE WITHIN THE REGULATORY LIMITS</v>
      </c>
      <c r="O6" t="str">
        <f>"Please see below PIM's Prescient Global Funds share class hedges for "&amp;TEXT('Class NAVs'!B6,"dddd d mmmm yyyy")&amp;"; workings are stored here."&amp;IF($M6="",""," Please advise regarding the "&amp;$M6&amp;" breach.")</f>
        <v>Please see below PIM's Prescient Global Funds share class hedges for Wednesday 4 October 2023; workings are stored here.</v>
      </c>
    </row>
    <row r="7" spans="1:16" x14ac:dyDescent="0.25">
      <c r="A7" s="29" t="s">
        <v>20</v>
      </c>
      <c r="B7" s="28" t="str">
        <f>_xlfn.XLOOKUP($A7,'Portfolio Valuation'!$AK:$AK,'Portfolio Valuation'!$A:$A)</f>
        <v>Prescient Core Global Equity Z</v>
      </c>
      <c r="C7" s="30" cm="1">
        <f t="array" ref="C7">MAX(0,SUMPRODUCT(('Portfolio Valuation'!$AK:$AK=$A7)*('Portfolio Valuation'!$W:$W=C$1),'Portfolio Valuation'!$L:$L))</f>
        <v>0</v>
      </c>
      <c r="D7" s="30" cm="1">
        <f t="array" ref="D7">MAX(0,SUMPRODUCT(('Portfolio Valuation'!$AK:$AK=$A7)*('Portfolio Valuation'!$W:$W=D$1),'Portfolio Valuation'!$L:$L))</f>
        <v>18091982.43</v>
      </c>
      <c r="E7" s="30" cm="1">
        <f t="array" ref="E7">MAX(0,SUMPRODUCT(('Portfolio Valuation'!$AK:$AK=$A7)*('Portfolio Valuation'!$W:$W=E$1),'Portfolio Valuation'!$L:$L))</f>
        <v>0</v>
      </c>
      <c r="F7" s="30" cm="1">
        <f t="array" ref="F7">MAX(0,SUMPRODUCT(('Portfolio Valuation'!$AK:$AK=$A7)*('Portfolio Valuation'!$W:$W=F$1),'Portfolio Valuation'!$L:$L))</f>
        <v>0</v>
      </c>
      <c r="G7" s="30" t="str">
        <f>SUBSTITUTE(_xlfn.XLOOKUP($A7,Static!$D:$D,Static!$F:$F),"_C","")</f>
        <v>PGPCGE</v>
      </c>
      <c r="H7" s="30">
        <f>SUMIF('Class NAVs'!$C:$C,_xlfn.XLOOKUP($A7,Static!$D:$D,Static!$E:$E),'Class NAVs'!$H:$H)</f>
        <v>17666275.149999999</v>
      </c>
      <c r="I7" s="50">
        <f t="shared" si="0"/>
        <v>1.0240971725157355</v>
      </c>
      <c r="J7" s="50">
        <f>_xlfn.XLOOKUP($A7,[1]Summary!$A:$A,[1]Summary!$I:$I)</f>
        <v>1.025864103671873</v>
      </c>
      <c r="K7" t="str">
        <f>_xlfn.XLOOKUP($G7,[2]Funds!$A:$A,[2]Funds!$D:$D)</f>
        <v>Eqty</v>
      </c>
      <c r="L7" t="str">
        <f>_xlfn.XLOOKUP(_xlfn.XLOOKUP($A7,Static!$D:$D,Static!$F:$F),Static!$A:$A,Static!$B:$B)&amp;" ("&amp;_xlfn.XLOOKUP($A7,Static!$D:$D,Static!$F:$F)&amp;")"</f>
        <v>Prescient Core Global Equity Fund (PGPCGE_C)</v>
      </c>
      <c r="M7" s="53" t="str">
        <f t="shared" si="1"/>
        <v/>
      </c>
      <c r="N7" s="52" t="str">
        <f>"PGF Share Class Hedging - "&amp;TEXT('Class NAVs'!B2,"dddd d mmmm yyyy")&amp;IF($M7=""," - ALL HEDGES ARE WITHIN THE REGULATORY LIMITS"," - "&amp;UPPER($M7)&amp;" IS "&amp;IF($I7&lt;0.95,"BELOW","ABOVE")&amp;" THE REGULATORY LIMIT")</f>
        <v>PGF Share Class Hedging - Wednesday 4 October 2023 - ALL HEDGES ARE WITHIN THE REGULATORY LIMITS</v>
      </c>
      <c r="O7" t="str">
        <f>"Please see below PIM's Prescient Global Funds share class hedges for "&amp;TEXT('Class NAVs'!B7,"dddd d mmmm yyyy")&amp;"; workings are stored here."&amp;IF($M7="",""," Please advise regarding the "&amp;$M7&amp;" breach.")</f>
        <v>Please see below PIM's Prescient Global Funds share class hedges for Wednesday 4 October 2023; workings are stored here.</v>
      </c>
    </row>
    <row r="8" spans="1:16" x14ac:dyDescent="0.25">
      <c r="A8" s="29" t="s">
        <v>21</v>
      </c>
      <c r="B8" s="28" t="str">
        <f>_xlfn.XLOOKUP($A8,'Portfolio Valuation'!$AK:$AK,'Portfolio Valuation'!$A:$A)</f>
        <v>PIM Global Income Provider Cla</v>
      </c>
      <c r="C8" s="30" cm="1">
        <f t="array" ref="C8">MAX(0,SUMPRODUCT(('Portfolio Valuation'!$AK:$AK=$A8)*('Portfolio Valuation'!$W:$W=C$1),'Portfolio Valuation'!$L:$L))</f>
        <v>0</v>
      </c>
      <c r="D8" s="30" cm="1">
        <f t="array" ref="D8">MAX(0,SUMPRODUCT(('Portfolio Valuation'!$AK:$AK=$A8)*('Portfolio Valuation'!$W:$W=D$1),'Portfolio Valuation'!$L:$L))</f>
        <v>7721436.5199999996</v>
      </c>
      <c r="E8" s="30" cm="1">
        <f t="array" ref="E8">MAX(0,SUMPRODUCT(('Portfolio Valuation'!$AK:$AK=$A8)*('Portfolio Valuation'!$W:$W=E$1),'Portfolio Valuation'!$L:$L))</f>
        <v>0</v>
      </c>
      <c r="F8" s="30" cm="1">
        <f t="array" ref="F8">MAX(0,SUMPRODUCT(('Portfolio Valuation'!$AK:$AK=$A8)*('Portfolio Valuation'!$W:$W=F$1),'Portfolio Valuation'!$L:$L))</f>
        <v>0</v>
      </c>
      <c r="G8" s="30" t="str">
        <f>SUBSTITUTE(_xlfn.XLOOKUP($A8,Static!$D:$D,Static!$F:$F),"_C","")</f>
        <v>PGPGIF</v>
      </c>
      <c r="H8" s="30">
        <f>SUMIF('Class NAVs'!$C:$C,_xlfn.XLOOKUP($A8,Static!$D:$D,Static!$E:$E),'Class NAVs'!$H:$H)</f>
        <v>7829324.4900000002</v>
      </c>
      <c r="I8" s="50">
        <f t="shared" si="0"/>
        <v>0.98622001551502936</v>
      </c>
      <c r="J8" s="50">
        <f>_xlfn.XLOOKUP($A8,[1]Summary!$A:$A,[1]Summary!$I:$I)</f>
        <v>0.98676905511872814</v>
      </c>
      <c r="K8" t="str">
        <f>_xlfn.XLOOKUP($G8,[2]Funds!$A:$A,[2]Funds!$D:$D)</f>
        <v>FxdInt</v>
      </c>
      <c r="L8" t="str">
        <f>_xlfn.XLOOKUP(_xlfn.XLOOKUP($A8,Static!$D:$D,Static!$F:$F),Static!$A:$A,Static!$B:$B)&amp;" ("&amp;_xlfn.XLOOKUP($A8,Static!$D:$D,Static!$F:$F)&amp;")"</f>
        <v>Prescient Global Income Provider Fund (PGPGIF_C)</v>
      </c>
      <c r="M8" s="53" t="str">
        <f t="shared" si="1"/>
        <v/>
      </c>
      <c r="N8" s="52" t="str">
        <f>"PGF Share Class Hedging - "&amp;TEXT('Class NAVs'!B2,"dddd d mmmm yyyy")&amp;IF($M8=""," - ALL HEDGES ARE WITHIN THE REGULATORY LIMITS"," - "&amp;UPPER($M8)&amp;" IS "&amp;IF($I8&lt;0.95,"BELOW","ABOVE")&amp;" THE REGULATORY LIMIT")</f>
        <v>PGF Share Class Hedging - Wednesday 4 October 2023 - ALL HEDGES ARE WITHIN THE REGULATORY LIMITS</v>
      </c>
      <c r="O8" t="str">
        <f>"Please see below PIM's Prescient Global Funds share class hedges for "&amp;TEXT('Class NAVs'!B8,"dddd d mmmm yyyy")&amp;"; workings are stored here."&amp;IF($M8="",""," Please advise regarding the "&amp;$M8&amp;" breach.")</f>
        <v>Please see below PIM's Prescient Global Funds share class hedges for Wednesday 4 October 2023; workings are stored here.</v>
      </c>
    </row>
    <row r="9" spans="1:16" hidden="1" x14ac:dyDescent="0.25">
      <c r="A9" s="28" t="s">
        <v>28</v>
      </c>
      <c r="B9" s="28" t="str">
        <f>_xlfn.XLOOKUP($A9,'Portfolio Valuation'!$AK:$AK,'Portfolio Valuation'!$A:$A)</f>
        <v>Positive Return Fund Class I (</v>
      </c>
      <c r="C9" s="30" cm="1">
        <f t="array" ref="C9">MAX(0,SUMPRODUCT(('Portfolio Valuation'!$AK:$AK=$A9)*('Portfolio Valuation'!$W:$W=C$1),'Portfolio Valuation'!$L:$L))</f>
        <v>0</v>
      </c>
      <c r="D9" s="30" cm="1">
        <f t="array" ref="D9">MAX(0,SUMPRODUCT(('Portfolio Valuation'!$AK:$AK=$A9)*('Portfolio Valuation'!$W:$W=D$1),'Portfolio Valuation'!$L:$L))</f>
        <v>0</v>
      </c>
      <c r="E9" s="30" cm="1">
        <f t="array" ref="E9">MAX(0,SUMPRODUCT(('Portfolio Valuation'!$AK:$AK=$A9)*('Portfolio Valuation'!$W:$W=E$1),'Portfolio Valuation'!$L:$L))</f>
        <v>0</v>
      </c>
      <c r="F9" s="30" cm="1">
        <f t="array" ref="F9">MAX(0,SUMPRODUCT(('Portfolio Valuation'!$AK:$AK=$A9)*('Portfolio Valuation'!$W:$W=F$1),'Portfolio Valuation'!$L:$L))</f>
        <v>0</v>
      </c>
      <c r="G9" s="30" t="str">
        <f>_xlfn.XLOOKUP($A9,Static!$D:$D,Static!$F:$F)</f>
        <v>PGPRF_C</v>
      </c>
      <c r="H9" s="30">
        <f>SUMIF('Class NAVs'!$C:$C,_xlfn.XLOOKUP($A9,Static!$D:$D,Static!$E:$E),'Class NAVs'!$H:$H)</f>
        <v>0</v>
      </c>
      <c r="I9" s="27" t="str">
        <f t="shared" ref="I9:I12" si="2">IF(H9=0,"Inactive share class",SUM(C9:F9)/H9)</f>
        <v>Inactive share class</v>
      </c>
      <c r="J9" s="50" t="str">
        <f>_xlfn.XLOOKUP($A9,[1]Summary!$A:$A,[1]Summary!$I:$I)</f>
        <v>Inactive share class</v>
      </c>
      <c r="K9" t="str">
        <f>_xlfn.XLOOKUP($G9,[2]Funds!$A:$A,[2]Funds!$D:$D)</f>
        <v>MultAsst</v>
      </c>
      <c r="L9" t="str">
        <f>_xlfn.XLOOKUP(_xlfn.XLOOKUP($A9,Static!$D:$D,Static!$F:$F),Static!$A:$A,Static!$B:$B)&amp;" ("&amp;_xlfn.XLOOKUP($A9,Static!$D:$D,Static!$F:$F)&amp;")"</f>
        <v>Prescient Global Positive Return Fund (PGPRF_C)</v>
      </c>
      <c r="N9" s="52" t="str">
        <f>"PGF Share Class Hedging - "&amp;TEXT('Class NAVs'!B2,"dddd d mmmm yyyy")&amp;IF($M9="",""," - "&amp;UPPER($M9)&amp;" IS "&amp;IF($I9&lt;0.95,"BELOW","ABOVE")&amp;" THE REGULATORY LIMIT")</f>
        <v>PGF Share Class Hedging - Wednesday 4 October 2023</v>
      </c>
    </row>
    <row r="10" spans="1:16" hidden="1" x14ac:dyDescent="0.25">
      <c r="A10" s="28" t="s">
        <v>24</v>
      </c>
      <c r="B10" s="28" t="str">
        <f>_xlfn.XLOOKUP($A10,'Portfolio Valuation'!$AK:$AK,'Portfolio Valuation'!$A:$A)</f>
        <v>Pos Return Fund GBP Sec</v>
      </c>
      <c r="C10" s="30" cm="1">
        <f t="array" ref="C10">MAX(0,SUMPRODUCT(('Portfolio Valuation'!$AK:$AK=$A10)*('Portfolio Valuation'!$W:$W=C$1),'Portfolio Valuation'!$L:$L))</f>
        <v>0</v>
      </c>
      <c r="D10" s="30" cm="1">
        <f t="array" ref="D10">MAX(0,SUMPRODUCT(('Portfolio Valuation'!$AK:$AK=$A10)*('Portfolio Valuation'!$W:$W=D$1),'Portfolio Valuation'!$L:$L))</f>
        <v>0</v>
      </c>
      <c r="E10" s="30" cm="1">
        <f t="array" ref="E10">MAX(0,SUMPRODUCT(('Portfolio Valuation'!$AK:$AK=$A10)*('Portfolio Valuation'!$W:$W=E$1),'Portfolio Valuation'!$L:$L))</f>
        <v>0</v>
      </c>
      <c r="F10" s="30" cm="1">
        <f t="array" ref="F10">MAX(0,SUMPRODUCT(('Portfolio Valuation'!$AK:$AK=$A10)*('Portfolio Valuation'!$W:$W=F$1),'Portfolio Valuation'!$L:$L))</f>
        <v>0</v>
      </c>
      <c r="G10" s="30" t="str">
        <f>_xlfn.XLOOKUP($A10,Static!$D:$D,Static!$F:$F)</f>
        <v>PGPRF_C</v>
      </c>
      <c r="H10" s="30">
        <f>SUMIF('Class NAVs'!$C:$C,_xlfn.XLOOKUP($A10,Static!$D:$D,Static!$E:$E),'Class NAVs'!$H:$H)</f>
        <v>0</v>
      </c>
      <c r="I10" s="27" t="str">
        <f t="shared" si="2"/>
        <v>Inactive share class</v>
      </c>
      <c r="J10" s="50" t="str">
        <f>_xlfn.XLOOKUP($A10,[1]Summary!$A:$A,[1]Summary!$I:$I)</f>
        <v>Inactive share class</v>
      </c>
      <c r="K10" t="str">
        <f>_xlfn.XLOOKUP($G10,[2]Funds!$A:$A,[2]Funds!$D:$D)</f>
        <v>MultAsst</v>
      </c>
      <c r="L10" t="str">
        <f>_xlfn.XLOOKUP(_xlfn.XLOOKUP($A10,Static!$D:$D,Static!$F:$F),Static!$A:$A,Static!$B:$B)&amp;" ("&amp;_xlfn.XLOOKUP($A10,Static!$D:$D,Static!$F:$F)&amp;")"</f>
        <v>Prescient Global Positive Return Fund (PGPRF_C)</v>
      </c>
      <c r="N10" s="52" t="str">
        <f>"PGF Share Class Hedging - "&amp;TEXT('Class NAVs'!B2,"dddd d mmmm yyyy")&amp;IF($M10="",""," - "&amp;UPPER($M10)&amp;" IS "&amp;IF($I10&lt;0.95,"BELOW","ABOVE")&amp;" THE REGULATORY LIMIT")</f>
        <v>PGF Share Class Hedging - Wednesday 4 October 2023</v>
      </c>
    </row>
    <row r="11" spans="1:16" hidden="1" x14ac:dyDescent="0.25">
      <c r="A11" s="29" t="s">
        <v>23</v>
      </c>
      <c r="B11" s="28" t="str">
        <f>_xlfn.XLOOKUP($A11,'Portfolio Valuation'!$AK:$AK,'Portfolio Valuation'!$A:$A)</f>
        <v>Prescient Global Balanced EUR</v>
      </c>
      <c r="C11" s="30" cm="1">
        <f t="array" ref="C11">MAX(0,SUMPRODUCT(('Portfolio Valuation'!$AK:$AK=$A11)*('Portfolio Valuation'!$W:$W=C$1),'Portfolio Valuation'!$L:$L))</f>
        <v>0</v>
      </c>
      <c r="D11" s="30" cm="1">
        <f t="array" ref="D11">MAX(0,SUMPRODUCT(('Portfolio Valuation'!$AK:$AK=$A11)*('Portfolio Valuation'!$W:$W=D$1),'Portfolio Valuation'!$L:$L))</f>
        <v>0</v>
      </c>
      <c r="E11" s="30" cm="1">
        <f t="array" ref="E11">MAX(0,SUMPRODUCT(('Portfolio Valuation'!$AK:$AK=$A11)*('Portfolio Valuation'!$W:$W=E$1),'Portfolio Valuation'!$L:$L))</f>
        <v>0</v>
      </c>
      <c r="F11" s="30" cm="1">
        <f t="array" ref="F11">MAX(0,SUMPRODUCT(('Portfolio Valuation'!$AK:$AK=$A11)*('Portfolio Valuation'!$W:$W=F$1),'Portfolio Valuation'!$L:$L))</f>
        <v>0</v>
      </c>
      <c r="G11" s="30" t="str">
        <f>_xlfn.XLOOKUP($A11,Static!$D:$D,Static!$F:$F)</f>
        <v>PGPGBF_C</v>
      </c>
      <c r="H11" s="30">
        <f>SUMIF('Class NAVs'!$C:$C,_xlfn.XLOOKUP($A11,Static!$D:$D,Static!$E:$E),'Class NAVs'!$H:$H)</f>
        <v>0</v>
      </c>
      <c r="I11" s="27" t="str">
        <f t="shared" si="2"/>
        <v>Inactive share class</v>
      </c>
      <c r="J11" s="50" t="str">
        <f>_xlfn.XLOOKUP($A11,[1]Summary!$A:$A,[1]Summary!$I:$I)</f>
        <v>Inactive share class</v>
      </c>
      <c r="K11" t="str">
        <f>_xlfn.XLOOKUP($G11,[2]Funds!$A:$A,[2]Funds!$D:$D)</f>
        <v>MultAsst</v>
      </c>
      <c r="L11" t="str">
        <f>_xlfn.XLOOKUP(_xlfn.XLOOKUP($A11,Static!$D:$D,Static!$F:$F),Static!$A:$A,Static!$B:$B)&amp;" ("&amp;_xlfn.XLOOKUP($A11,Static!$D:$D,Static!$F:$F)&amp;")"</f>
        <v>Prescient Global Balanced Fund (PGPGBF_C)</v>
      </c>
      <c r="N11" s="52" t="str">
        <f>"PGF Share Class Hedging - "&amp;TEXT('Class NAVs'!B2,"dddd d mmmm yyyy")&amp;IF($M11="",""," - "&amp;UPPER($M11)&amp;" IS "&amp;IF($I11&lt;0.95,"BELOW","ABOVE")&amp;" THE REGULATORY LIMIT")</f>
        <v>PGF Share Class Hedging - Wednesday 4 October 2023</v>
      </c>
    </row>
    <row r="12" spans="1:16" hidden="1" x14ac:dyDescent="0.25">
      <c r="A12" s="28" t="s">
        <v>25</v>
      </c>
      <c r="B12" s="28" t="str">
        <f>_xlfn.XLOOKUP($A12,'Portfolio Valuation'!$AK:$AK,'Portfolio Valuation'!$A:$A)</f>
        <v>Prescient Global Balanced GBP</v>
      </c>
      <c r="C12" s="30" cm="1">
        <f t="array" ref="C12">MAX(0,SUMPRODUCT(('Portfolio Valuation'!$AK:$AK=$A12)*('Portfolio Valuation'!$W:$W=C$1),'Portfolio Valuation'!$L:$L))</f>
        <v>0</v>
      </c>
      <c r="D12" s="30" cm="1">
        <f t="array" ref="D12">MAX(0,SUMPRODUCT(('Portfolio Valuation'!$AK:$AK=$A12)*('Portfolio Valuation'!$W:$W=D$1),'Portfolio Valuation'!$L:$L))</f>
        <v>0</v>
      </c>
      <c r="E12" s="30" cm="1">
        <f t="array" ref="E12">MAX(0,SUMPRODUCT(('Portfolio Valuation'!$AK:$AK=$A12)*('Portfolio Valuation'!$W:$W=E$1),'Portfolio Valuation'!$L:$L))</f>
        <v>0</v>
      </c>
      <c r="F12" s="30" cm="1">
        <f t="array" ref="F12">MAX(0,SUMPRODUCT(('Portfolio Valuation'!$AK:$AK=$A12)*('Portfolio Valuation'!$W:$W=F$1),'Portfolio Valuation'!$L:$L))</f>
        <v>0</v>
      </c>
      <c r="G12" s="30" t="str">
        <f>_xlfn.XLOOKUP($A12,Static!$D:$D,Static!$F:$F)</f>
        <v>PGPGBF_C</v>
      </c>
      <c r="H12" s="30">
        <f>SUMIF('Class NAVs'!$C:$C,_xlfn.XLOOKUP($A12,Static!$D:$D,Static!$E:$E),'Class NAVs'!$H:$H)</f>
        <v>0</v>
      </c>
      <c r="I12" s="27" t="str">
        <f t="shared" si="2"/>
        <v>Inactive share class</v>
      </c>
      <c r="J12" s="50" t="str">
        <f>_xlfn.XLOOKUP($A12,[1]Summary!$A:$A,[1]Summary!$I:$I)</f>
        <v>Inactive share class</v>
      </c>
      <c r="K12" t="str">
        <f>_xlfn.XLOOKUP($G12,[2]Funds!$A:$A,[2]Funds!$D:$D)</f>
        <v>MultAsst</v>
      </c>
      <c r="L12" t="str">
        <f>_xlfn.XLOOKUP(_xlfn.XLOOKUP($A12,Static!$D:$D,Static!$F:$F),Static!$A:$A,Static!$B:$B)&amp;" ("&amp;_xlfn.XLOOKUP($A12,Static!$D:$D,Static!$F:$F)&amp;")"</f>
        <v>Prescient Global Balanced Fund (PGPGBF_C)</v>
      </c>
      <c r="N12" s="52" t="str">
        <f>"PGF Share Class Hedging - "&amp;TEXT('Class NAVs'!B2,"dddd d mmmm yyyy")&amp;IF($M12="",""," - "&amp;UPPER($M12)&amp;" IS "&amp;IF($I12&lt;0.95,"BELOW","ABOVE")&amp;" THE REGULATORY LIMIT")</f>
        <v>PGF Share Class Hedging - Wednesday 4 October 2023</v>
      </c>
    </row>
    <row r="14" spans="1:16" x14ac:dyDescent="0.25">
      <c r="B14" s="49" t="s">
        <v>192</v>
      </c>
      <c r="C14" s="46"/>
      <c r="D14" s="46"/>
      <c r="E14" s="51"/>
      <c r="F14" s="51"/>
    </row>
    <row r="15" spans="1:16" x14ac:dyDescent="0.25">
      <c r="B15" s="42" t="s">
        <v>193</v>
      </c>
      <c r="C15" s="42"/>
      <c r="D15" s="42"/>
      <c r="L15" s="4"/>
    </row>
    <row r="16" spans="1:16" x14ac:dyDescent="0.25">
      <c r="B16" s="47" t="s">
        <v>191</v>
      </c>
      <c r="C16" s="47"/>
      <c r="D16" s="47"/>
      <c r="L16" s="4"/>
    </row>
    <row r="18" spans="2:2" x14ac:dyDescent="0.25">
      <c r="B18" s="48" t="s">
        <v>189</v>
      </c>
    </row>
    <row r="19" spans="2:2" x14ac:dyDescent="0.25">
      <c r="B19" s="34" t="str">
        <f>HYPERLINK("P:\Investment Operations\GRC\Compliance\PGF UCITS Share Class Hedges","PGF Shares Classes Folder")</f>
        <v>PGF Shares Classes Folder</v>
      </c>
    </row>
    <row r="20" spans="2:2" x14ac:dyDescent="0.25">
      <c r="B20" s="34" t="str">
        <f>HYPERLINK("http://www.irishstatutebook.ie/eli/2013/si/257/made/en/print","SI 257 of 2013 EU (AIFM) Regulation 2013")</f>
        <v>SI 257 of 2013 EU (AIFM) Regulation 2013</v>
      </c>
    </row>
    <row r="21" spans="2:2" x14ac:dyDescent="0.25">
      <c r="B21" s="34" t="str">
        <f>HYPERLINK("http://www.irishstatutebook.ie/eli/2015/si/420/made/en/print","SI 420 of 2015 CBoI UCITS Regulations 2015")</f>
        <v>SI 420 of 2015 CBoI UCITS Regulations 2015</v>
      </c>
    </row>
    <row r="22" spans="2:2" x14ac:dyDescent="0.25">
      <c r="B22" s="34" t="str">
        <f>HYPERLINK("https://www.centralbank.ie/docs/default-source/publications/Consultation-Papers/CP27/gn-399-share-classes---hedging-against-exchange-rate-movements.pdf?sfvrsn=2","UCITS share class hedging GN3/99")</f>
        <v>UCITS share class hedging GN3/99</v>
      </c>
    </row>
    <row r="23" spans="2:2" x14ac:dyDescent="0.25">
      <c r="B23" s="34" t="str">
        <f>HYPERLINK("https://www.centralbank.ie/docs/default-source/publications/Consultation-Papers/CP27/gn-399-share-classes---hedging-against-exchange-rate-movements.pdf?sfvrsn=2","UCITS share class hedging GN3/99")</f>
        <v>UCITS share class hedging GN3/99</v>
      </c>
    </row>
    <row r="24" spans="2:2" x14ac:dyDescent="0.25">
      <c r="B24" s="25" t="str">
        <f>HYPERLINK("\\pim-cpt-statpro\SPC_602\Client\Profiles\PIM\Exports\PGF ICAV Hedged Classes 12Nov2020.xlsx","ICAV Hedge Classes 12Nov 2020")</f>
        <v>ICAV Hedge Classes 12Nov 2020</v>
      </c>
    </row>
  </sheetData>
  <sortState xmlns:xlrd2="http://schemas.microsoft.com/office/spreadsheetml/2017/richdata2" ref="A2:K12">
    <sortCondition ref="I2:I12"/>
  </sortState>
  <conditionalFormatting sqref="I2:I8">
    <cfRule type="expression" dxfId="5" priority="12">
      <formula>OR($I2&gt;1.05, $I2&lt;0.95)</formula>
    </cfRule>
    <cfRule type="expression" dxfId="4" priority="13">
      <formula>OR($I2&gt;1.035, $I2&lt;0.965)</formula>
    </cfRule>
    <cfRule type="expression" dxfId="3" priority="14">
      <formula>AND($I2&lt;1.035,$I2&gt;0.965)</formula>
    </cfRule>
  </conditionalFormatting>
  <conditionalFormatting sqref="J2:J12">
    <cfRule type="expression" dxfId="2" priority="2">
      <formula>OR($J2&gt;1.05, $J2&lt;0.95)</formula>
    </cfRule>
    <cfRule type="expression" dxfId="1" priority="3">
      <formula>OR($J2&gt;1.035, $J2&lt;0.965)</formula>
    </cfRule>
    <cfRule type="expression" dxfId="0" priority="4">
      <formula>AND($J2&lt;1.035,$J2&gt;0.965)</formula>
    </cfRule>
  </conditionalFormatting>
  <hyperlinks>
    <hyperlink ref="P1" r:id="rId1" display="\\PIM-CPT-FS.prescient.local\PIM-Documents$\Investment Operations\GRC\Compliance\PGF UCITS Share Class Hedges\20230130 PGF Share Class Hedges.xlsx" xr:uid="{4287AD71-A520-4EBB-87FE-8340B036C33E}"/>
  </hyperlinks>
  <pageMargins left="0.7" right="0.7" top="0.75" bottom="0.75" header="0.3" footer="0.3"/>
  <pageSetup paperSize="9" orientation="portrait" horizontalDpi="1200" verticalDpi="1200" r:id="rId2"/>
  <extLst>
    <ext xmlns:x14="http://schemas.microsoft.com/office/spreadsheetml/2009/9/main" uri="{78C0D931-6437-407d-A8EE-F0AAD7539E65}">
      <x14:conditionalFormattings>
        <x14:conditionalFormatting xmlns:xm="http://schemas.microsoft.com/office/excel/2006/main">
          <x14:cfRule type="expression" priority="27" id="{9DF87CA8-FA5B-48B4-9714-F139636673FD}">
            <xm:f>MIN('Portfolio Valuation'!$AJ:$AJ)&lt;&gt;'Class NAVs'!#REF!</xm:f>
            <x14:dxf>
              <fill>
                <patternFill>
                  <bgColor rgb="FFFF0000"/>
                </patternFill>
              </fill>
            </x14:dxf>
          </x14:cfRule>
          <xm:sqref>B18</xm:sqref>
        </x14:conditionalFormatting>
        <x14:conditionalFormatting xmlns:xm="http://schemas.microsoft.com/office/excel/2006/main">
          <x14:cfRule type="expression" priority="1" id="{97CC4090-6BA3-445E-B28E-AAEF4479E399}">
            <xm:f>AVERAGE('Portfolio Valuation'!$AJ:$AJ)&lt;&gt;'Class NAVs'!$B$3</xm:f>
            <x14:dxf>
              <font>
                <b/>
                <i val="0"/>
                <color rgb="FF00FF00"/>
              </font>
              <fill>
                <patternFill>
                  <bgColor rgb="FFFF0000"/>
                </patternFill>
              </fill>
            </x14:dxf>
          </x14:cfRule>
          <xm:sqref>I1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3892-24EA-4886-8379-D65FEEDE8BB1}">
  <sheetPr codeName="Sheet24"/>
  <dimension ref="A1:AQ58"/>
  <sheetViews>
    <sheetView workbookViewId="0">
      <pane xSplit="2" ySplit="1" topLeftCell="AG2" activePane="bottomRight" state="frozen"/>
      <selection pane="topRight"/>
      <selection pane="bottomLeft"/>
      <selection pane="bottomRight" sqref="A1:XFD1048576"/>
    </sheetView>
  </sheetViews>
  <sheetFormatPr defaultRowHeight="15" x14ac:dyDescent="0.25"/>
  <cols>
    <col min="7" max="7" width="15.42578125" bestFit="1" customWidth="1"/>
    <col min="8" max="9" width="13" bestFit="1" customWidth="1"/>
    <col min="10" max="11" width="8.85546875" bestFit="1" customWidth="1"/>
    <col min="12" max="12" width="13" bestFit="1" customWidth="1"/>
    <col min="13" max="13" width="9.42578125" bestFit="1" customWidth="1"/>
    <col min="14" max="14" width="14.5703125" bestFit="1" customWidth="1"/>
    <col min="16" max="16" width="9.7109375" bestFit="1" customWidth="1"/>
    <col min="18" max="18" width="8.85546875" bestFit="1" customWidth="1"/>
    <col min="29" max="30" width="10.42578125" bestFit="1" customWidth="1"/>
    <col min="31" max="31" width="8.85546875" bestFit="1" customWidth="1"/>
    <col min="32" max="32" width="10.42578125" bestFit="1" customWidth="1"/>
    <col min="33" max="33" width="9.42578125" bestFit="1" customWidth="1"/>
    <col min="34" max="34" width="13" bestFit="1" customWidth="1"/>
    <col min="35" max="35" width="8.85546875" bestFit="1" customWidth="1"/>
    <col min="36" max="36" width="9.7109375" bestFit="1" customWidth="1"/>
    <col min="38" max="38" width="8.85546875" bestFit="1" customWidth="1"/>
  </cols>
  <sheetData>
    <row r="1" spans="1:43" x14ac:dyDescent="0.25">
      <c r="A1" s="60" t="s">
        <v>0</v>
      </c>
      <c r="B1" s="60" t="s">
        <v>101</v>
      </c>
      <c r="C1" s="60" t="s">
        <v>100</v>
      </c>
      <c r="D1" s="60" t="s">
        <v>99</v>
      </c>
      <c r="E1" s="60" t="s">
        <v>98</v>
      </c>
      <c r="F1" s="60" t="s">
        <v>97</v>
      </c>
      <c r="G1" s="60" t="s">
        <v>96</v>
      </c>
      <c r="H1" s="60" t="s">
        <v>95</v>
      </c>
      <c r="I1" s="60" t="s">
        <v>94</v>
      </c>
      <c r="J1" s="60" t="s">
        <v>93</v>
      </c>
      <c r="K1" s="60" t="s">
        <v>92</v>
      </c>
      <c r="L1" s="60" t="s">
        <v>91</v>
      </c>
      <c r="M1" s="60" t="s">
        <v>90</v>
      </c>
      <c r="N1" s="60" t="s">
        <v>89</v>
      </c>
      <c r="O1" s="60" t="s">
        <v>88</v>
      </c>
      <c r="P1" s="60" t="s">
        <v>87</v>
      </c>
      <c r="Q1" s="60" t="s">
        <v>86</v>
      </c>
      <c r="R1" s="60" t="s">
        <v>85</v>
      </c>
      <c r="S1" s="60" t="s">
        <v>84</v>
      </c>
      <c r="T1" s="60" t="s">
        <v>83</v>
      </c>
      <c r="U1" s="60" t="s">
        <v>82</v>
      </c>
      <c r="V1" s="60" t="s">
        <v>81</v>
      </c>
      <c r="W1" s="60" t="s">
        <v>80</v>
      </c>
      <c r="X1" s="60" t="s">
        <v>79</v>
      </c>
      <c r="Y1" s="60" t="s">
        <v>78</v>
      </c>
      <c r="Z1" s="60" t="s">
        <v>77</v>
      </c>
      <c r="AA1" s="60" t="s">
        <v>76</v>
      </c>
      <c r="AB1" s="60" t="s">
        <v>75</v>
      </c>
      <c r="AC1" s="60" t="s">
        <v>74</v>
      </c>
      <c r="AD1" s="60" t="s">
        <v>73</v>
      </c>
      <c r="AE1" s="60" t="s">
        <v>72</v>
      </c>
      <c r="AF1" s="60" t="s">
        <v>71</v>
      </c>
      <c r="AG1" s="60" t="s">
        <v>70</v>
      </c>
      <c r="AH1" s="60" t="s">
        <v>69</v>
      </c>
      <c r="AI1" s="60" t="s">
        <v>68</v>
      </c>
      <c r="AJ1" s="60" t="s">
        <v>67</v>
      </c>
      <c r="AK1" s="60" t="s">
        <v>66</v>
      </c>
      <c r="AL1" s="60" t="s">
        <v>65</v>
      </c>
      <c r="AM1" s="60" t="s">
        <v>64</v>
      </c>
      <c r="AN1" s="60" t="s">
        <v>63</v>
      </c>
      <c r="AO1" s="60" t="s">
        <v>62</v>
      </c>
      <c r="AP1" s="60" t="s">
        <v>61</v>
      </c>
      <c r="AQ1" s="60" t="s">
        <v>31</v>
      </c>
    </row>
    <row r="2" spans="1:43" x14ac:dyDescent="0.25">
      <c r="A2" t="s">
        <v>296</v>
      </c>
      <c r="B2" t="s">
        <v>57</v>
      </c>
      <c r="C2" t="s">
        <v>57</v>
      </c>
      <c r="D2" t="s">
        <v>145</v>
      </c>
      <c r="E2" t="s">
        <v>55</v>
      </c>
      <c r="F2" t="s">
        <v>55</v>
      </c>
      <c r="G2" s="3"/>
      <c r="H2" s="1"/>
      <c r="I2" s="1"/>
      <c r="J2" s="1"/>
      <c r="K2" s="1"/>
      <c r="L2" s="1"/>
      <c r="M2" s="2"/>
      <c r="N2" s="5">
        <v>0</v>
      </c>
      <c r="O2" s="4" t="s">
        <v>55</v>
      </c>
      <c r="P2" s="4" t="s">
        <v>55</v>
      </c>
      <c r="Q2" s="2"/>
      <c r="R2" s="1"/>
      <c r="S2" s="6"/>
      <c r="T2" t="s">
        <v>55</v>
      </c>
      <c r="U2" t="s">
        <v>55</v>
      </c>
      <c r="V2" t="s">
        <v>55</v>
      </c>
      <c r="W2" t="s">
        <v>55</v>
      </c>
      <c r="X2" t="s">
        <v>55</v>
      </c>
      <c r="Y2" t="s">
        <v>55</v>
      </c>
      <c r="Z2" t="s">
        <v>55</v>
      </c>
      <c r="AA2" t="s">
        <v>55</v>
      </c>
      <c r="AB2" t="s">
        <v>55</v>
      </c>
      <c r="AC2" s="5"/>
      <c r="AD2" s="5"/>
      <c r="AE2" s="1"/>
      <c r="AF2" s="5"/>
      <c r="AG2" s="1"/>
      <c r="AH2" s="1"/>
      <c r="AI2" s="1">
        <v>0</v>
      </c>
      <c r="AJ2" s="4" t="s">
        <v>55</v>
      </c>
      <c r="AK2" t="s">
        <v>13</v>
      </c>
      <c r="AL2" s="1"/>
      <c r="AM2" s="1"/>
      <c r="AN2" s="1"/>
      <c r="AO2" t="s">
        <v>55</v>
      </c>
      <c r="AP2" t="s">
        <v>55</v>
      </c>
      <c r="AQ2" t="s">
        <v>55</v>
      </c>
    </row>
    <row r="3" spans="1:43" x14ac:dyDescent="0.25">
      <c r="A3" t="s">
        <v>297</v>
      </c>
      <c r="B3" t="s">
        <v>57</v>
      </c>
      <c r="C3" t="s">
        <v>57</v>
      </c>
      <c r="D3" t="s">
        <v>145</v>
      </c>
      <c r="E3" t="s">
        <v>55</v>
      </c>
      <c r="F3" t="s">
        <v>55</v>
      </c>
      <c r="G3" s="3"/>
      <c r="H3" s="1"/>
      <c r="I3" s="1"/>
      <c r="J3" s="1"/>
      <c r="K3" s="1"/>
      <c r="L3" s="1"/>
      <c r="M3" s="2"/>
      <c r="N3" s="5">
        <v>0</v>
      </c>
      <c r="O3" s="4" t="s">
        <v>55</v>
      </c>
      <c r="P3" s="4" t="s">
        <v>55</v>
      </c>
      <c r="Q3" s="2"/>
      <c r="R3" s="1"/>
      <c r="S3" s="6"/>
      <c r="T3" t="s">
        <v>55</v>
      </c>
      <c r="U3" t="s">
        <v>55</v>
      </c>
      <c r="V3" t="s">
        <v>55</v>
      </c>
      <c r="W3" t="s">
        <v>55</v>
      </c>
      <c r="X3" t="s">
        <v>55</v>
      </c>
      <c r="Y3" t="s">
        <v>55</v>
      </c>
      <c r="Z3" t="s">
        <v>55</v>
      </c>
      <c r="AA3" t="s">
        <v>55</v>
      </c>
      <c r="AB3" t="s">
        <v>55</v>
      </c>
      <c r="AC3" s="5"/>
      <c r="AD3" s="5"/>
      <c r="AE3" s="1"/>
      <c r="AF3" s="5"/>
      <c r="AG3" s="1"/>
      <c r="AH3" s="1"/>
      <c r="AI3" s="1">
        <v>0</v>
      </c>
      <c r="AJ3" s="4" t="s">
        <v>55</v>
      </c>
      <c r="AK3" t="s">
        <v>198</v>
      </c>
      <c r="AL3" s="1"/>
      <c r="AM3" s="1"/>
      <c r="AN3" s="1"/>
      <c r="AO3" t="s">
        <v>55</v>
      </c>
      <c r="AP3" t="s">
        <v>55</v>
      </c>
      <c r="AQ3" t="s">
        <v>55</v>
      </c>
    </row>
    <row r="4" spans="1:43" x14ac:dyDescent="0.25">
      <c r="A4" t="s">
        <v>205</v>
      </c>
      <c r="B4" t="s">
        <v>58</v>
      </c>
      <c r="C4" t="s">
        <v>221</v>
      </c>
      <c r="D4" t="s">
        <v>250</v>
      </c>
      <c r="E4" t="s">
        <v>251</v>
      </c>
      <c r="F4" t="s">
        <v>250</v>
      </c>
      <c r="G4" s="3">
        <v>-10850000</v>
      </c>
      <c r="H4" s="1">
        <v>-10850000</v>
      </c>
      <c r="I4" s="1">
        <v>-10850000</v>
      </c>
      <c r="J4" s="1">
        <v>0</v>
      </c>
      <c r="K4" s="1">
        <v>0</v>
      </c>
      <c r="L4" s="1">
        <v>-10850000</v>
      </c>
      <c r="M4" s="2">
        <v>1</v>
      </c>
      <c r="N4" s="5">
        <v>469.05580493000002</v>
      </c>
      <c r="O4" s="4" t="s">
        <v>55</v>
      </c>
      <c r="P4" s="4">
        <v>45348</v>
      </c>
      <c r="Q4" s="2"/>
      <c r="R4" s="1"/>
      <c r="S4" s="6"/>
      <c r="T4" t="s">
        <v>37</v>
      </c>
      <c r="U4" t="s">
        <v>55</v>
      </c>
      <c r="V4" t="s">
        <v>55</v>
      </c>
      <c r="W4" t="s">
        <v>32</v>
      </c>
      <c r="X4" t="s">
        <v>55</v>
      </c>
      <c r="Y4" t="s">
        <v>55</v>
      </c>
      <c r="Z4" t="s">
        <v>55</v>
      </c>
      <c r="AA4" t="s">
        <v>55</v>
      </c>
      <c r="AB4" t="s">
        <v>55</v>
      </c>
      <c r="AC4" s="5"/>
      <c r="AD4" s="5"/>
      <c r="AE4" s="1"/>
      <c r="AF4" s="5"/>
      <c r="AG4" s="1">
        <v>6093.76</v>
      </c>
      <c r="AH4" s="1">
        <v>-10850000</v>
      </c>
      <c r="AI4" s="1">
        <v>469.06</v>
      </c>
      <c r="AJ4" s="4">
        <v>45203</v>
      </c>
      <c r="AK4" t="s">
        <v>202</v>
      </c>
      <c r="AL4" s="1"/>
      <c r="AM4" s="1"/>
      <c r="AN4" s="1"/>
      <c r="AO4" t="s">
        <v>55</v>
      </c>
      <c r="AP4" t="s">
        <v>55</v>
      </c>
      <c r="AQ4" t="s">
        <v>32</v>
      </c>
    </row>
    <row r="5" spans="1:43" x14ac:dyDescent="0.25">
      <c r="A5" t="s">
        <v>205</v>
      </c>
      <c r="B5" t="s">
        <v>58</v>
      </c>
      <c r="C5" t="s">
        <v>221</v>
      </c>
      <c r="D5" t="s">
        <v>284</v>
      </c>
      <c r="E5" t="s">
        <v>285</v>
      </c>
      <c r="F5" t="s">
        <v>284</v>
      </c>
      <c r="G5" s="3">
        <v>900000</v>
      </c>
      <c r="H5" s="1">
        <v>900000</v>
      </c>
      <c r="I5" s="1">
        <v>900000</v>
      </c>
      <c r="J5" s="1">
        <v>0</v>
      </c>
      <c r="K5" s="1">
        <v>0</v>
      </c>
      <c r="L5" s="1">
        <v>900000</v>
      </c>
      <c r="M5" s="2">
        <v>1</v>
      </c>
      <c r="N5" s="5">
        <v>-38.907854790000002</v>
      </c>
      <c r="O5" s="4" t="s">
        <v>55</v>
      </c>
      <c r="P5" s="4">
        <v>45348</v>
      </c>
      <c r="Q5" s="2"/>
      <c r="R5" s="1"/>
      <c r="S5" s="6"/>
      <c r="T5" t="s">
        <v>37</v>
      </c>
      <c r="U5" t="s">
        <v>55</v>
      </c>
      <c r="V5" t="s">
        <v>55</v>
      </c>
      <c r="W5" t="s">
        <v>32</v>
      </c>
      <c r="X5" t="s">
        <v>55</v>
      </c>
      <c r="Y5" t="s">
        <v>55</v>
      </c>
      <c r="Z5" t="s">
        <v>55</v>
      </c>
      <c r="AA5" t="s">
        <v>55</v>
      </c>
      <c r="AB5" t="s">
        <v>55</v>
      </c>
      <c r="AC5" s="5"/>
      <c r="AD5" s="5"/>
      <c r="AE5" s="1"/>
      <c r="AF5" s="5"/>
      <c r="AG5" s="1">
        <v>-505.47</v>
      </c>
      <c r="AH5" s="1">
        <v>900000</v>
      </c>
      <c r="AI5" s="1">
        <v>-38.909999999999997</v>
      </c>
      <c r="AJ5" s="4">
        <v>45203</v>
      </c>
      <c r="AK5" t="s">
        <v>202</v>
      </c>
      <c r="AL5" s="1"/>
      <c r="AM5" s="1"/>
      <c r="AN5" s="1"/>
      <c r="AO5" t="s">
        <v>55</v>
      </c>
      <c r="AP5" t="s">
        <v>55</v>
      </c>
      <c r="AQ5" t="s">
        <v>32</v>
      </c>
    </row>
    <row r="6" spans="1:43" x14ac:dyDescent="0.25">
      <c r="A6" t="s">
        <v>205</v>
      </c>
      <c r="B6" t="s">
        <v>58</v>
      </c>
      <c r="C6" t="s">
        <v>221</v>
      </c>
      <c r="D6" t="s">
        <v>262</v>
      </c>
      <c r="E6" t="s">
        <v>263</v>
      </c>
      <c r="F6" t="s">
        <v>262</v>
      </c>
      <c r="G6" s="3">
        <v>-2700000</v>
      </c>
      <c r="H6" s="1">
        <v>-2700000</v>
      </c>
      <c r="I6" s="1">
        <v>-2700000</v>
      </c>
      <c r="J6" s="1">
        <v>0</v>
      </c>
      <c r="K6" s="1">
        <v>0</v>
      </c>
      <c r="L6" s="1">
        <v>-2700000</v>
      </c>
      <c r="M6" s="2">
        <v>1</v>
      </c>
      <c r="N6" s="5">
        <v>116.72356436</v>
      </c>
      <c r="O6" s="4" t="s">
        <v>55</v>
      </c>
      <c r="P6" s="4">
        <v>45348</v>
      </c>
      <c r="Q6" s="2"/>
      <c r="R6" s="1"/>
      <c r="S6" s="6"/>
      <c r="T6" t="s">
        <v>37</v>
      </c>
      <c r="U6" t="s">
        <v>55</v>
      </c>
      <c r="V6" t="s">
        <v>55</v>
      </c>
      <c r="W6" t="s">
        <v>32</v>
      </c>
      <c r="X6" t="s">
        <v>55</v>
      </c>
      <c r="Y6" t="s">
        <v>55</v>
      </c>
      <c r="Z6" t="s">
        <v>55</v>
      </c>
      <c r="AA6" t="s">
        <v>55</v>
      </c>
      <c r="AB6" t="s">
        <v>55</v>
      </c>
      <c r="AC6" s="5"/>
      <c r="AD6" s="5"/>
      <c r="AE6" s="1"/>
      <c r="AF6" s="5"/>
      <c r="AG6" s="1">
        <v>1516.42</v>
      </c>
      <c r="AH6" s="1">
        <v>-2700000</v>
      </c>
      <c r="AI6" s="1">
        <v>116.72</v>
      </c>
      <c r="AJ6" s="4">
        <v>45203</v>
      </c>
      <c r="AK6" t="s">
        <v>202</v>
      </c>
      <c r="AL6" s="1"/>
      <c r="AM6" s="1"/>
      <c r="AN6" s="1"/>
      <c r="AO6" t="s">
        <v>55</v>
      </c>
      <c r="AP6" t="s">
        <v>55</v>
      </c>
      <c r="AQ6" t="s">
        <v>32</v>
      </c>
    </row>
    <row r="7" spans="1:43" x14ac:dyDescent="0.25">
      <c r="A7" t="s">
        <v>205</v>
      </c>
      <c r="B7" t="s">
        <v>58</v>
      </c>
      <c r="C7" t="s">
        <v>221</v>
      </c>
      <c r="D7" t="s">
        <v>252</v>
      </c>
      <c r="E7" t="s">
        <v>251</v>
      </c>
      <c r="F7" t="s">
        <v>252</v>
      </c>
      <c r="G7" s="3">
        <v>210409710</v>
      </c>
      <c r="H7" s="1">
        <v>10850000</v>
      </c>
      <c r="I7" s="1">
        <v>10705622.52</v>
      </c>
      <c r="J7" s="1">
        <v>0</v>
      </c>
      <c r="K7" s="1">
        <v>0</v>
      </c>
      <c r="L7" s="1">
        <v>10705622.52</v>
      </c>
      <c r="M7" s="2">
        <v>19.654131</v>
      </c>
      <c r="N7" s="5">
        <v>-462.81422935000001</v>
      </c>
      <c r="O7" s="4" t="s">
        <v>55</v>
      </c>
      <c r="P7" s="4">
        <v>45348</v>
      </c>
      <c r="Q7" s="2"/>
      <c r="R7" s="1"/>
      <c r="S7" s="6"/>
      <c r="T7" t="s">
        <v>37</v>
      </c>
      <c r="U7" t="s">
        <v>55</v>
      </c>
      <c r="V7" t="s">
        <v>55</v>
      </c>
      <c r="W7" t="s">
        <v>33</v>
      </c>
      <c r="X7" t="s">
        <v>55</v>
      </c>
      <c r="Y7" t="s">
        <v>55</v>
      </c>
      <c r="Z7" t="s">
        <v>55</v>
      </c>
      <c r="AA7" t="s">
        <v>55</v>
      </c>
      <c r="AB7" t="s">
        <v>55</v>
      </c>
      <c r="AC7" s="5"/>
      <c r="AD7" s="5"/>
      <c r="AE7" s="1"/>
      <c r="AF7" s="5"/>
      <c r="AG7" s="1">
        <v>-6012.67</v>
      </c>
      <c r="AH7" s="1">
        <v>10705622.52</v>
      </c>
      <c r="AI7" s="1">
        <v>-462.81</v>
      </c>
      <c r="AJ7" s="4">
        <v>45203</v>
      </c>
      <c r="AK7" t="s">
        <v>202</v>
      </c>
      <c r="AL7" s="1"/>
      <c r="AM7" s="1"/>
      <c r="AN7" s="1"/>
      <c r="AO7" t="s">
        <v>55</v>
      </c>
      <c r="AP7" t="s">
        <v>55</v>
      </c>
      <c r="AQ7" t="s">
        <v>33</v>
      </c>
    </row>
    <row r="8" spans="1:43" x14ac:dyDescent="0.25">
      <c r="A8" t="s">
        <v>205</v>
      </c>
      <c r="B8" t="s">
        <v>58</v>
      </c>
      <c r="C8" t="s">
        <v>221</v>
      </c>
      <c r="D8" t="s">
        <v>286</v>
      </c>
      <c r="E8" t="s">
        <v>285</v>
      </c>
      <c r="F8" t="s">
        <v>286</v>
      </c>
      <c r="G8" s="3">
        <v>-17538750</v>
      </c>
      <c r="H8" s="1">
        <v>-900000</v>
      </c>
      <c r="I8" s="1">
        <v>-892369.64</v>
      </c>
      <c r="J8" s="1">
        <v>0</v>
      </c>
      <c r="K8" s="1">
        <v>0</v>
      </c>
      <c r="L8" s="1">
        <v>-892369.64</v>
      </c>
      <c r="M8" s="2">
        <v>19.654131</v>
      </c>
      <c r="N8" s="5">
        <v>38.57798708</v>
      </c>
      <c r="O8" s="4" t="s">
        <v>55</v>
      </c>
      <c r="P8" s="4">
        <v>45348</v>
      </c>
      <c r="Q8" s="2"/>
      <c r="R8" s="1"/>
      <c r="S8" s="6"/>
      <c r="T8" t="s">
        <v>37</v>
      </c>
      <c r="U8" t="s">
        <v>55</v>
      </c>
      <c r="V8" t="s">
        <v>55</v>
      </c>
      <c r="W8" t="s">
        <v>33</v>
      </c>
      <c r="X8" t="s">
        <v>55</v>
      </c>
      <c r="Y8" t="s">
        <v>55</v>
      </c>
      <c r="Z8" t="s">
        <v>55</v>
      </c>
      <c r="AA8" t="s">
        <v>55</v>
      </c>
      <c r="AB8" t="s">
        <v>55</v>
      </c>
      <c r="AC8" s="5"/>
      <c r="AD8" s="5"/>
      <c r="AE8" s="1"/>
      <c r="AF8" s="5"/>
      <c r="AG8" s="1">
        <v>501.19</v>
      </c>
      <c r="AH8" s="1">
        <v>-892369.64</v>
      </c>
      <c r="AI8" s="1">
        <v>38.58</v>
      </c>
      <c r="AJ8" s="4">
        <v>45203</v>
      </c>
      <c r="AK8" t="s">
        <v>202</v>
      </c>
      <c r="AL8" s="1"/>
      <c r="AM8" s="1"/>
      <c r="AN8" s="1"/>
      <c r="AO8" t="s">
        <v>55</v>
      </c>
      <c r="AP8" t="s">
        <v>55</v>
      </c>
      <c r="AQ8" t="s">
        <v>33</v>
      </c>
    </row>
    <row r="9" spans="1:43" x14ac:dyDescent="0.25">
      <c r="A9" t="s">
        <v>205</v>
      </c>
      <c r="B9" t="s">
        <v>58</v>
      </c>
      <c r="C9" t="s">
        <v>221</v>
      </c>
      <c r="D9" t="s">
        <v>264</v>
      </c>
      <c r="E9" t="s">
        <v>263</v>
      </c>
      <c r="F9" t="s">
        <v>264</v>
      </c>
      <c r="G9" s="3">
        <v>52254361</v>
      </c>
      <c r="H9" s="1">
        <v>2700000</v>
      </c>
      <c r="I9" s="1">
        <v>2658696.0499999998</v>
      </c>
      <c r="J9" s="1">
        <v>0</v>
      </c>
      <c r="K9" s="1">
        <v>0</v>
      </c>
      <c r="L9" s="1">
        <v>2658696.0499999998</v>
      </c>
      <c r="M9" s="2">
        <v>19.654131</v>
      </c>
      <c r="N9" s="5">
        <v>-114.93795537</v>
      </c>
      <c r="O9" s="4" t="s">
        <v>55</v>
      </c>
      <c r="P9" s="4">
        <v>45348</v>
      </c>
      <c r="Q9" s="2"/>
      <c r="R9" s="1"/>
      <c r="S9" s="6"/>
      <c r="T9" t="s">
        <v>37</v>
      </c>
      <c r="U9" t="s">
        <v>55</v>
      </c>
      <c r="V9" t="s">
        <v>55</v>
      </c>
      <c r="W9" t="s">
        <v>33</v>
      </c>
      <c r="X9" t="s">
        <v>55</v>
      </c>
      <c r="Y9" t="s">
        <v>55</v>
      </c>
      <c r="Z9" t="s">
        <v>55</v>
      </c>
      <c r="AA9" t="s">
        <v>55</v>
      </c>
      <c r="AB9" t="s">
        <v>55</v>
      </c>
      <c r="AC9" s="5"/>
      <c r="AD9" s="5"/>
      <c r="AE9" s="1"/>
      <c r="AF9" s="5"/>
      <c r="AG9" s="1">
        <v>-1493.22</v>
      </c>
      <c r="AH9" s="1">
        <v>2658696.0499999998</v>
      </c>
      <c r="AI9" s="1">
        <v>-114.94</v>
      </c>
      <c r="AJ9" s="4">
        <v>45203</v>
      </c>
      <c r="AK9" t="s">
        <v>202</v>
      </c>
      <c r="AL9" s="1"/>
      <c r="AM9" s="1"/>
      <c r="AN9" s="1"/>
      <c r="AO9" t="s">
        <v>55</v>
      </c>
      <c r="AP9" t="s">
        <v>55</v>
      </c>
      <c r="AQ9" t="s">
        <v>33</v>
      </c>
    </row>
    <row r="10" spans="1:43" x14ac:dyDescent="0.25">
      <c r="A10" t="s">
        <v>298</v>
      </c>
      <c r="B10" t="s">
        <v>57</v>
      </c>
      <c r="C10" t="s">
        <v>57</v>
      </c>
      <c r="D10" t="s">
        <v>145</v>
      </c>
      <c r="E10" t="s">
        <v>55</v>
      </c>
      <c r="F10" t="s">
        <v>55</v>
      </c>
      <c r="G10" s="3"/>
      <c r="H10" s="1"/>
      <c r="I10" s="1"/>
      <c r="J10" s="1"/>
      <c r="K10" s="1"/>
      <c r="L10" s="1"/>
      <c r="M10" s="2"/>
      <c r="N10" s="5">
        <v>0</v>
      </c>
      <c r="O10" s="4" t="s">
        <v>55</v>
      </c>
      <c r="P10" s="4" t="s">
        <v>55</v>
      </c>
      <c r="Q10" s="2"/>
      <c r="R10" s="1"/>
      <c r="S10" s="6"/>
      <c r="T10" t="s">
        <v>55</v>
      </c>
      <c r="U10" t="s">
        <v>55</v>
      </c>
      <c r="V10" t="s">
        <v>55</v>
      </c>
      <c r="W10" t="s">
        <v>55</v>
      </c>
      <c r="X10" t="s">
        <v>55</v>
      </c>
      <c r="Y10" t="s">
        <v>55</v>
      </c>
      <c r="Z10" t="s">
        <v>55</v>
      </c>
      <c r="AA10" t="s">
        <v>55</v>
      </c>
      <c r="AB10" t="s">
        <v>55</v>
      </c>
      <c r="AC10" s="5"/>
      <c r="AD10" s="5"/>
      <c r="AE10" s="1"/>
      <c r="AF10" s="5"/>
      <c r="AG10" s="1"/>
      <c r="AH10" s="1"/>
      <c r="AI10" s="1">
        <v>0</v>
      </c>
      <c r="AJ10" s="4" t="s">
        <v>55</v>
      </c>
      <c r="AK10" t="s">
        <v>14</v>
      </c>
      <c r="AL10" s="1"/>
      <c r="AM10" s="1"/>
      <c r="AN10" s="1"/>
      <c r="AO10" t="s">
        <v>55</v>
      </c>
      <c r="AP10" t="s">
        <v>55</v>
      </c>
      <c r="AQ10" t="s">
        <v>55</v>
      </c>
    </row>
    <row r="11" spans="1:43" x14ac:dyDescent="0.25">
      <c r="A11" t="s">
        <v>43</v>
      </c>
      <c r="B11" t="s">
        <v>212</v>
      </c>
      <c r="C11" t="s">
        <v>213</v>
      </c>
      <c r="D11" t="s">
        <v>215</v>
      </c>
      <c r="E11" t="s">
        <v>216</v>
      </c>
      <c r="F11" t="s">
        <v>215</v>
      </c>
      <c r="G11" s="3">
        <v>-0.03</v>
      </c>
      <c r="H11" s="1">
        <v>0</v>
      </c>
      <c r="I11" s="1">
        <v>0</v>
      </c>
      <c r="J11" s="1">
        <v>0</v>
      </c>
      <c r="K11" s="1">
        <v>0</v>
      </c>
      <c r="L11" s="1">
        <v>0</v>
      </c>
      <c r="M11" s="2"/>
      <c r="N11" s="5">
        <v>0</v>
      </c>
      <c r="O11" s="4" t="s">
        <v>55</v>
      </c>
      <c r="P11" s="4" t="s">
        <v>55</v>
      </c>
      <c r="Q11" s="2"/>
      <c r="R11" s="1">
        <v>0.08</v>
      </c>
      <c r="S11" s="6"/>
      <c r="T11" t="s">
        <v>212</v>
      </c>
      <c r="U11" t="s">
        <v>214</v>
      </c>
      <c r="V11" t="s">
        <v>55</v>
      </c>
      <c r="W11" t="s">
        <v>33</v>
      </c>
      <c r="X11" t="s">
        <v>55</v>
      </c>
      <c r="Y11" t="s">
        <v>55</v>
      </c>
      <c r="Z11" t="s">
        <v>55</v>
      </c>
      <c r="AA11" t="s">
        <v>55</v>
      </c>
      <c r="AB11" t="s">
        <v>55</v>
      </c>
      <c r="AC11" s="5">
        <v>5.1163389600000002</v>
      </c>
      <c r="AD11" s="5">
        <v>5.0001424999999999</v>
      </c>
      <c r="AE11" s="1">
        <v>5.12</v>
      </c>
      <c r="AF11" s="5">
        <v>5.0001424999999999</v>
      </c>
      <c r="AG11" s="1">
        <v>0</v>
      </c>
      <c r="AH11" s="1">
        <v>0</v>
      </c>
      <c r="AI11" s="1">
        <v>0</v>
      </c>
      <c r="AJ11" s="4">
        <v>45203</v>
      </c>
      <c r="AK11" t="s">
        <v>21</v>
      </c>
      <c r="AL11" s="1">
        <v>5.05</v>
      </c>
      <c r="AM11" s="1"/>
      <c r="AN11" s="1"/>
      <c r="AO11" t="s">
        <v>55</v>
      </c>
      <c r="AP11" t="s">
        <v>55</v>
      </c>
      <c r="AQ11" t="s">
        <v>33</v>
      </c>
    </row>
    <row r="12" spans="1:43" x14ac:dyDescent="0.25">
      <c r="A12" t="s">
        <v>43</v>
      </c>
      <c r="B12" t="s">
        <v>58</v>
      </c>
      <c r="C12" t="s">
        <v>221</v>
      </c>
      <c r="D12" t="s">
        <v>253</v>
      </c>
      <c r="E12" t="s">
        <v>254</v>
      </c>
      <c r="F12" t="s">
        <v>253</v>
      </c>
      <c r="G12" s="3">
        <v>-7825414.5700000003</v>
      </c>
      <c r="H12" s="1">
        <v>-7825414.5700000003</v>
      </c>
      <c r="I12" s="1">
        <v>-7825414.5700000003</v>
      </c>
      <c r="J12" s="1">
        <v>0</v>
      </c>
      <c r="K12" s="1">
        <v>0</v>
      </c>
      <c r="L12" s="1">
        <v>-7825414.5700000003</v>
      </c>
      <c r="M12" s="2">
        <v>1</v>
      </c>
      <c r="N12" s="5">
        <v>338.30010414999998</v>
      </c>
      <c r="O12" s="4" t="s">
        <v>55</v>
      </c>
      <c r="P12" s="4">
        <v>45254</v>
      </c>
      <c r="Q12" s="2"/>
      <c r="R12" s="1"/>
      <c r="S12" s="6"/>
      <c r="T12" t="s">
        <v>37</v>
      </c>
      <c r="U12" t="s">
        <v>55</v>
      </c>
      <c r="V12" t="s">
        <v>55</v>
      </c>
      <c r="W12" t="s">
        <v>32</v>
      </c>
      <c r="X12" t="s">
        <v>55</v>
      </c>
      <c r="Y12" t="s">
        <v>55</v>
      </c>
      <c r="Z12" t="s">
        <v>55</v>
      </c>
      <c r="AA12" t="s">
        <v>55</v>
      </c>
      <c r="AB12" t="s">
        <v>55</v>
      </c>
      <c r="AC12" s="5"/>
      <c r="AD12" s="5"/>
      <c r="AE12" s="1"/>
      <c r="AF12" s="5"/>
      <c r="AG12" s="1">
        <v>7526.03</v>
      </c>
      <c r="AH12" s="1">
        <v>-7825414.5700000003</v>
      </c>
      <c r="AI12" s="1">
        <v>338.3</v>
      </c>
      <c r="AJ12" s="4">
        <v>45203</v>
      </c>
      <c r="AK12" t="s">
        <v>21</v>
      </c>
      <c r="AL12" s="1"/>
      <c r="AM12" s="1"/>
      <c r="AN12" s="1"/>
      <c r="AO12" t="s">
        <v>55</v>
      </c>
      <c r="AP12" t="s">
        <v>55</v>
      </c>
      <c r="AQ12" t="s">
        <v>32</v>
      </c>
    </row>
    <row r="13" spans="1:43" x14ac:dyDescent="0.25">
      <c r="A13" t="s">
        <v>43</v>
      </c>
      <c r="B13" t="s">
        <v>58</v>
      </c>
      <c r="C13" t="s">
        <v>221</v>
      </c>
      <c r="D13" t="s">
        <v>255</v>
      </c>
      <c r="E13" t="s">
        <v>254</v>
      </c>
      <c r="F13" t="s">
        <v>255</v>
      </c>
      <c r="G13" s="3">
        <v>150460811</v>
      </c>
      <c r="H13" s="1">
        <v>7825414.5700000003</v>
      </c>
      <c r="I13" s="1">
        <v>7721436.5199999996</v>
      </c>
      <c r="J13" s="1">
        <v>0</v>
      </c>
      <c r="K13" s="1">
        <v>0</v>
      </c>
      <c r="L13" s="1">
        <v>7721436.5199999996</v>
      </c>
      <c r="M13" s="2">
        <v>19.486115999999999</v>
      </c>
      <c r="N13" s="5">
        <v>-333.80503429999999</v>
      </c>
      <c r="O13" s="4" t="s">
        <v>55</v>
      </c>
      <c r="P13" s="4">
        <v>45254</v>
      </c>
      <c r="Q13" s="2"/>
      <c r="R13" s="1"/>
      <c r="S13" s="6"/>
      <c r="T13" t="s">
        <v>37</v>
      </c>
      <c r="U13" t="s">
        <v>55</v>
      </c>
      <c r="V13" t="s">
        <v>55</v>
      </c>
      <c r="W13" t="s">
        <v>33</v>
      </c>
      <c r="X13" t="s">
        <v>55</v>
      </c>
      <c r="Y13" t="s">
        <v>55</v>
      </c>
      <c r="Z13" t="s">
        <v>55</v>
      </c>
      <c r="AA13" t="s">
        <v>55</v>
      </c>
      <c r="AB13" t="s">
        <v>55</v>
      </c>
      <c r="AC13" s="5"/>
      <c r="AD13" s="5"/>
      <c r="AE13" s="1"/>
      <c r="AF13" s="5"/>
      <c r="AG13" s="1">
        <v>-7426.03</v>
      </c>
      <c r="AH13" s="1">
        <v>7721436.5199999996</v>
      </c>
      <c r="AI13" s="1">
        <v>-333.81</v>
      </c>
      <c r="AJ13" s="4">
        <v>45203</v>
      </c>
      <c r="AK13" t="s">
        <v>21</v>
      </c>
      <c r="AL13" s="1"/>
      <c r="AM13" s="1"/>
      <c r="AN13" s="1"/>
      <c r="AO13" t="s">
        <v>55</v>
      </c>
      <c r="AP13" t="s">
        <v>55</v>
      </c>
      <c r="AQ13" t="s">
        <v>33</v>
      </c>
    </row>
    <row r="14" spans="1:43" x14ac:dyDescent="0.25">
      <c r="A14" t="s">
        <v>299</v>
      </c>
      <c r="B14" t="s">
        <v>57</v>
      </c>
      <c r="C14" t="s">
        <v>57</v>
      </c>
      <c r="D14" t="s">
        <v>145</v>
      </c>
      <c r="E14" t="s">
        <v>55</v>
      </c>
      <c r="F14" t="s">
        <v>55</v>
      </c>
      <c r="G14" s="3"/>
      <c r="H14" s="1"/>
      <c r="I14" s="1"/>
      <c r="J14" s="1"/>
      <c r="K14" s="1"/>
      <c r="L14" s="1"/>
      <c r="M14" s="2"/>
      <c r="N14" s="5">
        <v>0</v>
      </c>
      <c r="O14" s="4" t="s">
        <v>55</v>
      </c>
      <c r="P14" s="4" t="s">
        <v>55</v>
      </c>
      <c r="Q14" s="2"/>
      <c r="R14" s="1"/>
      <c r="S14" s="6"/>
      <c r="T14" t="s">
        <v>55</v>
      </c>
      <c r="U14" t="s">
        <v>55</v>
      </c>
      <c r="V14" t="s">
        <v>55</v>
      </c>
      <c r="W14" t="s">
        <v>55</v>
      </c>
      <c r="X14" t="s">
        <v>55</v>
      </c>
      <c r="Y14" t="s">
        <v>55</v>
      </c>
      <c r="Z14" t="s">
        <v>55</v>
      </c>
      <c r="AA14" t="s">
        <v>55</v>
      </c>
      <c r="AB14" t="s">
        <v>55</v>
      </c>
      <c r="AC14" s="5"/>
      <c r="AD14" s="5"/>
      <c r="AE14" s="1"/>
      <c r="AF14" s="5"/>
      <c r="AG14" s="1"/>
      <c r="AH14" s="1"/>
      <c r="AI14" s="1">
        <v>0</v>
      </c>
      <c r="AJ14" s="4" t="s">
        <v>55</v>
      </c>
      <c r="AK14" t="s">
        <v>16</v>
      </c>
      <c r="AL14" s="1"/>
      <c r="AM14" s="1"/>
      <c r="AN14" s="1"/>
      <c r="AO14" t="s">
        <v>55</v>
      </c>
      <c r="AP14" t="s">
        <v>55</v>
      </c>
      <c r="AQ14" t="s">
        <v>55</v>
      </c>
    </row>
    <row r="15" spans="1:43" x14ac:dyDescent="0.25">
      <c r="A15" t="s">
        <v>300</v>
      </c>
      <c r="B15" t="s">
        <v>57</v>
      </c>
      <c r="C15" t="s">
        <v>57</v>
      </c>
      <c r="D15" t="s">
        <v>145</v>
      </c>
      <c r="E15" t="s">
        <v>55</v>
      </c>
      <c r="F15" t="s">
        <v>55</v>
      </c>
      <c r="G15" s="3"/>
      <c r="H15" s="1"/>
      <c r="I15" s="1"/>
      <c r="J15" s="1"/>
      <c r="K15" s="1"/>
      <c r="L15" s="1"/>
      <c r="M15" s="2"/>
      <c r="N15" s="5">
        <v>0</v>
      </c>
      <c r="O15" s="4" t="s">
        <v>55</v>
      </c>
      <c r="P15" s="4" t="s">
        <v>55</v>
      </c>
      <c r="Q15" s="2"/>
      <c r="R15" s="1"/>
      <c r="S15" s="6"/>
      <c r="T15" t="s">
        <v>55</v>
      </c>
      <c r="U15" t="s">
        <v>55</v>
      </c>
      <c r="V15" t="s">
        <v>55</v>
      </c>
      <c r="W15" t="s">
        <v>55</v>
      </c>
      <c r="X15" t="s">
        <v>55</v>
      </c>
      <c r="Y15" t="s">
        <v>55</v>
      </c>
      <c r="Z15" t="s">
        <v>55</v>
      </c>
      <c r="AA15" t="s">
        <v>55</v>
      </c>
      <c r="AB15" t="s">
        <v>55</v>
      </c>
      <c r="AC15" s="5"/>
      <c r="AD15" s="5"/>
      <c r="AE15" s="1"/>
      <c r="AF15" s="5"/>
      <c r="AG15" s="1"/>
      <c r="AH15" s="1"/>
      <c r="AI15" s="1">
        <v>0</v>
      </c>
      <c r="AJ15" s="4" t="s">
        <v>55</v>
      </c>
      <c r="AK15" t="s">
        <v>177</v>
      </c>
      <c r="AL15" s="1"/>
      <c r="AM15" s="1"/>
      <c r="AN15" s="1"/>
      <c r="AO15" t="s">
        <v>55</v>
      </c>
      <c r="AP15" t="s">
        <v>55</v>
      </c>
      <c r="AQ15" t="s">
        <v>55</v>
      </c>
    </row>
    <row r="16" spans="1:43" x14ac:dyDescent="0.25">
      <c r="A16" t="s">
        <v>301</v>
      </c>
      <c r="B16" t="s">
        <v>57</v>
      </c>
      <c r="C16" t="s">
        <v>57</v>
      </c>
      <c r="D16" t="s">
        <v>145</v>
      </c>
      <c r="E16" t="s">
        <v>55</v>
      </c>
      <c r="F16" t="s">
        <v>55</v>
      </c>
      <c r="G16" s="3"/>
      <c r="H16" s="1"/>
      <c r="I16" s="1"/>
      <c r="J16" s="1"/>
      <c r="K16" s="1"/>
      <c r="L16" s="1"/>
      <c r="M16" s="2"/>
      <c r="N16" s="5">
        <v>0</v>
      </c>
      <c r="O16" s="4" t="s">
        <v>55</v>
      </c>
      <c r="P16" s="4" t="s">
        <v>55</v>
      </c>
      <c r="Q16" s="2"/>
      <c r="R16" s="1"/>
      <c r="S16" s="6"/>
      <c r="T16" t="s">
        <v>55</v>
      </c>
      <c r="U16" t="s">
        <v>55</v>
      </c>
      <c r="V16" t="s">
        <v>55</v>
      </c>
      <c r="W16" t="s">
        <v>55</v>
      </c>
      <c r="X16" t="s">
        <v>55</v>
      </c>
      <c r="Y16" t="s">
        <v>55</v>
      </c>
      <c r="Z16" t="s">
        <v>55</v>
      </c>
      <c r="AA16" t="s">
        <v>55</v>
      </c>
      <c r="AB16" t="s">
        <v>55</v>
      </c>
      <c r="AC16" s="5"/>
      <c r="AD16" s="5"/>
      <c r="AE16" s="1"/>
      <c r="AF16" s="5"/>
      <c r="AG16" s="1"/>
      <c r="AH16" s="1"/>
      <c r="AI16" s="1">
        <v>0</v>
      </c>
      <c r="AJ16" s="4" t="s">
        <v>55</v>
      </c>
      <c r="AK16" t="s">
        <v>18</v>
      </c>
      <c r="AL16" s="1"/>
      <c r="AM16" s="1"/>
      <c r="AN16" s="1"/>
      <c r="AO16" t="s">
        <v>55</v>
      </c>
      <c r="AP16" t="s">
        <v>55</v>
      </c>
      <c r="AQ16" t="s">
        <v>55</v>
      </c>
    </row>
    <row r="17" spans="1:43" x14ac:dyDescent="0.25">
      <c r="A17" t="s">
        <v>302</v>
      </c>
      <c r="B17" t="s">
        <v>57</v>
      </c>
      <c r="C17" t="s">
        <v>57</v>
      </c>
      <c r="D17" t="s">
        <v>145</v>
      </c>
      <c r="E17" t="s">
        <v>55</v>
      </c>
      <c r="F17" t="s">
        <v>55</v>
      </c>
      <c r="G17" s="3"/>
      <c r="H17" s="1"/>
      <c r="I17" s="1"/>
      <c r="J17" s="1"/>
      <c r="K17" s="1"/>
      <c r="L17" s="1"/>
      <c r="M17" s="2"/>
      <c r="N17" s="5">
        <v>0</v>
      </c>
      <c r="O17" s="4" t="s">
        <v>55</v>
      </c>
      <c r="P17" s="4" t="s">
        <v>55</v>
      </c>
      <c r="Q17" s="2"/>
      <c r="R17" s="1"/>
      <c r="S17" s="6"/>
      <c r="T17" t="s">
        <v>55</v>
      </c>
      <c r="U17" t="s">
        <v>55</v>
      </c>
      <c r="V17" t="s">
        <v>55</v>
      </c>
      <c r="W17" t="s">
        <v>55</v>
      </c>
      <c r="X17" t="s">
        <v>55</v>
      </c>
      <c r="Y17" t="s">
        <v>55</v>
      </c>
      <c r="Z17" t="s">
        <v>55</v>
      </c>
      <c r="AA17" t="s">
        <v>55</v>
      </c>
      <c r="AB17" t="s">
        <v>55</v>
      </c>
      <c r="AC17" s="5"/>
      <c r="AD17" s="5"/>
      <c r="AE17" s="1"/>
      <c r="AF17" s="5"/>
      <c r="AG17" s="1"/>
      <c r="AH17" s="1"/>
      <c r="AI17" s="1">
        <v>0</v>
      </c>
      <c r="AJ17" s="4" t="s">
        <v>55</v>
      </c>
      <c r="AK17" t="s">
        <v>19</v>
      </c>
      <c r="AL17" s="1"/>
      <c r="AM17" s="1"/>
      <c r="AN17" s="1"/>
      <c r="AO17" t="s">
        <v>55</v>
      </c>
      <c r="AP17" t="s">
        <v>55</v>
      </c>
      <c r="AQ17" t="s">
        <v>55</v>
      </c>
    </row>
    <row r="18" spans="1:43" x14ac:dyDescent="0.25">
      <c r="A18" t="s">
        <v>41</v>
      </c>
      <c r="B18" t="s">
        <v>57</v>
      </c>
      <c r="C18" t="s">
        <v>57</v>
      </c>
      <c r="D18" t="s">
        <v>145</v>
      </c>
      <c r="E18" t="s">
        <v>55</v>
      </c>
      <c r="F18" t="s">
        <v>55</v>
      </c>
      <c r="G18" s="3"/>
      <c r="H18" s="1"/>
      <c r="I18" s="1"/>
      <c r="J18" s="1"/>
      <c r="K18" s="1"/>
      <c r="L18" s="1"/>
      <c r="M18" s="2"/>
      <c r="N18" s="5">
        <v>0</v>
      </c>
      <c r="O18" s="4" t="s">
        <v>55</v>
      </c>
      <c r="P18" s="4" t="s">
        <v>55</v>
      </c>
      <c r="Q18" s="2"/>
      <c r="R18" s="1"/>
      <c r="S18" s="6"/>
      <c r="T18" t="s">
        <v>55</v>
      </c>
      <c r="U18" t="s">
        <v>55</v>
      </c>
      <c r="V18" t="s">
        <v>55</v>
      </c>
      <c r="W18" t="s">
        <v>55</v>
      </c>
      <c r="X18" t="s">
        <v>55</v>
      </c>
      <c r="Y18" t="s">
        <v>55</v>
      </c>
      <c r="Z18" t="s">
        <v>55</v>
      </c>
      <c r="AA18" t="s">
        <v>55</v>
      </c>
      <c r="AB18" t="s">
        <v>55</v>
      </c>
      <c r="AC18" s="5"/>
      <c r="AD18" s="5"/>
      <c r="AE18" s="1"/>
      <c r="AF18" s="5"/>
      <c r="AG18" s="1"/>
      <c r="AH18" s="1"/>
      <c r="AI18" s="1">
        <v>0</v>
      </c>
      <c r="AJ18" s="4" t="s">
        <v>55</v>
      </c>
      <c r="AK18" t="s">
        <v>24</v>
      </c>
      <c r="AL18" s="1"/>
      <c r="AM18" s="1"/>
      <c r="AN18" s="1"/>
      <c r="AO18" t="s">
        <v>55</v>
      </c>
      <c r="AP18" t="s">
        <v>55</v>
      </c>
      <c r="AQ18" t="s">
        <v>55</v>
      </c>
    </row>
    <row r="19" spans="1:43" x14ac:dyDescent="0.25">
      <c r="A19" t="s">
        <v>39</v>
      </c>
      <c r="B19" t="s">
        <v>58</v>
      </c>
      <c r="C19" t="s">
        <v>221</v>
      </c>
      <c r="D19" t="s">
        <v>232</v>
      </c>
      <c r="E19" t="s">
        <v>233</v>
      </c>
      <c r="F19" t="s">
        <v>232</v>
      </c>
      <c r="G19" s="3">
        <v>-185284.85</v>
      </c>
      <c r="H19" s="1">
        <v>-185284.85</v>
      </c>
      <c r="I19" s="1">
        <v>-185284.85</v>
      </c>
      <c r="J19" s="1">
        <v>0</v>
      </c>
      <c r="K19" s="1">
        <v>0</v>
      </c>
      <c r="L19" s="1">
        <v>-185284.85</v>
      </c>
      <c r="M19" s="2">
        <v>1</v>
      </c>
      <c r="N19" s="5">
        <v>8.0100400399999998</v>
      </c>
      <c r="O19" s="4" t="s">
        <v>55</v>
      </c>
      <c r="P19" s="4">
        <v>45316</v>
      </c>
      <c r="Q19" s="2"/>
      <c r="R19" s="1"/>
      <c r="S19" s="6"/>
      <c r="T19" t="s">
        <v>37</v>
      </c>
      <c r="U19" t="s">
        <v>55</v>
      </c>
      <c r="V19" t="s">
        <v>55</v>
      </c>
      <c r="W19" t="s">
        <v>34</v>
      </c>
      <c r="X19" t="s">
        <v>55</v>
      </c>
      <c r="Y19" t="s">
        <v>55</v>
      </c>
      <c r="Z19" t="s">
        <v>55</v>
      </c>
      <c r="AA19" t="s">
        <v>55</v>
      </c>
      <c r="AB19" t="s">
        <v>55</v>
      </c>
      <c r="AC19" s="5"/>
      <c r="AD19" s="5"/>
      <c r="AE19" s="1"/>
      <c r="AF19" s="5"/>
      <c r="AG19" s="1">
        <v>-1180.3</v>
      </c>
      <c r="AH19" s="1">
        <v>-185284.85</v>
      </c>
      <c r="AI19" s="1">
        <v>8.01</v>
      </c>
      <c r="AJ19" s="4">
        <v>45203</v>
      </c>
      <c r="AK19" t="s">
        <v>29</v>
      </c>
      <c r="AL19" s="1"/>
      <c r="AM19" s="1"/>
      <c r="AN19" s="1"/>
      <c r="AO19" t="s">
        <v>55</v>
      </c>
      <c r="AP19" t="s">
        <v>55</v>
      </c>
      <c r="AQ19" t="s">
        <v>34</v>
      </c>
    </row>
    <row r="20" spans="1:43" x14ac:dyDescent="0.25">
      <c r="A20" t="s">
        <v>39</v>
      </c>
      <c r="B20" t="s">
        <v>58</v>
      </c>
      <c r="C20" t="s">
        <v>221</v>
      </c>
      <c r="D20" t="s">
        <v>238</v>
      </c>
      <c r="E20" t="s">
        <v>239</v>
      </c>
      <c r="F20" t="s">
        <v>238</v>
      </c>
      <c r="G20" s="3">
        <v>-30000</v>
      </c>
      <c r="H20" s="1">
        <v>-30000</v>
      </c>
      <c r="I20" s="1">
        <v>-30000</v>
      </c>
      <c r="J20" s="1">
        <v>0</v>
      </c>
      <c r="K20" s="1">
        <v>0</v>
      </c>
      <c r="L20" s="1">
        <v>-30000</v>
      </c>
      <c r="M20" s="2">
        <v>1</v>
      </c>
      <c r="N20" s="5">
        <v>1.29692849</v>
      </c>
      <c r="O20" s="4" t="s">
        <v>55</v>
      </c>
      <c r="P20" s="4">
        <v>45316</v>
      </c>
      <c r="Q20" s="2"/>
      <c r="R20" s="1"/>
      <c r="S20" s="6"/>
      <c r="T20" t="s">
        <v>37</v>
      </c>
      <c r="U20" t="s">
        <v>55</v>
      </c>
      <c r="V20" t="s">
        <v>55</v>
      </c>
      <c r="W20" t="s">
        <v>34</v>
      </c>
      <c r="X20" t="s">
        <v>55</v>
      </c>
      <c r="Y20" t="s">
        <v>55</v>
      </c>
      <c r="Z20" t="s">
        <v>55</v>
      </c>
      <c r="AA20" t="s">
        <v>55</v>
      </c>
      <c r="AB20" t="s">
        <v>55</v>
      </c>
      <c r="AC20" s="5"/>
      <c r="AD20" s="5"/>
      <c r="AE20" s="1"/>
      <c r="AF20" s="5"/>
      <c r="AG20" s="1">
        <v>-191.1</v>
      </c>
      <c r="AH20" s="1">
        <v>-30000</v>
      </c>
      <c r="AI20" s="1">
        <v>1.3</v>
      </c>
      <c r="AJ20" s="4">
        <v>45203</v>
      </c>
      <c r="AK20" t="s">
        <v>29</v>
      </c>
      <c r="AL20" s="1"/>
      <c r="AM20" s="1"/>
      <c r="AN20" s="1"/>
      <c r="AO20" t="s">
        <v>55</v>
      </c>
      <c r="AP20" t="s">
        <v>55</v>
      </c>
      <c r="AQ20" t="s">
        <v>34</v>
      </c>
    </row>
    <row r="21" spans="1:43" x14ac:dyDescent="0.25">
      <c r="A21" t="s">
        <v>39</v>
      </c>
      <c r="B21" t="s">
        <v>58</v>
      </c>
      <c r="C21" t="s">
        <v>221</v>
      </c>
      <c r="D21" t="s">
        <v>234</v>
      </c>
      <c r="E21" t="s">
        <v>233</v>
      </c>
      <c r="F21" t="s">
        <v>234</v>
      </c>
      <c r="G21" s="3">
        <v>210000</v>
      </c>
      <c r="H21" s="1">
        <v>185284.85</v>
      </c>
      <c r="I21" s="1">
        <v>199037.51</v>
      </c>
      <c r="J21" s="1">
        <v>0</v>
      </c>
      <c r="K21" s="1">
        <v>0</v>
      </c>
      <c r="L21" s="1">
        <v>199037.51</v>
      </c>
      <c r="M21" s="2">
        <v>1.055077</v>
      </c>
      <c r="N21" s="5">
        <v>-8.6045806000000002</v>
      </c>
      <c r="O21" s="4" t="s">
        <v>55</v>
      </c>
      <c r="P21" s="4">
        <v>45316</v>
      </c>
      <c r="Q21" s="2"/>
      <c r="R21" s="1"/>
      <c r="S21" s="6"/>
      <c r="T21" t="s">
        <v>37</v>
      </c>
      <c r="U21" t="s">
        <v>55</v>
      </c>
      <c r="V21" t="s">
        <v>55</v>
      </c>
      <c r="W21" t="s">
        <v>32</v>
      </c>
      <c r="X21" t="s">
        <v>55</v>
      </c>
      <c r="Y21" t="s">
        <v>55</v>
      </c>
      <c r="Z21" t="s">
        <v>55</v>
      </c>
      <c r="AA21" t="s">
        <v>55</v>
      </c>
      <c r="AB21" t="s">
        <v>55</v>
      </c>
      <c r="AC21" s="5"/>
      <c r="AD21" s="5"/>
      <c r="AE21" s="1"/>
      <c r="AF21" s="5"/>
      <c r="AG21" s="1">
        <v>1267.9000000000001</v>
      </c>
      <c r="AH21" s="1">
        <v>199037.51</v>
      </c>
      <c r="AI21" s="1">
        <v>-8.6</v>
      </c>
      <c r="AJ21" s="4">
        <v>45203</v>
      </c>
      <c r="AK21" t="s">
        <v>29</v>
      </c>
      <c r="AL21" s="1"/>
      <c r="AM21" s="1"/>
      <c r="AN21" s="1"/>
      <c r="AO21" t="s">
        <v>55</v>
      </c>
      <c r="AP21" t="s">
        <v>55</v>
      </c>
      <c r="AQ21" t="s">
        <v>32</v>
      </c>
    </row>
    <row r="22" spans="1:43" x14ac:dyDescent="0.25">
      <c r="A22" t="s">
        <v>39</v>
      </c>
      <c r="B22" t="s">
        <v>58</v>
      </c>
      <c r="C22" t="s">
        <v>221</v>
      </c>
      <c r="D22" t="s">
        <v>240</v>
      </c>
      <c r="E22" t="s">
        <v>239</v>
      </c>
      <c r="F22" t="s">
        <v>240</v>
      </c>
      <c r="G22" s="3">
        <v>33705</v>
      </c>
      <c r="H22" s="1">
        <v>30000</v>
      </c>
      <c r="I22" s="1">
        <v>31945.52</v>
      </c>
      <c r="J22" s="1">
        <v>0</v>
      </c>
      <c r="K22" s="1">
        <v>0</v>
      </c>
      <c r="L22" s="1">
        <v>31945.52</v>
      </c>
      <c r="M22" s="2">
        <v>1.055077</v>
      </c>
      <c r="N22" s="5">
        <v>-1.3810351700000001</v>
      </c>
      <c r="O22" s="4" t="s">
        <v>55</v>
      </c>
      <c r="P22" s="4">
        <v>45316</v>
      </c>
      <c r="Q22" s="2"/>
      <c r="R22" s="1"/>
      <c r="S22" s="6"/>
      <c r="T22" t="s">
        <v>37</v>
      </c>
      <c r="U22" t="s">
        <v>55</v>
      </c>
      <c r="V22" t="s">
        <v>55</v>
      </c>
      <c r="W22" t="s">
        <v>32</v>
      </c>
      <c r="X22" t="s">
        <v>55</v>
      </c>
      <c r="Y22" t="s">
        <v>55</v>
      </c>
      <c r="Z22" t="s">
        <v>55</v>
      </c>
      <c r="AA22" t="s">
        <v>55</v>
      </c>
      <c r="AB22" t="s">
        <v>55</v>
      </c>
      <c r="AC22" s="5"/>
      <c r="AD22" s="5"/>
      <c r="AE22" s="1"/>
      <c r="AF22" s="5"/>
      <c r="AG22" s="1">
        <v>203.5</v>
      </c>
      <c r="AH22" s="1">
        <v>31945.52</v>
      </c>
      <c r="AI22" s="1">
        <v>-1.38</v>
      </c>
      <c r="AJ22" s="4">
        <v>45203</v>
      </c>
      <c r="AK22" t="s">
        <v>29</v>
      </c>
      <c r="AL22" s="1"/>
      <c r="AM22" s="1"/>
      <c r="AN22" s="1"/>
      <c r="AO22" t="s">
        <v>55</v>
      </c>
      <c r="AP22" t="s">
        <v>55</v>
      </c>
      <c r="AQ22" t="s">
        <v>32</v>
      </c>
    </row>
    <row r="23" spans="1:43" x14ac:dyDescent="0.25">
      <c r="A23" t="s">
        <v>38</v>
      </c>
      <c r="B23" t="s">
        <v>58</v>
      </c>
      <c r="C23" t="s">
        <v>221</v>
      </c>
      <c r="D23" t="s">
        <v>235</v>
      </c>
      <c r="E23" t="s">
        <v>236</v>
      </c>
      <c r="F23" t="s">
        <v>235</v>
      </c>
      <c r="G23" s="3">
        <v>-4600000</v>
      </c>
      <c r="H23" s="1">
        <v>-4600000</v>
      </c>
      <c r="I23" s="1">
        <v>-4600000</v>
      </c>
      <c r="J23" s="1">
        <v>0</v>
      </c>
      <c r="K23" s="1">
        <v>0</v>
      </c>
      <c r="L23" s="1">
        <v>-4600000</v>
      </c>
      <c r="M23" s="2">
        <v>1</v>
      </c>
      <c r="N23" s="5">
        <v>198.86236890999999</v>
      </c>
      <c r="O23" s="4" t="s">
        <v>55</v>
      </c>
      <c r="P23" s="4">
        <v>45316</v>
      </c>
      <c r="Q23" s="2"/>
      <c r="R23" s="1"/>
      <c r="S23" s="6"/>
      <c r="T23" t="s">
        <v>37</v>
      </c>
      <c r="U23" t="s">
        <v>55</v>
      </c>
      <c r="V23" t="s">
        <v>55</v>
      </c>
      <c r="W23" t="s">
        <v>34</v>
      </c>
      <c r="X23" t="s">
        <v>55</v>
      </c>
      <c r="Y23" t="s">
        <v>55</v>
      </c>
      <c r="Z23" t="s">
        <v>55</v>
      </c>
      <c r="AA23" t="s">
        <v>55</v>
      </c>
      <c r="AB23" t="s">
        <v>55</v>
      </c>
      <c r="AC23" s="5"/>
      <c r="AD23" s="5"/>
      <c r="AE23" s="1"/>
      <c r="AF23" s="5"/>
      <c r="AG23" s="1">
        <v>23109.7</v>
      </c>
      <c r="AH23" s="1">
        <v>-4600000</v>
      </c>
      <c r="AI23" s="1">
        <v>198.86</v>
      </c>
      <c r="AJ23" s="4">
        <v>45203</v>
      </c>
      <c r="AK23" t="s">
        <v>27</v>
      </c>
      <c r="AL23" s="1"/>
      <c r="AM23" s="1"/>
      <c r="AN23" s="1"/>
      <c r="AO23" t="s">
        <v>55</v>
      </c>
      <c r="AP23" t="s">
        <v>55</v>
      </c>
      <c r="AQ23" t="s">
        <v>34</v>
      </c>
    </row>
    <row r="24" spans="1:43" x14ac:dyDescent="0.25">
      <c r="A24" t="s">
        <v>38</v>
      </c>
      <c r="B24" t="s">
        <v>58</v>
      </c>
      <c r="C24" t="s">
        <v>221</v>
      </c>
      <c r="D24" t="s">
        <v>241</v>
      </c>
      <c r="E24" t="s">
        <v>242</v>
      </c>
      <c r="F24" t="s">
        <v>241</v>
      </c>
      <c r="G24" s="3">
        <v>-200000</v>
      </c>
      <c r="H24" s="1">
        <v>-200000</v>
      </c>
      <c r="I24" s="1">
        <v>-200000</v>
      </c>
      <c r="J24" s="1">
        <v>0</v>
      </c>
      <c r="K24" s="1">
        <v>0</v>
      </c>
      <c r="L24" s="1">
        <v>-200000</v>
      </c>
      <c r="M24" s="2">
        <v>1</v>
      </c>
      <c r="N24" s="5">
        <v>8.6461899500000001</v>
      </c>
      <c r="O24" s="4" t="s">
        <v>55</v>
      </c>
      <c r="P24" s="4">
        <v>45316</v>
      </c>
      <c r="Q24" s="2"/>
      <c r="R24" s="1"/>
      <c r="S24" s="6"/>
      <c r="T24" t="s">
        <v>37</v>
      </c>
      <c r="U24" t="s">
        <v>55</v>
      </c>
      <c r="V24" t="s">
        <v>55</v>
      </c>
      <c r="W24" t="s">
        <v>34</v>
      </c>
      <c r="X24" t="s">
        <v>55</v>
      </c>
      <c r="Y24" t="s">
        <v>55</v>
      </c>
      <c r="Z24" t="s">
        <v>55</v>
      </c>
      <c r="AA24" t="s">
        <v>55</v>
      </c>
      <c r="AB24" t="s">
        <v>55</v>
      </c>
      <c r="AC24" s="5"/>
      <c r="AD24" s="5"/>
      <c r="AE24" s="1"/>
      <c r="AF24" s="5"/>
      <c r="AG24" s="1">
        <v>1004.77</v>
      </c>
      <c r="AH24" s="1">
        <v>-200000</v>
      </c>
      <c r="AI24" s="1">
        <v>8.65</v>
      </c>
      <c r="AJ24" s="4">
        <v>45203</v>
      </c>
      <c r="AK24" t="s">
        <v>27</v>
      </c>
      <c r="AL24" s="1"/>
      <c r="AM24" s="1"/>
      <c r="AN24" s="1"/>
      <c r="AO24" t="s">
        <v>55</v>
      </c>
      <c r="AP24" t="s">
        <v>55</v>
      </c>
      <c r="AQ24" t="s">
        <v>34</v>
      </c>
    </row>
    <row r="25" spans="1:43" x14ac:dyDescent="0.25">
      <c r="A25" t="s">
        <v>38</v>
      </c>
      <c r="B25" t="s">
        <v>58</v>
      </c>
      <c r="C25" t="s">
        <v>221</v>
      </c>
      <c r="D25" t="s">
        <v>268</v>
      </c>
      <c r="E25" t="s">
        <v>269</v>
      </c>
      <c r="F25" t="s">
        <v>268</v>
      </c>
      <c r="G25" s="3">
        <v>230000</v>
      </c>
      <c r="H25" s="1">
        <v>230000</v>
      </c>
      <c r="I25" s="1">
        <v>230000</v>
      </c>
      <c r="J25" s="1">
        <v>0</v>
      </c>
      <c r="K25" s="1">
        <v>0</v>
      </c>
      <c r="L25" s="1">
        <v>230000</v>
      </c>
      <c r="M25" s="2">
        <v>1</v>
      </c>
      <c r="N25" s="5">
        <v>-9.9431184500000001</v>
      </c>
      <c r="O25" s="4" t="s">
        <v>55</v>
      </c>
      <c r="P25" s="4">
        <v>45316</v>
      </c>
      <c r="Q25" s="2"/>
      <c r="R25" s="1"/>
      <c r="S25" s="6"/>
      <c r="T25" t="s">
        <v>37</v>
      </c>
      <c r="U25" t="s">
        <v>55</v>
      </c>
      <c r="V25" t="s">
        <v>55</v>
      </c>
      <c r="W25" t="s">
        <v>34</v>
      </c>
      <c r="X25" t="s">
        <v>55</v>
      </c>
      <c r="Y25" t="s">
        <v>55</v>
      </c>
      <c r="Z25" t="s">
        <v>55</v>
      </c>
      <c r="AA25" t="s">
        <v>55</v>
      </c>
      <c r="AB25" t="s">
        <v>55</v>
      </c>
      <c r="AC25" s="5"/>
      <c r="AD25" s="5"/>
      <c r="AE25" s="1"/>
      <c r="AF25" s="5"/>
      <c r="AG25" s="1">
        <v>-1155.49</v>
      </c>
      <c r="AH25" s="1">
        <v>230000</v>
      </c>
      <c r="AI25" s="1">
        <v>-9.94</v>
      </c>
      <c r="AJ25" s="4">
        <v>45203</v>
      </c>
      <c r="AK25" t="s">
        <v>27</v>
      </c>
      <c r="AL25" s="1"/>
      <c r="AM25" s="1"/>
      <c r="AN25" s="1"/>
      <c r="AO25" t="s">
        <v>55</v>
      </c>
      <c r="AP25" t="s">
        <v>55</v>
      </c>
      <c r="AQ25" t="s">
        <v>34</v>
      </c>
    </row>
    <row r="26" spans="1:43" x14ac:dyDescent="0.25">
      <c r="A26" t="s">
        <v>38</v>
      </c>
      <c r="B26" t="s">
        <v>58</v>
      </c>
      <c r="C26" t="s">
        <v>221</v>
      </c>
      <c r="D26" t="s">
        <v>271</v>
      </c>
      <c r="E26" t="s">
        <v>272</v>
      </c>
      <c r="F26" t="s">
        <v>271</v>
      </c>
      <c r="G26" s="3">
        <v>1200000</v>
      </c>
      <c r="H26" s="1">
        <v>1200000</v>
      </c>
      <c r="I26" s="1">
        <v>1200000</v>
      </c>
      <c r="J26" s="1">
        <v>0</v>
      </c>
      <c r="K26" s="1">
        <v>0</v>
      </c>
      <c r="L26" s="1">
        <v>1200000</v>
      </c>
      <c r="M26" s="2">
        <v>1</v>
      </c>
      <c r="N26" s="5">
        <v>-51.877139720000002</v>
      </c>
      <c r="O26" s="4" t="s">
        <v>55</v>
      </c>
      <c r="P26" s="4">
        <v>45316</v>
      </c>
      <c r="Q26" s="2"/>
      <c r="R26" s="1"/>
      <c r="S26" s="6"/>
      <c r="T26" t="s">
        <v>37</v>
      </c>
      <c r="U26" t="s">
        <v>55</v>
      </c>
      <c r="V26" t="s">
        <v>55</v>
      </c>
      <c r="W26" t="s">
        <v>34</v>
      </c>
      <c r="X26" t="s">
        <v>55</v>
      </c>
      <c r="Y26" t="s">
        <v>55</v>
      </c>
      <c r="Z26" t="s">
        <v>55</v>
      </c>
      <c r="AA26" t="s">
        <v>55</v>
      </c>
      <c r="AB26" t="s">
        <v>55</v>
      </c>
      <c r="AC26" s="5"/>
      <c r="AD26" s="5"/>
      <c r="AE26" s="1"/>
      <c r="AF26" s="5"/>
      <c r="AG26" s="1">
        <v>-6028.62</v>
      </c>
      <c r="AH26" s="1">
        <v>1200000</v>
      </c>
      <c r="AI26" s="1">
        <v>-51.88</v>
      </c>
      <c r="AJ26" s="4">
        <v>45203</v>
      </c>
      <c r="AK26" t="s">
        <v>27</v>
      </c>
      <c r="AL26" s="1"/>
      <c r="AM26" s="1"/>
      <c r="AN26" s="1"/>
      <c r="AO26" t="s">
        <v>55</v>
      </c>
      <c r="AP26" t="s">
        <v>55</v>
      </c>
      <c r="AQ26" t="s">
        <v>34</v>
      </c>
    </row>
    <row r="27" spans="1:43" x14ac:dyDescent="0.25">
      <c r="A27" t="s">
        <v>38</v>
      </c>
      <c r="B27" t="s">
        <v>58</v>
      </c>
      <c r="C27" t="s">
        <v>221</v>
      </c>
      <c r="D27" t="s">
        <v>237</v>
      </c>
      <c r="E27" t="s">
        <v>236</v>
      </c>
      <c r="F27" t="s">
        <v>237</v>
      </c>
      <c r="G27" s="3">
        <v>94829000</v>
      </c>
      <c r="H27" s="1">
        <v>4600000</v>
      </c>
      <c r="I27" s="1">
        <v>4584070.24</v>
      </c>
      <c r="J27" s="1">
        <v>0</v>
      </c>
      <c r="K27" s="1">
        <v>0</v>
      </c>
      <c r="L27" s="1">
        <v>4584070.24</v>
      </c>
      <c r="M27" s="2">
        <v>20.686637999999999</v>
      </c>
      <c r="N27" s="5">
        <v>-198.17371026000001</v>
      </c>
      <c r="O27" s="4" t="s">
        <v>55</v>
      </c>
      <c r="P27" s="4">
        <v>45316</v>
      </c>
      <c r="Q27" s="2"/>
      <c r="R27" s="1"/>
      <c r="S27" s="6"/>
      <c r="T27" t="s">
        <v>37</v>
      </c>
      <c r="U27" t="s">
        <v>55</v>
      </c>
      <c r="V27" t="s">
        <v>55</v>
      </c>
      <c r="W27" t="s">
        <v>33</v>
      </c>
      <c r="X27" t="s">
        <v>55</v>
      </c>
      <c r="Y27" t="s">
        <v>55</v>
      </c>
      <c r="Z27" t="s">
        <v>55</v>
      </c>
      <c r="AA27" t="s">
        <v>55</v>
      </c>
      <c r="AB27" t="s">
        <v>55</v>
      </c>
      <c r="AC27" s="5"/>
      <c r="AD27" s="5"/>
      <c r="AE27" s="1"/>
      <c r="AF27" s="5"/>
      <c r="AG27" s="1">
        <v>-23029.67</v>
      </c>
      <c r="AH27" s="1">
        <v>4584070.24</v>
      </c>
      <c r="AI27" s="1">
        <v>-198.17</v>
      </c>
      <c r="AJ27" s="4">
        <v>45203</v>
      </c>
      <c r="AK27" t="s">
        <v>27</v>
      </c>
      <c r="AL27" s="1"/>
      <c r="AM27" s="1"/>
      <c r="AN27" s="1"/>
      <c r="AO27" t="s">
        <v>55</v>
      </c>
      <c r="AP27" t="s">
        <v>55</v>
      </c>
      <c r="AQ27" t="s">
        <v>33</v>
      </c>
    </row>
    <row r="28" spans="1:43" x14ac:dyDescent="0.25">
      <c r="A28" t="s">
        <v>38</v>
      </c>
      <c r="B28" t="s">
        <v>58</v>
      </c>
      <c r="C28" t="s">
        <v>221</v>
      </c>
      <c r="D28" t="s">
        <v>243</v>
      </c>
      <c r="E28" t="s">
        <v>242</v>
      </c>
      <c r="F28" t="s">
        <v>243</v>
      </c>
      <c r="G28" s="3">
        <v>3982000</v>
      </c>
      <c r="H28" s="1">
        <v>200000</v>
      </c>
      <c r="I28" s="1">
        <v>192491.41</v>
      </c>
      <c r="J28" s="1">
        <v>0</v>
      </c>
      <c r="K28" s="1">
        <v>0</v>
      </c>
      <c r="L28" s="1">
        <v>192491.41</v>
      </c>
      <c r="M28" s="2">
        <v>20.686637999999999</v>
      </c>
      <c r="N28" s="5">
        <v>-8.3215864800000006</v>
      </c>
      <c r="O28" s="4" t="s">
        <v>55</v>
      </c>
      <c r="P28" s="4">
        <v>45316</v>
      </c>
      <c r="Q28" s="2"/>
      <c r="R28" s="1"/>
      <c r="S28" s="6"/>
      <c r="T28" t="s">
        <v>37</v>
      </c>
      <c r="U28" t="s">
        <v>55</v>
      </c>
      <c r="V28" t="s">
        <v>55</v>
      </c>
      <c r="W28" t="s">
        <v>33</v>
      </c>
      <c r="X28" t="s">
        <v>55</v>
      </c>
      <c r="Y28" t="s">
        <v>55</v>
      </c>
      <c r="Z28" t="s">
        <v>55</v>
      </c>
      <c r="AA28" t="s">
        <v>55</v>
      </c>
      <c r="AB28" t="s">
        <v>55</v>
      </c>
      <c r="AC28" s="5"/>
      <c r="AD28" s="5"/>
      <c r="AE28" s="1"/>
      <c r="AF28" s="5"/>
      <c r="AG28" s="1">
        <v>-967.05</v>
      </c>
      <c r="AH28" s="1">
        <v>192491.41</v>
      </c>
      <c r="AI28" s="1">
        <v>-8.32</v>
      </c>
      <c r="AJ28" s="4">
        <v>45203</v>
      </c>
      <c r="AK28" t="s">
        <v>27</v>
      </c>
      <c r="AL28" s="1"/>
      <c r="AM28" s="1"/>
      <c r="AN28" s="1"/>
      <c r="AO28" t="s">
        <v>55</v>
      </c>
      <c r="AP28" t="s">
        <v>55</v>
      </c>
      <c r="AQ28" t="s">
        <v>33</v>
      </c>
    </row>
    <row r="29" spans="1:43" x14ac:dyDescent="0.25">
      <c r="A29" t="s">
        <v>38</v>
      </c>
      <c r="B29" t="s">
        <v>58</v>
      </c>
      <c r="C29" t="s">
        <v>221</v>
      </c>
      <c r="D29" t="s">
        <v>270</v>
      </c>
      <c r="E29" t="s">
        <v>269</v>
      </c>
      <c r="F29" t="s">
        <v>270</v>
      </c>
      <c r="G29" s="3">
        <v>-4866800</v>
      </c>
      <c r="H29" s="1">
        <v>-230000</v>
      </c>
      <c r="I29" s="1">
        <v>-235262.98</v>
      </c>
      <c r="J29" s="1">
        <v>0</v>
      </c>
      <c r="K29" s="1">
        <v>0</v>
      </c>
      <c r="L29" s="1">
        <v>-235262.98</v>
      </c>
      <c r="M29" s="2">
        <v>20.686637999999999</v>
      </c>
      <c r="N29" s="5">
        <v>10.17064207</v>
      </c>
      <c r="O29" s="4" t="s">
        <v>55</v>
      </c>
      <c r="P29" s="4">
        <v>45316</v>
      </c>
      <c r="Q29" s="2"/>
      <c r="R29" s="1"/>
      <c r="S29" s="6"/>
      <c r="T29" t="s">
        <v>37</v>
      </c>
      <c r="U29" t="s">
        <v>55</v>
      </c>
      <c r="V29" t="s">
        <v>55</v>
      </c>
      <c r="W29" t="s">
        <v>33</v>
      </c>
      <c r="X29" t="s">
        <v>55</v>
      </c>
      <c r="Y29" t="s">
        <v>55</v>
      </c>
      <c r="Z29" t="s">
        <v>55</v>
      </c>
      <c r="AA29" t="s">
        <v>55</v>
      </c>
      <c r="AB29" t="s">
        <v>55</v>
      </c>
      <c r="AC29" s="5"/>
      <c r="AD29" s="5"/>
      <c r="AE29" s="1"/>
      <c r="AF29" s="5"/>
      <c r="AG29" s="1">
        <v>1181.93</v>
      </c>
      <c r="AH29" s="1">
        <v>-235262.98</v>
      </c>
      <c r="AI29" s="1">
        <v>10.17</v>
      </c>
      <c r="AJ29" s="4">
        <v>45203</v>
      </c>
      <c r="AK29" t="s">
        <v>27</v>
      </c>
      <c r="AL29" s="1"/>
      <c r="AM29" s="1"/>
      <c r="AN29" s="1"/>
      <c r="AO29" t="s">
        <v>55</v>
      </c>
      <c r="AP29" t="s">
        <v>55</v>
      </c>
      <c r="AQ29" t="s">
        <v>33</v>
      </c>
    </row>
    <row r="30" spans="1:43" x14ac:dyDescent="0.25">
      <c r="A30" t="s">
        <v>38</v>
      </c>
      <c r="B30" t="s">
        <v>58</v>
      </c>
      <c r="C30" t="s">
        <v>221</v>
      </c>
      <c r="D30" t="s">
        <v>273</v>
      </c>
      <c r="E30" t="s">
        <v>272</v>
      </c>
      <c r="F30" t="s">
        <v>273</v>
      </c>
      <c r="G30" s="3">
        <v>-24642000</v>
      </c>
      <c r="H30" s="1">
        <v>-1200000</v>
      </c>
      <c r="I30" s="1">
        <v>-1191203.73</v>
      </c>
      <c r="J30" s="1">
        <v>0</v>
      </c>
      <c r="K30" s="1">
        <v>0</v>
      </c>
      <c r="L30" s="1">
        <v>-1191203.73</v>
      </c>
      <c r="M30" s="2">
        <v>20.686637999999999</v>
      </c>
      <c r="N30" s="5">
        <v>51.49686861</v>
      </c>
      <c r="O30" s="4" t="s">
        <v>55</v>
      </c>
      <c r="P30" s="4">
        <v>45316</v>
      </c>
      <c r="Q30" s="2"/>
      <c r="R30" s="1"/>
      <c r="S30" s="6"/>
      <c r="T30" t="s">
        <v>37</v>
      </c>
      <c r="U30" t="s">
        <v>55</v>
      </c>
      <c r="V30" t="s">
        <v>55</v>
      </c>
      <c r="W30" t="s">
        <v>33</v>
      </c>
      <c r="X30" t="s">
        <v>55</v>
      </c>
      <c r="Y30" t="s">
        <v>55</v>
      </c>
      <c r="Z30" t="s">
        <v>55</v>
      </c>
      <c r="AA30" t="s">
        <v>55</v>
      </c>
      <c r="AB30" t="s">
        <v>55</v>
      </c>
      <c r="AC30" s="5"/>
      <c r="AD30" s="5"/>
      <c r="AE30" s="1"/>
      <c r="AF30" s="5"/>
      <c r="AG30" s="1">
        <v>5984.43</v>
      </c>
      <c r="AH30" s="1">
        <v>-1191203.73</v>
      </c>
      <c r="AI30" s="1">
        <v>51.5</v>
      </c>
      <c r="AJ30" s="4">
        <v>45203</v>
      </c>
      <c r="AK30" t="s">
        <v>27</v>
      </c>
      <c r="AL30" s="1"/>
      <c r="AM30" s="1"/>
      <c r="AN30" s="1"/>
      <c r="AO30" t="s">
        <v>55</v>
      </c>
      <c r="AP30" t="s">
        <v>55</v>
      </c>
      <c r="AQ30" t="s">
        <v>33</v>
      </c>
    </row>
    <row r="31" spans="1:43" x14ac:dyDescent="0.25">
      <c r="A31" t="s">
        <v>40</v>
      </c>
      <c r="B31" t="s">
        <v>57</v>
      </c>
      <c r="C31" t="s">
        <v>57</v>
      </c>
      <c r="D31" t="s">
        <v>145</v>
      </c>
      <c r="E31" t="s">
        <v>55</v>
      </c>
      <c r="F31" t="s">
        <v>55</v>
      </c>
      <c r="G31" s="3"/>
      <c r="H31" s="1"/>
      <c r="I31" s="1"/>
      <c r="J31" s="1"/>
      <c r="K31" s="1"/>
      <c r="L31" s="1"/>
      <c r="M31" s="2"/>
      <c r="N31" s="5">
        <v>0</v>
      </c>
      <c r="O31" s="4" t="s">
        <v>55</v>
      </c>
      <c r="P31" s="4" t="s">
        <v>55</v>
      </c>
      <c r="Q31" s="2"/>
      <c r="R31" s="1"/>
      <c r="S31" s="6"/>
      <c r="T31" t="s">
        <v>55</v>
      </c>
      <c r="U31" t="s">
        <v>55</v>
      </c>
      <c r="V31" t="s">
        <v>55</v>
      </c>
      <c r="W31" t="s">
        <v>55</v>
      </c>
      <c r="X31" t="s">
        <v>55</v>
      </c>
      <c r="Y31" t="s">
        <v>55</v>
      </c>
      <c r="Z31" t="s">
        <v>55</v>
      </c>
      <c r="AA31" t="s">
        <v>55</v>
      </c>
      <c r="AB31" t="s">
        <v>55</v>
      </c>
      <c r="AC31" s="5"/>
      <c r="AD31" s="5"/>
      <c r="AE31" s="1"/>
      <c r="AF31" s="5"/>
      <c r="AG31" s="1"/>
      <c r="AH31" s="1"/>
      <c r="AI31" s="1">
        <v>0</v>
      </c>
      <c r="AJ31" s="4" t="s">
        <v>55</v>
      </c>
      <c r="AK31" t="s">
        <v>28</v>
      </c>
      <c r="AL31" s="1"/>
      <c r="AM31" s="1"/>
      <c r="AN31" s="1"/>
      <c r="AO31" t="s">
        <v>55</v>
      </c>
      <c r="AP31" t="s">
        <v>55</v>
      </c>
      <c r="AQ31" t="s">
        <v>55</v>
      </c>
    </row>
    <row r="32" spans="1:43" x14ac:dyDescent="0.25">
      <c r="A32" t="s">
        <v>48</v>
      </c>
      <c r="B32" t="s">
        <v>58</v>
      </c>
      <c r="C32" t="s">
        <v>221</v>
      </c>
      <c r="D32" t="s">
        <v>278</v>
      </c>
      <c r="E32" t="s">
        <v>279</v>
      </c>
      <c r="F32" t="s">
        <v>278</v>
      </c>
      <c r="G32" s="3">
        <v>-2750000</v>
      </c>
      <c r="H32" s="1">
        <v>-2750000</v>
      </c>
      <c r="I32" s="1">
        <v>-2750000</v>
      </c>
      <c r="J32" s="1">
        <v>0</v>
      </c>
      <c r="K32" s="1">
        <v>0</v>
      </c>
      <c r="L32" s="1">
        <v>-2750000</v>
      </c>
      <c r="M32" s="2">
        <v>1</v>
      </c>
      <c r="N32" s="5">
        <v>118.88511185</v>
      </c>
      <c r="O32" s="4" t="s">
        <v>55</v>
      </c>
      <c r="P32" s="4">
        <v>45348</v>
      </c>
      <c r="Q32" s="2"/>
      <c r="R32" s="1"/>
      <c r="S32" s="6"/>
      <c r="T32" t="s">
        <v>37</v>
      </c>
      <c r="U32" t="s">
        <v>55</v>
      </c>
      <c r="V32" t="s">
        <v>55</v>
      </c>
      <c r="W32" t="s">
        <v>32</v>
      </c>
      <c r="X32" t="s">
        <v>55</v>
      </c>
      <c r="Y32" t="s">
        <v>55</v>
      </c>
      <c r="Z32" t="s">
        <v>55</v>
      </c>
      <c r="AA32" t="s">
        <v>55</v>
      </c>
      <c r="AB32" t="s">
        <v>55</v>
      </c>
      <c r="AC32" s="5"/>
      <c r="AD32" s="5"/>
      <c r="AE32" s="1"/>
      <c r="AF32" s="5"/>
      <c r="AG32" s="1">
        <v>907.54</v>
      </c>
      <c r="AH32" s="1">
        <v>-2750000</v>
      </c>
      <c r="AI32" s="1">
        <v>118.89</v>
      </c>
      <c r="AJ32" s="4">
        <v>45203</v>
      </c>
      <c r="AK32" t="s">
        <v>20</v>
      </c>
      <c r="AL32" s="1"/>
      <c r="AM32" s="1"/>
      <c r="AN32" s="1"/>
      <c r="AO32" t="s">
        <v>55</v>
      </c>
      <c r="AP32" t="s">
        <v>55</v>
      </c>
      <c r="AQ32" t="s">
        <v>32</v>
      </c>
    </row>
    <row r="33" spans="1:43" x14ac:dyDescent="0.25">
      <c r="A33" t="s">
        <v>48</v>
      </c>
      <c r="B33" t="s">
        <v>58</v>
      </c>
      <c r="C33" t="s">
        <v>221</v>
      </c>
      <c r="D33" t="s">
        <v>287</v>
      </c>
      <c r="E33" t="s">
        <v>288</v>
      </c>
      <c r="F33" t="s">
        <v>287</v>
      </c>
      <c r="G33" s="3">
        <v>1850000</v>
      </c>
      <c r="H33" s="1">
        <v>1850000</v>
      </c>
      <c r="I33" s="1">
        <v>1850000</v>
      </c>
      <c r="J33" s="1">
        <v>0</v>
      </c>
      <c r="K33" s="1">
        <v>0</v>
      </c>
      <c r="L33" s="1">
        <v>1850000</v>
      </c>
      <c r="M33" s="2">
        <v>1</v>
      </c>
      <c r="N33" s="5">
        <v>-79.977257059999999</v>
      </c>
      <c r="O33" s="4" t="s">
        <v>55</v>
      </c>
      <c r="P33" s="4">
        <v>45348</v>
      </c>
      <c r="Q33" s="2"/>
      <c r="R33" s="1"/>
      <c r="S33" s="6"/>
      <c r="T33" t="s">
        <v>37</v>
      </c>
      <c r="U33" t="s">
        <v>55</v>
      </c>
      <c r="V33" t="s">
        <v>55</v>
      </c>
      <c r="W33" t="s">
        <v>32</v>
      </c>
      <c r="X33" t="s">
        <v>55</v>
      </c>
      <c r="Y33" t="s">
        <v>55</v>
      </c>
      <c r="Z33" t="s">
        <v>55</v>
      </c>
      <c r="AA33" t="s">
        <v>55</v>
      </c>
      <c r="AB33" t="s">
        <v>55</v>
      </c>
      <c r="AC33" s="5"/>
      <c r="AD33" s="5"/>
      <c r="AE33" s="1"/>
      <c r="AF33" s="5"/>
      <c r="AG33" s="1">
        <v>-610.53</v>
      </c>
      <c r="AH33" s="1">
        <v>1850000</v>
      </c>
      <c r="AI33" s="1">
        <v>-79.98</v>
      </c>
      <c r="AJ33" s="4">
        <v>45203</v>
      </c>
      <c r="AK33" t="s">
        <v>20</v>
      </c>
      <c r="AL33" s="1"/>
      <c r="AM33" s="1"/>
      <c r="AN33" s="1"/>
      <c r="AO33" t="s">
        <v>55</v>
      </c>
      <c r="AP33" t="s">
        <v>55</v>
      </c>
      <c r="AQ33" t="s">
        <v>32</v>
      </c>
    </row>
    <row r="34" spans="1:43" x14ac:dyDescent="0.25">
      <c r="A34" t="s">
        <v>48</v>
      </c>
      <c r="B34" t="s">
        <v>58</v>
      </c>
      <c r="C34" t="s">
        <v>221</v>
      </c>
      <c r="D34" t="s">
        <v>256</v>
      </c>
      <c r="E34" t="s">
        <v>257</v>
      </c>
      <c r="F34" t="s">
        <v>256</v>
      </c>
      <c r="G34" s="3">
        <v>-13995000</v>
      </c>
      <c r="H34" s="1">
        <v>-13995000</v>
      </c>
      <c r="I34" s="1">
        <v>-13995000</v>
      </c>
      <c r="J34" s="1">
        <v>0</v>
      </c>
      <c r="K34" s="1">
        <v>0</v>
      </c>
      <c r="L34" s="1">
        <v>-13995000</v>
      </c>
      <c r="M34" s="2">
        <v>1</v>
      </c>
      <c r="N34" s="5">
        <v>605.01714193999999</v>
      </c>
      <c r="O34" s="4" t="s">
        <v>55</v>
      </c>
      <c r="P34" s="4">
        <v>45348</v>
      </c>
      <c r="Q34" s="2"/>
      <c r="R34" s="1"/>
      <c r="S34" s="6"/>
      <c r="T34" t="s">
        <v>37</v>
      </c>
      <c r="U34" t="s">
        <v>55</v>
      </c>
      <c r="V34" t="s">
        <v>55</v>
      </c>
      <c r="W34" t="s">
        <v>32</v>
      </c>
      <c r="X34" t="s">
        <v>55</v>
      </c>
      <c r="Y34" t="s">
        <v>55</v>
      </c>
      <c r="Z34" t="s">
        <v>55</v>
      </c>
      <c r="AA34" t="s">
        <v>55</v>
      </c>
      <c r="AB34" t="s">
        <v>55</v>
      </c>
      <c r="AC34" s="5"/>
      <c r="AD34" s="5"/>
      <c r="AE34" s="1"/>
      <c r="AF34" s="5"/>
      <c r="AG34" s="1">
        <v>4618.54</v>
      </c>
      <c r="AH34" s="1">
        <v>-13995000</v>
      </c>
      <c r="AI34" s="1">
        <v>605.02</v>
      </c>
      <c r="AJ34" s="4">
        <v>45203</v>
      </c>
      <c r="AK34" t="s">
        <v>20</v>
      </c>
      <c r="AL34" s="1"/>
      <c r="AM34" s="1"/>
      <c r="AN34" s="1"/>
      <c r="AO34" t="s">
        <v>55</v>
      </c>
      <c r="AP34" t="s">
        <v>55</v>
      </c>
      <c r="AQ34" t="s">
        <v>32</v>
      </c>
    </row>
    <row r="35" spans="1:43" x14ac:dyDescent="0.25">
      <c r="A35" t="s">
        <v>48</v>
      </c>
      <c r="B35" t="s">
        <v>58</v>
      </c>
      <c r="C35" t="s">
        <v>221</v>
      </c>
      <c r="D35" t="s">
        <v>265</v>
      </c>
      <c r="E35" t="s">
        <v>266</v>
      </c>
      <c r="F35" t="s">
        <v>265</v>
      </c>
      <c r="G35" s="3">
        <v>-3500000</v>
      </c>
      <c r="H35" s="1">
        <v>-3500000</v>
      </c>
      <c r="I35" s="1">
        <v>-3500000</v>
      </c>
      <c r="J35" s="1">
        <v>0</v>
      </c>
      <c r="K35" s="1">
        <v>0</v>
      </c>
      <c r="L35" s="1">
        <v>-3500000</v>
      </c>
      <c r="M35" s="2">
        <v>1</v>
      </c>
      <c r="N35" s="5">
        <v>151.30832416999999</v>
      </c>
      <c r="O35" s="4" t="s">
        <v>55</v>
      </c>
      <c r="P35" s="4">
        <v>45348</v>
      </c>
      <c r="Q35" s="2"/>
      <c r="R35" s="1"/>
      <c r="S35" s="6"/>
      <c r="T35" t="s">
        <v>37</v>
      </c>
      <c r="U35" t="s">
        <v>55</v>
      </c>
      <c r="V35" t="s">
        <v>55</v>
      </c>
      <c r="W35" t="s">
        <v>32</v>
      </c>
      <c r="X35" t="s">
        <v>55</v>
      </c>
      <c r="Y35" t="s">
        <v>55</v>
      </c>
      <c r="Z35" t="s">
        <v>55</v>
      </c>
      <c r="AA35" t="s">
        <v>55</v>
      </c>
      <c r="AB35" t="s">
        <v>55</v>
      </c>
      <c r="AC35" s="5"/>
      <c r="AD35" s="5"/>
      <c r="AE35" s="1"/>
      <c r="AF35" s="5"/>
      <c r="AG35" s="1">
        <v>1155.05</v>
      </c>
      <c r="AH35" s="1">
        <v>-3500000</v>
      </c>
      <c r="AI35" s="1">
        <v>151.31</v>
      </c>
      <c r="AJ35" s="4">
        <v>45203</v>
      </c>
      <c r="AK35" t="s">
        <v>20</v>
      </c>
      <c r="AL35" s="1"/>
      <c r="AM35" s="1"/>
      <c r="AN35" s="1"/>
      <c r="AO35" t="s">
        <v>55</v>
      </c>
      <c r="AP35" t="s">
        <v>55</v>
      </c>
      <c r="AQ35" t="s">
        <v>32</v>
      </c>
    </row>
    <row r="36" spans="1:43" x14ac:dyDescent="0.25">
      <c r="A36" t="s">
        <v>48</v>
      </c>
      <c r="B36" t="s">
        <v>58</v>
      </c>
      <c r="C36" t="s">
        <v>221</v>
      </c>
      <c r="D36" t="s">
        <v>280</v>
      </c>
      <c r="E36" t="s">
        <v>279</v>
      </c>
      <c r="F36" t="s">
        <v>280</v>
      </c>
      <c r="G36" s="3">
        <v>52497500</v>
      </c>
      <c r="H36" s="1">
        <v>2750000</v>
      </c>
      <c r="I36" s="1">
        <v>2671066.9300000002</v>
      </c>
      <c r="J36" s="1">
        <v>0</v>
      </c>
      <c r="K36" s="1">
        <v>0</v>
      </c>
      <c r="L36" s="1">
        <v>2671066.9300000002</v>
      </c>
      <c r="M36" s="2">
        <v>19.654131</v>
      </c>
      <c r="N36" s="5">
        <v>-115.47276026999999</v>
      </c>
      <c r="O36" s="4" t="s">
        <v>55</v>
      </c>
      <c r="P36" s="4">
        <v>45348</v>
      </c>
      <c r="Q36" s="2"/>
      <c r="R36" s="1"/>
      <c r="S36" s="6"/>
      <c r="T36" t="s">
        <v>37</v>
      </c>
      <c r="U36" t="s">
        <v>55</v>
      </c>
      <c r="V36" t="s">
        <v>55</v>
      </c>
      <c r="W36" t="s">
        <v>33</v>
      </c>
      <c r="X36" t="s">
        <v>55</v>
      </c>
      <c r="Y36" t="s">
        <v>55</v>
      </c>
      <c r="Z36" t="s">
        <v>55</v>
      </c>
      <c r="AA36" t="s">
        <v>55</v>
      </c>
      <c r="AB36" t="s">
        <v>55</v>
      </c>
      <c r="AC36" s="5"/>
      <c r="AD36" s="5"/>
      <c r="AE36" s="1"/>
      <c r="AF36" s="5"/>
      <c r="AG36" s="1">
        <v>-881.49</v>
      </c>
      <c r="AH36" s="1">
        <v>2671066.9300000002</v>
      </c>
      <c r="AI36" s="1">
        <v>-115.47</v>
      </c>
      <c r="AJ36" s="4">
        <v>45203</v>
      </c>
      <c r="AK36" t="s">
        <v>20</v>
      </c>
      <c r="AL36" s="1"/>
      <c r="AM36" s="1"/>
      <c r="AN36" s="1"/>
      <c r="AO36" t="s">
        <v>55</v>
      </c>
      <c r="AP36" t="s">
        <v>55</v>
      </c>
      <c r="AQ36" t="s">
        <v>33</v>
      </c>
    </row>
    <row r="37" spans="1:43" x14ac:dyDescent="0.25">
      <c r="A37" t="s">
        <v>48</v>
      </c>
      <c r="B37" t="s">
        <v>58</v>
      </c>
      <c r="C37" t="s">
        <v>221</v>
      </c>
      <c r="D37" t="s">
        <v>289</v>
      </c>
      <c r="E37" t="s">
        <v>288</v>
      </c>
      <c r="F37" t="s">
        <v>289</v>
      </c>
      <c r="G37" s="3">
        <v>-36051875</v>
      </c>
      <c r="H37" s="1">
        <v>-1850000</v>
      </c>
      <c r="I37" s="1">
        <v>-1834315.37</v>
      </c>
      <c r="J37" s="1">
        <v>0</v>
      </c>
      <c r="K37" s="1">
        <v>0</v>
      </c>
      <c r="L37" s="1">
        <v>-1834315.37</v>
      </c>
      <c r="M37" s="2">
        <v>19.654131</v>
      </c>
      <c r="N37" s="5">
        <v>79.299195609999998</v>
      </c>
      <c r="O37" s="4" t="s">
        <v>55</v>
      </c>
      <c r="P37" s="4">
        <v>45348</v>
      </c>
      <c r="Q37" s="2"/>
      <c r="R37" s="1"/>
      <c r="S37" s="6"/>
      <c r="T37" t="s">
        <v>37</v>
      </c>
      <c r="U37" t="s">
        <v>55</v>
      </c>
      <c r="V37" t="s">
        <v>55</v>
      </c>
      <c r="W37" t="s">
        <v>33</v>
      </c>
      <c r="X37" t="s">
        <v>55</v>
      </c>
      <c r="Y37" t="s">
        <v>55</v>
      </c>
      <c r="Z37" t="s">
        <v>55</v>
      </c>
      <c r="AA37" t="s">
        <v>55</v>
      </c>
      <c r="AB37" t="s">
        <v>55</v>
      </c>
      <c r="AC37" s="5"/>
      <c r="AD37" s="5"/>
      <c r="AE37" s="1"/>
      <c r="AF37" s="5"/>
      <c r="AG37" s="1">
        <v>605.35</v>
      </c>
      <c r="AH37" s="1">
        <v>-1834315.37</v>
      </c>
      <c r="AI37" s="1">
        <v>79.3</v>
      </c>
      <c r="AJ37" s="4">
        <v>45203</v>
      </c>
      <c r="AK37" t="s">
        <v>20</v>
      </c>
      <c r="AL37" s="1"/>
      <c r="AM37" s="1"/>
      <c r="AN37" s="1"/>
      <c r="AO37" t="s">
        <v>55</v>
      </c>
      <c r="AP37" t="s">
        <v>55</v>
      </c>
      <c r="AQ37" t="s">
        <v>33</v>
      </c>
    </row>
    <row r="38" spans="1:43" x14ac:dyDescent="0.25">
      <c r="A38" t="s">
        <v>48</v>
      </c>
      <c r="B38" t="s">
        <v>58</v>
      </c>
      <c r="C38" t="s">
        <v>221</v>
      </c>
      <c r="D38" t="s">
        <v>258</v>
      </c>
      <c r="E38" t="s">
        <v>257</v>
      </c>
      <c r="F38" t="s">
        <v>258</v>
      </c>
      <c r="G38" s="3">
        <v>271399437</v>
      </c>
      <c r="H38" s="1">
        <v>13995000</v>
      </c>
      <c r="I38" s="1">
        <v>13808773.01</v>
      </c>
      <c r="J38" s="1">
        <v>0</v>
      </c>
      <c r="K38" s="1">
        <v>0</v>
      </c>
      <c r="L38" s="1">
        <v>13808773.01</v>
      </c>
      <c r="M38" s="2">
        <v>19.654131</v>
      </c>
      <c r="N38" s="5">
        <v>-596.96637228999998</v>
      </c>
      <c r="O38" s="4" t="s">
        <v>55</v>
      </c>
      <c r="P38" s="4">
        <v>45348</v>
      </c>
      <c r="Q38" s="2"/>
      <c r="R38" s="1"/>
      <c r="S38" s="6"/>
      <c r="T38" t="s">
        <v>37</v>
      </c>
      <c r="U38" t="s">
        <v>55</v>
      </c>
      <c r="V38" t="s">
        <v>55</v>
      </c>
      <c r="W38" t="s">
        <v>33</v>
      </c>
      <c r="X38" t="s">
        <v>55</v>
      </c>
      <c r="Y38" t="s">
        <v>55</v>
      </c>
      <c r="Z38" t="s">
        <v>55</v>
      </c>
      <c r="AA38" t="s">
        <v>55</v>
      </c>
      <c r="AB38" t="s">
        <v>55</v>
      </c>
      <c r="AC38" s="5"/>
      <c r="AD38" s="5"/>
      <c r="AE38" s="1"/>
      <c r="AF38" s="5"/>
      <c r="AG38" s="1">
        <v>-4557.09</v>
      </c>
      <c r="AH38" s="1">
        <v>13808773.01</v>
      </c>
      <c r="AI38" s="1">
        <v>-596.97</v>
      </c>
      <c r="AJ38" s="4">
        <v>45203</v>
      </c>
      <c r="AK38" t="s">
        <v>20</v>
      </c>
      <c r="AL38" s="1"/>
      <c r="AM38" s="1"/>
      <c r="AN38" s="1"/>
      <c r="AO38" t="s">
        <v>55</v>
      </c>
      <c r="AP38" t="s">
        <v>55</v>
      </c>
      <c r="AQ38" t="s">
        <v>33</v>
      </c>
    </row>
    <row r="39" spans="1:43" x14ac:dyDescent="0.25">
      <c r="A39" t="s">
        <v>48</v>
      </c>
      <c r="B39" t="s">
        <v>58</v>
      </c>
      <c r="C39" t="s">
        <v>221</v>
      </c>
      <c r="D39" t="s">
        <v>267</v>
      </c>
      <c r="E39" t="s">
        <v>266</v>
      </c>
      <c r="F39" t="s">
        <v>267</v>
      </c>
      <c r="G39" s="3">
        <v>67737135</v>
      </c>
      <c r="H39" s="1">
        <v>3500000</v>
      </c>
      <c r="I39" s="1">
        <v>3446457.86</v>
      </c>
      <c r="J39" s="1">
        <v>0</v>
      </c>
      <c r="K39" s="1">
        <v>0</v>
      </c>
      <c r="L39" s="1">
        <v>3446457.86</v>
      </c>
      <c r="M39" s="2">
        <v>19.654131</v>
      </c>
      <c r="N39" s="5">
        <v>-148.99364661000001</v>
      </c>
      <c r="O39" s="4" t="s">
        <v>55</v>
      </c>
      <c r="P39" s="4">
        <v>45348</v>
      </c>
      <c r="Q39" s="2"/>
      <c r="R39" s="1"/>
      <c r="S39" s="6"/>
      <c r="T39" t="s">
        <v>37</v>
      </c>
      <c r="U39" t="s">
        <v>55</v>
      </c>
      <c r="V39" t="s">
        <v>55</v>
      </c>
      <c r="W39" t="s">
        <v>33</v>
      </c>
      <c r="X39" t="s">
        <v>55</v>
      </c>
      <c r="Y39" t="s">
        <v>55</v>
      </c>
      <c r="Z39" t="s">
        <v>55</v>
      </c>
      <c r="AA39" t="s">
        <v>55</v>
      </c>
      <c r="AB39" t="s">
        <v>55</v>
      </c>
      <c r="AC39" s="5"/>
      <c r="AD39" s="5"/>
      <c r="AE39" s="1"/>
      <c r="AF39" s="5"/>
      <c r="AG39" s="1">
        <v>-1137.3800000000001</v>
      </c>
      <c r="AH39" s="1">
        <v>3446457.86</v>
      </c>
      <c r="AI39" s="1">
        <v>-148.99</v>
      </c>
      <c r="AJ39" s="4">
        <v>45203</v>
      </c>
      <c r="AK39" t="s">
        <v>20</v>
      </c>
      <c r="AL39" s="1"/>
      <c r="AM39" s="1"/>
      <c r="AN39" s="1"/>
      <c r="AO39" t="s">
        <v>55</v>
      </c>
      <c r="AP39" t="s">
        <v>55</v>
      </c>
      <c r="AQ39" t="s">
        <v>33</v>
      </c>
    </row>
    <row r="40" spans="1:43" x14ac:dyDescent="0.25">
      <c r="A40" t="s">
        <v>46</v>
      </c>
      <c r="B40" t="s">
        <v>57</v>
      </c>
      <c r="C40" t="s">
        <v>57</v>
      </c>
      <c r="D40" t="s">
        <v>145</v>
      </c>
      <c r="E40" t="s">
        <v>55</v>
      </c>
      <c r="F40" t="s">
        <v>55</v>
      </c>
      <c r="G40" s="3"/>
      <c r="H40" s="1"/>
      <c r="I40" s="1"/>
      <c r="J40" s="1"/>
      <c r="K40" s="1"/>
      <c r="L40" s="1"/>
      <c r="M40" s="2"/>
      <c r="N40" s="5">
        <v>0</v>
      </c>
      <c r="O40" s="4" t="s">
        <v>55</v>
      </c>
      <c r="P40" s="4" t="s">
        <v>55</v>
      </c>
      <c r="Q40" s="2"/>
      <c r="R40" s="1"/>
      <c r="S40" s="6"/>
      <c r="T40" t="s">
        <v>55</v>
      </c>
      <c r="U40" t="s">
        <v>55</v>
      </c>
      <c r="V40" t="s">
        <v>55</v>
      </c>
      <c r="W40" t="s">
        <v>55</v>
      </c>
      <c r="X40" t="s">
        <v>55</v>
      </c>
      <c r="Y40" t="s">
        <v>55</v>
      </c>
      <c r="Z40" t="s">
        <v>55</v>
      </c>
      <c r="AA40" t="s">
        <v>55</v>
      </c>
      <c r="AB40" t="s">
        <v>55</v>
      </c>
      <c r="AC40" s="5"/>
      <c r="AD40" s="5"/>
      <c r="AE40" s="1"/>
      <c r="AF40" s="5"/>
      <c r="AG40" s="1"/>
      <c r="AH40" s="1"/>
      <c r="AI40" s="1">
        <v>0</v>
      </c>
      <c r="AJ40" s="4" t="s">
        <v>55</v>
      </c>
      <c r="AK40" t="s">
        <v>23</v>
      </c>
      <c r="AL40" s="1"/>
      <c r="AM40" s="1"/>
      <c r="AN40" s="1"/>
      <c r="AO40" t="s">
        <v>55</v>
      </c>
      <c r="AP40" t="s">
        <v>55</v>
      </c>
      <c r="AQ40" t="s">
        <v>55</v>
      </c>
    </row>
    <row r="41" spans="1:43" x14ac:dyDescent="0.25">
      <c r="A41" t="s">
        <v>47</v>
      </c>
      <c r="B41" t="s">
        <v>57</v>
      </c>
      <c r="C41" t="s">
        <v>57</v>
      </c>
      <c r="D41" t="s">
        <v>145</v>
      </c>
      <c r="E41" t="s">
        <v>55</v>
      </c>
      <c r="F41" t="s">
        <v>55</v>
      </c>
      <c r="G41" s="3"/>
      <c r="H41" s="1"/>
      <c r="I41" s="1"/>
      <c r="J41" s="1"/>
      <c r="K41" s="1"/>
      <c r="L41" s="1"/>
      <c r="M41" s="2"/>
      <c r="N41" s="5">
        <v>0</v>
      </c>
      <c r="O41" s="4" t="s">
        <v>55</v>
      </c>
      <c r="P41" s="4" t="s">
        <v>55</v>
      </c>
      <c r="Q41" s="2"/>
      <c r="R41" s="1"/>
      <c r="S41" s="6"/>
      <c r="T41" t="s">
        <v>55</v>
      </c>
      <c r="U41" t="s">
        <v>55</v>
      </c>
      <c r="V41" t="s">
        <v>55</v>
      </c>
      <c r="W41" t="s">
        <v>55</v>
      </c>
      <c r="X41" t="s">
        <v>55</v>
      </c>
      <c r="Y41" t="s">
        <v>55</v>
      </c>
      <c r="Z41" t="s">
        <v>55</v>
      </c>
      <c r="AA41" t="s">
        <v>55</v>
      </c>
      <c r="AB41" t="s">
        <v>55</v>
      </c>
      <c r="AC41" s="5"/>
      <c r="AD41" s="5"/>
      <c r="AE41" s="1"/>
      <c r="AF41" s="5"/>
      <c r="AG41" s="1"/>
      <c r="AH41" s="1"/>
      <c r="AI41" s="1">
        <v>0</v>
      </c>
      <c r="AJ41" s="4" t="s">
        <v>55</v>
      </c>
      <c r="AK41" t="s">
        <v>25</v>
      </c>
      <c r="AL41" s="1"/>
      <c r="AM41" s="1"/>
      <c r="AN41" s="1"/>
      <c r="AO41" t="s">
        <v>55</v>
      </c>
      <c r="AP41" t="s">
        <v>55</v>
      </c>
      <c r="AQ41" t="s">
        <v>55</v>
      </c>
    </row>
    <row r="42" spans="1:43" x14ac:dyDescent="0.25">
      <c r="A42" t="s">
        <v>45</v>
      </c>
      <c r="B42" t="s">
        <v>58</v>
      </c>
      <c r="C42" t="s">
        <v>221</v>
      </c>
      <c r="D42" t="s">
        <v>222</v>
      </c>
      <c r="E42" t="s">
        <v>223</v>
      </c>
      <c r="F42" t="s">
        <v>222</v>
      </c>
      <c r="G42" s="3">
        <v>-30000000</v>
      </c>
      <c r="H42" s="1">
        <v>-30000000</v>
      </c>
      <c r="I42" s="1">
        <v>-30000000</v>
      </c>
      <c r="J42" s="1">
        <v>0</v>
      </c>
      <c r="K42" s="1">
        <v>0</v>
      </c>
      <c r="L42" s="1">
        <v>-30000000</v>
      </c>
      <c r="M42" s="2">
        <v>1</v>
      </c>
      <c r="N42" s="5">
        <v>1296.9284929</v>
      </c>
      <c r="O42" s="4" t="s">
        <v>55</v>
      </c>
      <c r="P42" s="4">
        <v>45224</v>
      </c>
      <c r="Q42" s="2"/>
      <c r="R42" s="1"/>
      <c r="S42" s="6"/>
      <c r="T42" t="s">
        <v>37</v>
      </c>
      <c r="U42" t="s">
        <v>55</v>
      </c>
      <c r="V42" t="s">
        <v>55</v>
      </c>
      <c r="W42" t="s">
        <v>32</v>
      </c>
      <c r="X42" t="s">
        <v>55</v>
      </c>
      <c r="Y42" t="s">
        <v>55</v>
      </c>
      <c r="Z42" t="s">
        <v>55</v>
      </c>
      <c r="AA42" t="s">
        <v>55</v>
      </c>
      <c r="AB42" t="s">
        <v>55</v>
      </c>
      <c r="AC42" s="5"/>
      <c r="AD42" s="5"/>
      <c r="AE42" s="1"/>
      <c r="AF42" s="5"/>
      <c r="AG42" s="1">
        <v>2560.66</v>
      </c>
      <c r="AH42" s="1">
        <v>-30000000</v>
      </c>
      <c r="AI42" s="1">
        <v>1296.93</v>
      </c>
      <c r="AJ42" s="4">
        <v>45203</v>
      </c>
      <c r="AK42" t="s">
        <v>26</v>
      </c>
      <c r="AL42" s="1"/>
      <c r="AM42" s="1"/>
      <c r="AN42" s="1"/>
      <c r="AO42" t="s">
        <v>55</v>
      </c>
      <c r="AP42" t="s">
        <v>55</v>
      </c>
      <c r="AQ42" t="s">
        <v>32</v>
      </c>
    </row>
    <row r="43" spans="1:43" x14ac:dyDescent="0.25">
      <c r="A43" t="s">
        <v>45</v>
      </c>
      <c r="B43" t="s">
        <v>58</v>
      </c>
      <c r="C43" t="s">
        <v>221</v>
      </c>
      <c r="D43" t="s">
        <v>225</v>
      </c>
      <c r="E43" t="s">
        <v>226</v>
      </c>
      <c r="F43" t="s">
        <v>225</v>
      </c>
      <c r="G43" s="3">
        <v>3700000</v>
      </c>
      <c r="H43" s="1">
        <v>3700000</v>
      </c>
      <c r="I43" s="1">
        <v>3700000</v>
      </c>
      <c r="J43" s="1">
        <v>0</v>
      </c>
      <c r="K43" s="1">
        <v>0</v>
      </c>
      <c r="L43" s="1">
        <v>3700000</v>
      </c>
      <c r="M43" s="2">
        <v>1</v>
      </c>
      <c r="N43" s="5">
        <v>-159.95451412</v>
      </c>
      <c r="O43" s="4" t="s">
        <v>55</v>
      </c>
      <c r="P43" s="4">
        <v>45224</v>
      </c>
      <c r="Q43" s="2"/>
      <c r="R43" s="1"/>
      <c r="S43" s="6"/>
      <c r="T43" t="s">
        <v>37</v>
      </c>
      <c r="U43" t="s">
        <v>55</v>
      </c>
      <c r="V43" t="s">
        <v>55</v>
      </c>
      <c r="W43" t="s">
        <v>32</v>
      </c>
      <c r="X43" t="s">
        <v>55</v>
      </c>
      <c r="Y43" t="s">
        <v>55</v>
      </c>
      <c r="Z43" t="s">
        <v>55</v>
      </c>
      <c r="AA43" t="s">
        <v>55</v>
      </c>
      <c r="AB43" t="s">
        <v>55</v>
      </c>
      <c r="AC43" s="5"/>
      <c r="AD43" s="5"/>
      <c r="AE43" s="1"/>
      <c r="AF43" s="5"/>
      <c r="AG43" s="1">
        <v>-315.81</v>
      </c>
      <c r="AH43" s="1">
        <v>3700000</v>
      </c>
      <c r="AI43" s="1">
        <v>-159.94999999999999</v>
      </c>
      <c r="AJ43" s="4">
        <v>45203</v>
      </c>
      <c r="AK43" t="s">
        <v>26</v>
      </c>
      <c r="AL43" s="1"/>
      <c r="AM43" s="1"/>
      <c r="AN43" s="1"/>
      <c r="AO43" t="s">
        <v>55</v>
      </c>
      <c r="AP43" t="s">
        <v>55</v>
      </c>
      <c r="AQ43" t="s">
        <v>32</v>
      </c>
    </row>
    <row r="44" spans="1:43" x14ac:dyDescent="0.25">
      <c r="A44" t="s">
        <v>45</v>
      </c>
      <c r="B44" t="s">
        <v>58</v>
      </c>
      <c r="C44" t="s">
        <v>221</v>
      </c>
      <c r="D44" t="s">
        <v>244</v>
      </c>
      <c r="E44" t="s">
        <v>245</v>
      </c>
      <c r="F44" t="s">
        <v>244</v>
      </c>
      <c r="G44" s="3">
        <v>-1800000</v>
      </c>
      <c r="H44" s="1">
        <v>-1800000</v>
      </c>
      <c r="I44" s="1">
        <v>-1800000</v>
      </c>
      <c r="J44" s="1">
        <v>0</v>
      </c>
      <c r="K44" s="1">
        <v>0</v>
      </c>
      <c r="L44" s="1">
        <v>-1800000</v>
      </c>
      <c r="M44" s="2">
        <v>1</v>
      </c>
      <c r="N44" s="5">
        <v>77.815709569999996</v>
      </c>
      <c r="O44" s="4" t="s">
        <v>55</v>
      </c>
      <c r="P44" s="4">
        <v>45224</v>
      </c>
      <c r="Q44" s="2"/>
      <c r="R44" s="1"/>
      <c r="S44" s="6"/>
      <c r="T44" t="s">
        <v>37</v>
      </c>
      <c r="U44" t="s">
        <v>55</v>
      </c>
      <c r="V44" t="s">
        <v>55</v>
      </c>
      <c r="W44" t="s">
        <v>32</v>
      </c>
      <c r="X44" t="s">
        <v>55</v>
      </c>
      <c r="Y44" t="s">
        <v>55</v>
      </c>
      <c r="Z44" t="s">
        <v>55</v>
      </c>
      <c r="AA44" t="s">
        <v>55</v>
      </c>
      <c r="AB44" t="s">
        <v>55</v>
      </c>
      <c r="AC44" s="5"/>
      <c r="AD44" s="5"/>
      <c r="AE44" s="1"/>
      <c r="AF44" s="5"/>
      <c r="AG44" s="1">
        <v>153.63999999999999</v>
      </c>
      <c r="AH44" s="1">
        <v>-1800000</v>
      </c>
      <c r="AI44" s="1">
        <v>77.819999999999993</v>
      </c>
      <c r="AJ44" s="4">
        <v>45203</v>
      </c>
      <c r="AK44" t="s">
        <v>26</v>
      </c>
      <c r="AL44" s="1"/>
      <c r="AM44" s="1"/>
      <c r="AN44" s="1"/>
      <c r="AO44" t="s">
        <v>55</v>
      </c>
      <c r="AP44" t="s">
        <v>55</v>
      </c>
      <c r="AQ44" t="s">
        <v>32</v>
      </c>
    </row>
    <row r="45" spans="1:43" x14ac:dyDescent="0.25">
      <c r="A45" t="s">
        <v>45</v>
      </c>
      <c r="B45" t="s">
        <v>58</v>
      </c>
      <c r="C45" t="s">
        <v>221</v>
      </c>
      <c r="D45" t="s">
        <v>247</v>
      </c>
      <c r="E45" t="s">
        <v>248</v>
      </c>
      <c r="F45" t="s">
        <v>247</v>
      </c>
      <c r="G45" s="3">
        <v>1400000</v>
      </c>
      <c r="H45" s="1">
        <v>1400000</v>
      </c>
      <c r="I45" s="1">
        <v>1400000</v>
      </c>
      <c r="J45" s="1">
        <v>0</v>
      </c>
      <c r="K45" s="1">
        <v>0</v>
      </c>
      <c r="L45" s="1">
        <v>1400000</v>
      </c>
      <c r="M45" s="2">
        <v>1</v>
      </c>
      <c r="N45" s="5">
        <v>-60.523329670000003</v>
      </c>
      <c r="O45" s="4" t="s">
        <v>55</v>
      </c>
      <c r="P45" s="4">
        <v>45224</v>
      </c>
      <c r="Q45" s="2"/>
      <c r="R45" s="1"/>
      <c r="S45" s="6"/>
      <c r="T45" t="s">
        <v>37</v>
      </c>
      <c r="U45" t="s">
        <v>55</v>
      </c>
      <c r="V45" t="s">
        <v>55</v>
      </c>
      <c r="W45" t="s">
        <v>32</v>
      </c>
      <c r="X45" t="s">
        <v>55</v>
      </c>
      <c r="Y45" t="s">
        <v>55</v>
      </c>
      <c r="Z45" t="s">
        <v>55</v>
      </c>
      <c r="AA45" t="s">
        <v>55</v>
      </c>
      <c r="AB45" t="s">
        <v>55</v>
      </c>
      <c r="AC45" s="5"/>
      <c r="AD45" s="5"/>
      <c r="AE45" s="1"/>
      <c r="AF45" s="5"/>
      <c r="AG45" s="1">
        <v>-119.5</v>
      </c>
      <c r="AH45" s="1">
        <v>1400000</v>
      </c>
      <c r="AI45" s="1">
        <v>-60.52</v>
      </c>
      <c r="AJ45" s="4">
        <v>45203</v>
      </c>
      <c r="AK45" t="s">
        <v>26</v>
      </c>
      <c r="AL45" s="1"/>
      <c r="AM45" s="1"/>
      <c r="AN45" s="1"/>
      <c r="AO45" t="s">
        <v>55</v>
      </c>
      <c r="AP45" t="s">
        <v>55</v>
      </c>
      <c r="AQ45" t="s">
        <v>32</v>
      </c>
    </row>
    <row r="46" spans="1:43" x14ac:dyDescent="0.25">
      <c r="A46" t="s">
        <v>45</v>
      </c>
      <c r="B46" t="s">
        <v>58</v>
      </c>
      <c r="C46" t="s">
        <v>221</v>
      </c>
      <c r="D46" t="s">
        <v>290</v>
      </c>
      <c r="E46" t="s">
        <v>291</v>
      </c>
      <c r="F46" t="s">
        <v>290</v>
      </c>
      <c r="G46" s="3">
        <v>1237000</v>
      </c>
      <c r="H46" s="1">
        <v>1237000</v>
      </c>
      <c r="I46" s="1">
        <v>1237000</v>
      </c>
      <c r="J46" s="1">
        <v>0</v>
      </c>
      <c r="K46" s="1">
        <v>0</v>
      </c>
      <c r="L46" s="1">
        <v>1237000</v>
      </c>
      <c r="M46" s="2">
        <v>1</v>
      </c>
      <c r="N46" s="5">
        <v>-53.476684859999999</v>
      </c>
      <c r="O46" s="4" t="s">
        <v>55</v>
      </c>
      <c r="P46" s="4">
        <v>45224</v>
      </c>
      <c r="Q46" s="2"/>
      <c r="R46" s="1"/>
      <c r="S46" s="6"/>
      <c r="T46" t="s">
        <v>37</v>
      </c>
      <c r="U46" t="s">
        <v>55</v>
      </c>
      <c r="V46" t="s">
        <v>55</v>
      </c>
      <c r="W46" t="s">
        <v>32</v>
      </c>
      <c r="X46" t="s">
        <v>55</v>
      </c>
      <c r="Y46" t="s">
        <v>55</v>
      </c>
      <c r="Z46" t="s">
        <v>55</v>
      </c>
      <c r="AA46" t="s">
        <v>55</v>
      </c>
      <c r="AB46" t="s">
        <v>55</v>
      </c>
      <c r="AC46" s="5"/>
      <c r="AD46" s="5"/>
      <c r="AE46" s="1"/>
      <c r="AF46" s="5"/>
      <c r="AG46" s="1">
        <v>-105.58</v>
      </c>
      <c r="AH46" s="1">
        <v>1237000</v>
      </c>
      <c r="AI46" s="1">
        <v>-53.48</v>
      </c>
      <c r="AJ46" s="4">
        <v>45203</v>
      </c>
      <c r="AK46" t="s">
        <v>26</v>
      </c>
      <c r="AL46" s="1"/>
      <c r="AM46" s="1"/>
      <c r="AN46" s="1"/>
      <c r="AO46" t="s">
        <v>55</v>
      </c>
      <c r="AP46" t="s">
        <v>55</v>
      </c>
      <c r="AQ46" t="s">
        <v>32</v>
      </c>
    </row>
    <row r="47" spans="1:43" x14ac:dyDescent="0.25">
      <c r="A47" t="s">
        <v>45</v>
      </c>
      <c r="B47" t="s">
        <v>58</v>
      </c>
      <c r="C47" t="s">
        <v>221</v>
      </c>
      <c r="D47" t="s">
        <v>293</v>
      </c>
      <c r="E47" t="s">
        <v>294</v>
      </c>
      <c r="F47" t="s">
        <v>293</v>
      </c>
      <c r="G47" s="3">
        <v>1300000</v>
      </c>
      <c r="H47" s="1">
        <v>1300000</v>
      </c>
      <c r="I47" s="1">
        <v>1300000</v>
      </c>
      <c r="J47" s="1">
        <v>0</v>
      </c>
      <c r="K47" s="1">
        <v>0</v>
      </c>
      <c r="L47" s="1">
        <v>1300000</v>
      </c>
      <c r="M47" s="2">
        <v>1</v>
      </c>
      <c r="N47" s="5">
        <v>-56.200234690000002</v>
      </c>
      <c r="O47" s="4" t="s">
        <v>55</v>
      </c>
      <c r="P47" s="4">
        <v>45224</v>
      </c>
      <c r="Q47" s="2"/>
      <c r="R47" s="1"/>
      <c r="S47" s="6"/>
      <c r="T47" t="s">
        <v>37</v>
      </c>
      <c r="U47" t="s">
        <v>55</v>
      </c>
      <c r="V47" t="s">
        <v>55</v>
      </c>
      <c r="W47" t="s">
        <v>32</v>
      </c>
      <c r="X47" t="s">
        <v>55</v>
      </c>
      <c r="Y47" t="s">
        <v>55</v>
      </c>
      <c r="Z47" t="s">
        <v>55</v>
      </c>
      <c r="AA47" t="s">
        <v>55</v>
      </c>
      <c r="AB47" t="s">
        <v>55</v>
      </c>
      <c r="AC47" s="5"/>
      <c r="AD47" s="5"/>
      <c r="AE47" s="1"/>
      <c r="AF47" s="5"/>
      <c r="AG47" s="1">
        <v>-110.96</v>
      </c>
      <c r="AH47" s="1">
        <v>1300000</v>
      </c>
      <c r="AI47" s="1">
        <v>-56.2</v>
      </c>
      <c r="AJ47" s="4">
        <v>45203</v>
      </c>
      <c r="AK47" t="s">
        <v>26</v>
      </c>
      <c r="AL47" s="1"/>
      <c r="AM47" s="1"/>
      <c r="AN47" s="1"/>
      <c r="AO47" t="s">
        <v>55</v>
      </c>
      <c r="AP47" t="s">
        <v>55</v>
      </c>
      <c r="AQ47" t="s">
        <v>32</v>
      </c>
    </row>
    <row r="48" spans="1:43" x14ac:dyDescent="0.25">
      <c r="A48" t="s">
        <v>45</v>
      </c>
      <c r="B48" t="s">
        <v>58</v>
      </c>
      <c r="C48" t="s">
        <v>221</v>
      </c>
      <c r="D48" t="s">
        <v>224</v>
      </c>
      <c r="E48" t="s">
        <v>223</v>
      </c>
      <c r="F48" t="s">
        <v>224</v>
      </c>
      <c r="G48" s="3">
        <v>556665000</v>
      </c>
      <c r="H48" s="1">
        <v>30000000</v>
      </c>
      <c r="I48" s="1">
        <v>28641590.82</v>
      </c>
      <c r="J48" s="1">
        <v>0</v>
      </c>
      <c r="K48" s="1">
        <v>0</v>
      </c>
      <c r="L48" s="1">
        <v>28641590.82</v>
      </c>
      <c r="M48" s="2">
        <v>19.435548000000001</v>
      </c>
      <c r="N48" s="5">
        <v>-1238.2031738799999</v>
      </c>
      <c r="O48" s="4" t="s">
        <v>55</v>
      </c>
      <c r="P48" s="4">
        <v>45224</v>
      </c>
      <c r="Q48" s="2"/>
      <c r="R48" s="1"/>
      <c r="S48" s="6"/>
      <c r="T48" t="s">
        <v>37</v>
      </c>
      <c r="U48" t="s">
        <v>55</v>
      </c>
      <c r="V48" t="s">
        <v>55</v>
      </c>
      <c r="W48" t="s">
        <v>33</v>
      </c>
      <c r="X48" t="s">
        <v>55</v>
      </c>
      <c r="Y48" t="s">
        <v>55</v>
      </c>
      <c r="Z48" t="s">
        <v>55</v>
      </c>
      <c r="AA48" t="s">
        <v>55</v>
      </c>
      <c r="AB48" t="s">
        <v>55</v>
      </c>
      <c r="AC48" s="5"/>
      <c r="AD48" s="5"/>
      <c r="AE48" s="1"/>
      <c r="AF48" s="5"/>
      <c r="AG48" s="1">
        <v>-2444.71</v>
      </c>
      <c r="AH48" s="1">
        <v>28641590.82</v>
      </c>
      <c r="AI48" s="1">
        <v>-1238.2</v>
      </c>
      <c r="AJ48" s="4">
        <v>45203</v>
      </c>
      <c r="AK48" t="s">
        <v>26</v>
      </c>
      <c r="AL48" s="1"/>
      <c r="AM48" s="1"/>
      <c r="AN48" s="1"/>
      <c r="AO48" t="s">
        <v>55</v>
      </c>
      <c r="AP48" t="s">
        <v>55</v>
      </c>
      <c r="AQ48" t="s">
        <v>33</v>
      </c>
    </row>
    <row r="49" spans="1:43" x14ac:dyDescent="0.25">
      <c r="A49" t="s">
        <v>45</v>
      </c>
      <c r="B49" t="s">
        <v>58</v>
      </c>
      <c r="C49" t="s">
        <v>221</v>
      </c>
      <c r="D49" t="s">
        <v>227</v>
      </c>
      <c r="E49" t="s">
        <v>226</v>
      </c>
      <c r="F49" t="s">
        <v>227</v>
      </c>
      <c r="G49" s="3">
        <v>-68181750</v>
      </c>
      <c r="H49" s="1">
        <v>-3700000</v>
      </c>
      <c r="I49" s="1">
        <v>-3508095.15</v>
      </c>
      <c r="J49" s="1">
        <v>0</v>
      </c>
      <c r="K49" s="1">
        <v>0</v>
      </c>
      <c r="L49" s="1">
        <v>-3508095.15</v>
      </c>
      <c r="M49" s="2">
        <v>19.435548000000001</v>
      </c>
      <c r="N49" s="5">
        <v>151.65828518999999</v>
      </c>
      <c r="O49" s="4" t="s">
        <v>55</v>
      </c>
      <c r="P49" s="4">
        <v>45224</v>
      </c>
      <c r="Q49" s="2"/>
      <c r="R49" s="1"/>
      <c r="S49" s="6"/>
      <c r="T49" t="s">
        <v>37</v>
      </c>
      <c r="U49" t="s">
        <v>55</v>
      </c>
      <c r="V49" t="s">
        <v>55</v>
      </c>
      <c r="W49" t="s">
        <v>33</v>
      </c>
      <c r="X49" t="s">
        <v>55</v>
      </c>
      <c r="Y49" t="s">
        <v>55</v>
      </c>
      <c r="Z49" t="s">
        <v>55</v>
      </c>
      <c r="AA49" t="s">
        <v>55</v>
      </c>
      <c r="AB49" t="s">
        <v>55</v>
      </c>
      <c r="AC49" s="5"/>
      <c r="AD49" s="5"/>
      <c r="AE49" s="1"/>
      <c r="AF49" s="5"/>
      <c r="AG49" s="1">
        <v>299.43</v>
      </c>
      <c r="AH49" s="1">
        <v>-3508095.15</v>
      </c>
      <c r="AI49" s="1">
        <v>151.66</v>
      </c>
      <c r="AJ49" s="4">
        <v>45203</v>
      </c>
      <c r="AK49" t="s">
        <v>26</v>
      </c>
      <c r="AL49" s="1"/>
      <c r="AM49" s="1"/>
      <c r="AN49" s="1"/>
      <c r="AO49" t="s">
        <v>55</v>
      </c>
      <c r="AP49" t="s">
        <v>55</v>
      </c>
      <c r="AQ49" t="s">
        <v>33</v>
      </c>
    </row>
    <row r="50" spans="1:43" x14ac:dyDescent="0.25">
      <c r="A50" t="s">
        <v>45</v>
      </c>
      <c r="B50" t="s">
        <v>58</v>
      </c>
      <c r="C50" t="s">
        <v>221</v>
      </c>
      <c r="D50" t="s">
        <v>246</v>
      </c>
      <c r="E50" t="s">
        <v>245</v>
      </c>
      <c r="F50" t="s">
        <v>246</v>
      </c>
      <c r="G50" s="3">
        <v>33322500</v>
      </c>
      <c r="H50" s="1">
        <v>1800000</v>
      </c>
      <c r="I50" s="1">
        <v>1714513.06</v>
      </c>
      <c r="J50" s="1">
        <v>0</v>
      </c>
      <c r="K50" s="1">
        <v>0</v>
      </c>
      <c r="L50" s="1">
        <v>1714513.06</v>
      </c>
      <c r="M50" s="2">
        <v>19.435548000000001</v>
      </c>
      <c r="N50" s="5">
        <v>-74.120027969999995</v>
      </c>
      <c r="O50" s="4" t="s">
        <v>55</v>
      </c>
      <c r="P50" s="4">
        <v>45224</v>
      </c>
      <c r="Q50" s="2"/>
      <c r="R50" s="1"/>
      <c r="S50" s="6"/>
      <c r="T50" t="s">
        <v>37</v>
      </c>
      <c r="U50" t="s">
        <v>55</v>
      </c>
      <c r="V50" t="s">
        <v>55</v>
      </c>
      <c r="W50" t="s">
        <v>33</v>
      </c>
      <c r="X50" t="s">
        <v>55</v>
      </c>
      <c r="Y50" t="s">
        <v>55</v>
      </c>
      <c r="Z50" t="s">
        <v>55</v>
      </c>
      <c r="AA50" t="s">
        <v>55</v>
      </c>
      <c r="AB50" t="s">
        <v>55</v>
      </c>
      <c r="AC50" s="5"/>
      <c r="AD50" s="5"/>
      <c r="AE50" s="1"/>
      <c r="AF50" s="5"/>
      <c r="AG50" s="1">
        <v>-146.34</v>
      </c>
      <c r="AH50" s="1">
        <v>1714513.06</v>
      </c>
      <c r="AI50" s="1">
        <v>-74.12</v>
      </c>
      <c r="AJ50" s="4">
        <v>45203</v>
      </c>
      <c r="AK50" t="s">
        <v>26</v>
      </c>
      <c r="AL50" s="1"/>
      <c r="AM50" s="1"/>
      <c r="AN50" s="1"/>
      <c r="AO50" t="s">
        <v>55</v>
      </c>
      <c r="AP50" t="s">
        <v>55</v>
      </c>
      <c r="AQ50" t="s">
        <v>33</v>
      </c>
    </row>
    <row r="51" spans="1:43" x14ac:dyDescent="0.25">
      <c r="A51" t="s">
        <v>45</v>
      </c>
      <c r="B51" t="s">
        <v>58</v>
      </c>
      <c r="C51" t="s">
        <v>221</v>
      </c>
      <c r="D51" t="s">
        <v>249</v>
      </c>
      <c r="E51" t="s">
        <v>248</v>
      </c>
      <c r="F51" t="s">
        <v>249</v>
      </c>
      <c r="G51" s="3">
        <v>-26103000</v>
      </c>
      <c r="H51" s="1">
        <v>-1400000</v>
      </c>
      <c r="I51" s="1">
        <v>-1343054.52</v>
      </c>
      <c r="J51" s="1">
        <v>0</v>
      </c>
      <c r="K51" s="1">
        <v>0</v>
      </c>
      <c r="L51" s="1">
        <v>-1343054.52</v>
      </c>
      <c r="M51" s="2">
        <v>19.435548000000001</v>
      </c>
      <c r="N51" s="5">
        <v>58.061522480000001</v>
      </c>
      <c r="O51" s="4" t="s">
        <v>55</v>
      </c>
      <c r="P51" s="4">
        <v>45224</v>
      </c>
      <c r="Q51" s="2"/>
      <c r="R51" s="1"/>
      <c r="S51" s="6"/>
      <c r="T51" t="s">
        <v>37</v>
      </c>
      <c r="U51" t="s">
        <v>55</v>
      </c>
      <c r="V51" t="s">
        <v>55</v>
      </c>
      <c r="W51" t="s">
        <v>33</v>
      </c>
      <c r="X51" t="s">
        <v>55</v>
      </c>
      <c r="Y51" t="s">
        <v>55</v>
      </c>
      <c r="Z51" t="s">
        <v>55</v>
      </c>
      <c r="AA51" t="s">
        <v>55</v>
      </c>
      <c r="AB51" t="s">
        <v>55</v>
      </c>
      <c r="AC51" s="5"/>
      <c r="AD51" s="5"/>
      <c r="AE51" s="1"/>
      <c r="AF51" s="5"/>
      <c r="AG51" s="1">
        <v>114.64</v>
      </c>
      <c r="AH51" s="1">
        <v>-1343054.52</v>
      </c>
      <c r="AI51" s="1">
        <v>58.06</v>
      </c>
      <c r="AJ51" s="4">
        <v>45203</v>
      </c>
      <c r="AK51" t="s">
        <v>26</v>
      </c>
      <c r="AL51" s="1"/>
      <c r="AM51" s="1"/>
      <c r="AN51" s="1"/>
      <c r="AO51" t="s">
        <v>55</v>
      </c>
      <c r="AP51" t="s">
        <v>55</v>
      </c>
      <c r="AQ51" t="s">
        <v>33</v>
      </c>
    </row>
    <row r="52" spans="1:43" x14ac:dyDescent="0.25">
      <c r="A52" t="s">
        <v>45</v>
      </c>
      <c r="B52" t="s">
        <v>58</v>
      </c>
      <c r="C52" t="s">
        <v>221</v>
      </c>
      <c r="D52" t="s">
        <v>292</v>
      </c>
      <c r="E52" t="s">
        <v>291</v>
      </c>
      <c r="F52" t="s">
        <v>292</v>
      </c>
      <c r="G52" s="3">
        <v>-23763262.329999998</v>
      </c>
      <c r="H52" s="1">
        <v>-1237000</v>
      </c>
      <c r="I52" s="1">
        <v>-1222670.07</v>
      </c>
      <c r="J52" s="1">
        <v>0</v>
      </c>
      <c r="K52" s="1">
        <v>0</v>
      </c>
      <c r="L52" s="1">
        <v>-1222670.07</v>
      </c>
      <c r="M52" s="2">
        <v>19.435548000000001</v>
      </c>
      <c r="N52" s="5">
        <v>52.857188370000003</v>
      </c>
      <c r="O52" s="4" t="s">
        <v>55</v>
      </c>
      <c r="P52" s="4">
        <v>45224</v>
      </c>
      <c r="Q52" s="2"/>
      <c r="R52" s="1"/>
      <c r="S52" s="6"/>
      <c r="T52" t="s">
        <v>37</v>
      </c>
      <c r="U52" t="s">
        <v>55</v>
      </c>
      <c r="V52" t="s">
        <v>55</v>
      </c>
      <c r="W52" t="s">
        <v>33</v>
      </c>
      <c r="X52" t="s">
        <v>55</v>
      </c>
      <c r="Y52" t="s">
        <v>55</v>
      </c>
      <c r="Z52" t="s">
        <v>55</v>
      </c>
      <c r="AA52" t="s">
        <v>55</v>
      </c>
      <c r="AB52" t="s">
        <v>55</v>
      </c>
      <c r="AC52" s="5"/>
      <c r="AD52" s="5"/>
      <c r="AE52" s="1"/>
      <c r="AF52" s="5"/>
      <c r="AG52" s="1">
        <v>104.36</v>
      </c>
      <c r="AH52" s="1">
        <v>-1222670.07</v>
      </c>
      <c r="AI52" s="1">
        <v>52.86</v>
      </c>
      <c r="AJ52" s="4">
        <v>45203</v>
      </c>
      <c r="AK52" t="s">
        <v>26</v>
      </c>
      <c r="AL52" s="1"/>
      <c r="AM52" s="1"/>
      <c r="AN52" s="1"/>
      <c r="AO52" t="s">
        <v>55</v>
      </c>
      <c r="AP52" t="s">
        <v>55</v>
      </c>
      <c r="AQ52" t="s">
        <v>33</v>
      </c>
    </row>
    <row r="53" spans="1:43" x14ac:dyDescent="0.25">
      <c r="A53" t="s">
        <v>45</v>
      </c>
      <c r="B53" t="s">
        <v>58</v>
      </c>
      <c r="C53" t="s">
        <v>221</v>
      </c>
      <c r="D53" t="s">
        <v>295</v>
      </c>
      <c r="E53" t="s">
        <v>294</v>
      </c>
      <c r="F53" t="s">
        <v>295</v>
      </c>
      <c r="G53" s="3">
        <v>-25088518</v>
      </c>
      <c r="H53" s="1">
        <v>-1300000</v>
      </c>
      <c r="I53" s="1">
        <v>-1290857.28</v>
      </c>
      <c r="J53" s="1">
        <v>0</v>
      </c>
      <c r="K53" s="1">
        <v>0</v>
      </c>
      <c r="L53" s="1">
        <v>-1290857.28</v>
      </c>
      <c r="M53" s="2">
        <v>19.435548000000001</v>
      </c>
      <c r="N53" s="5">
        <v>55.804986220000004</v>
      </c>
      <c r="O53" s="4" t="s">
        <v>55</v>
      </c>
      <c r="P53" s="4">
        <v>45224</v>
      </c>
      <c r="Q53" s="2"/>
      <c r="R53" s="1"/>
      <c r="S53" s="6"/>
      <c r="T53" t="s">
        <v>37</v>
      </c>
      <c r="U53" t="s">
        <v>55</v>
      </c>
      <c r="V53" t="s">
        <v>55</v>
      </c>
      <c r="W53" t="s">
        <v>33</v>
      </c>
      <c r="X53" t="s">
        <v>55</v>
      </c>
      <c r="Y53" t="s">
        <v>55</v>
      </c>
      <c r="Z53" t="s">
        <v>55</v>
      </c>
      <c r="AA53" t="s">
        <v>55</v>
      </c>
      <c r="AB53" t="s">
        <v>55</v>
      </c>
      <c r="AC53" s="5"/>
      <c r="AD53" s="5"/>
      <c r="AE53" s="1"/>
      <c r="AF53" s="5"/>
      <c r="AG53" s="1">
        <v>110.18</v>
      </c>
      <c r="AH53" s="1">
        <v>-1290857.28</v>
      </c>
      <c r="AI53" s="1">
        <v>55.8</v>
      </c>
      <c r="AJ53" s="4">
        <v>45203</v>
      </c>
      <c r="AK53" t="s">
        <v>26</v>
      </c>
      <c r="AL53" s="1"/>
      <c r="AM53" s="1"/>
      <c r="AN53" s="1"/>
      <c r="AO53" t="s">
        <v>55</v>
      </c>
      <c r="AP53" t="s">
        <v>55</v>
      </c>
      <c r="AQ53" t="s">
        <v>33</v>
      </c>
    </row>
    <row r="54" spans="1:43" x14ac:dyDescent="0.25">
      <c r="A54" t="s">
        <v>42</v>
      </c>
      <c r="B54" t="s">
        <v>212</v>
      </c>
      <c r="C54" t="s">
        <v>213</v>
      </c>
      <c r="D54" t="s">
        <v>215</v>
      </c>
      <c r="E54" t="s">
        <v>216</v>
      </c>
      <c r="F54" t="s">
        <v>215</v>
      </c>
      <c r="G54" s="3">
        <v>0.44</v>
      </c>
      <c r="H54" s="1">
        <v>0.02</v>
      </c>
      <c r="I54" s="1">
        <v>0.02</v>
      </c>
      <c r="J54" s="1">
        <v>0</v>
      </c>
      <c r="K54" s="1">
        <v>0</v>
      </c>
      <c r="L54" s="1">
        <v>0.02</v>
      </c>
      <c r="M54" s="2"/>
      <c r="N54" s="5">
        <v>-8.6000000000000002E-7</v>
      </c>
      <c r="O54" s="4" t="s">
        <v>55</v>
      </c>
      <c r="P54" s="4" t="s">
        <v>55</v>
      </c>
      <c r="Q54" s="2"/>
      <c r="R54" s="1">
        <v>0.08</v>
      </c>
      <c r="S54" s="6"/>
      <c r="T54" t="s">
        <v>212</v>
      </c>
      <c r="U54" t="s">
        <v>214</v>
      </c>
      <c r="V54" t="s">
        <v>55</v>
      </c>
      <c r="W54" t="s">
        <v>33</v>
      </c>
      <c r="X54" t="s">
        <v>55</v>
      </c>
      <c r="Y54" t="s">
        <v>55</v>
      </c>
      <c r="Z54" t="s">
        <v>55</v>
      </c>
      <c r="AA54" t="s">
        <v>55</v>
      </c>
      <c r="AB54" t="s">
        <v>55</v>
      </c>
      <c r="AC54" s="5">
        <v>5.1163389600000002</v>
      </c>
      <c r="AD54" s="5">
        <v>5.0001424999999999</v>
      </c>
      <c r="AE54" s="1">
        <v>5.12</v>
      </c>
      <c r="AF54" s="5">
        <v>5.0001424999999999</v>
      </c>
      <c r="AG54" s="1">
        <v>0</v>
      </c>
      <c r="AH54" s="1">
        <v>0.02</v>
      </c>
      <c r="AI54" s="1">
        <v>0</v>
      </c>
      <c r="AJ54" s="4">
        <v>45203</v>
      </c>
      <c r="AK54" t="s">
        <v>22</v>
      </c>
      <c r="AL54" s="1">
        <v>5.05</v>
      </c>
      <c r="AM54" s="1"/>
      <c r="AN54" s="1"/>
      <c r="AO54" t="s">
        <v>55</v>
      </c>
      <c r="AP54" t="s">
        <v>55</v>
      </c>
      <c r="AQ54" t="s">
        <v>33</v>
      </c>
    </row>
    <row r="55" spans="1:43" x14ac:dyDescent="0.25">
      <c r="A55" t="s">
        <v>42</v>
      </c>
      <c r="B55" t="s">
        <v>58</v>
      </c>
      <c r="C55" t="s">
        <v>221</v>
      </c>
      <c r="D55" t="s">
        <v>281</v>
      </c>
      <c r="E55" t="s">
        <v>282</v>
      </c>
      <c r="F55" t="s">
        <v>281</v>
      </c>
      <c r="G55" s="3">
        <v>2600000</v>
      </c>
      <c r="H55" s="1">
        <v>2600000</v>
      </c>
      <c r="I55" s="1">
        <v>2600000</v>
      </c>
      <c r="J55" s="1">
        <v>0</v>
      </c>
      <c r="K55" s="1">
        <v>0</v>
      </c>
      <c r="L55" s="1">
        <v>2600000</v>
      </c>
      <c r="M55" s="2">
        <v>1</v>
      </c>
      <c r="N55" s="5">
        <v>-112.40046938</v>
      </c>
      <c r="O55" s="4" t="s">
        <v>55</v>
      </c>
      <c r="P55" s="4">
        <v>45254</v>
      </c>
      <c r="Q55" s="2"/>
      <c r="R55" s="1"/>
      <c r="S55" s="6"/>
      <c r="T55" t="s">
        <v>37</v>
      </c>
      <c r="U55" t="s">
        <v>55</v>
      </c>
      <c r="V55" t="s">
        <v>55</v>
      </c>
      <c r="W55" t="s">
        <v>32</v>
      </c>
      <c r="X55" t="s">
        <v>55</v>
      </c>
      <c r="Y55" t="s">
        <v>55</v>
      </c>
      <c r="Z55" t="s">
        <v>55</v>
      </c>
      <c r="AA55" t="s">
        <v>55</v>
      </c>
      <c r="AB55" t="s">
        <v>55</v>
      </c>
      <c r="AC55" s="5"/>
      <c r="AD55" s="5"/>
      <c r="AE55" s="1"/>
      <c r="AF55" s="5"/>
      <c r="AG55" s="1">
        <v>-470.73</v>
      </c>
      <c r="AH55" s="1">
        <v>2600000</v>
      </c>
      <c r="AI55" s="1">
        <v>-112.4</v>
      </c>
      <c r="AJ55" s="4">
        <v>45203</v>
      </c>
      <c r="AK55" t="s">
        <v>22</v>
      </c>
      <c r="AL55" s="1"/>
      <c r="AM55" s="1"/>
      <c r="AN55" s="1"/>
      <c r="AO55" t="s">
        <v>55</v>
      </c>
      <c r="AP55" t="s">
        <v>55</v>
      </c>
      <c r="AQ55" t="s">
        <v>32</v>
      </c>
    </row>
    <row r="56" spans="1:43" x14ac:dyDescent="0.25">
      <c r="A56" t="s">
        <v>42</v>
      </c>
      <c r="B56" t="s">
        <v>58</v>
      </c>
      <c r="C56" t="s">
        <v>221</v>
      </c>
      <c r="D56" t="s">
        <v>259</v>
      </c>
      <c r="E56" t="s">
        <v>260</v>
      </c>
      <c r="F56" t="s">
        <v>259</v>
      </c>
      <c r="G56" s="3">
        <v>-47093862.359999999</v>
      </c>
      <c r="H56" s="1">
        <v>-47093862.359999999</v>
      </c>
      <c r="I56" s="1">
        <v>-47093862.359999999</v>
      </c>
      <c r="J56" s="1">
        <v>0</v>
      </c>
      <c r="K56" s="1">
        <v>0</v>
      </c>
      <c r="L56" s="1">
        <v>-47093862.359999999</v>
      </c>
      <c r="M56" s="2">
        <v>1</v>
      </c>
      <c r="N56" s="5">
        <v>2035.91239784</v>
      </c>
      <c r="O56" s="4" t="s">
        <v>55</v>
      </c>
      <c r="P56" s="4">
        <v>45254</v>
      </c>
      <c r="Q56" s="2"/>
      <c r="R56" s="1"/>
      <c r="S56" s="6"/>
      <c r="T56" t="s">
        <v>37</v>
      </c>
      <c r="U56" t="s">
        <v>55</v>
      </c>
      <c r="V56" t="s">
        <v>55</v>
      </c>
      <c r="W56" t="s">
        <v>32</v>
      </c>
      <c r="X56" t="s">
        <v>55</v>
      </c>
      <c r="Y56" t="s">
        <v>55</v>
      </c>
      <c r="Z56" t="s">
        <v>55</v>
      </c>
      <c r="AA56" t="s">
        <v>55</v>
      </c>
      <c r="AB56" t="s">
        <v>55</v>
      </c>
      <c r="AC56" s="5"/>
      <c r="AD56" s="5"/>
      <c r="AE56" s="1"/>
      <c r="AF56" s="5"/>
      <c r="AG56" s="1">
        <v>8526.39</v>
      </c>
      <c r="AH56" s="1">
        <v>-47093862.359999999</v>
      </c>
      <c r="AI56" s="1">
        <v>2035.91</v>
      </c>
      <c r="AJ56" s="4">
        <v>45203</v>
      </c>
      <c r="AK56" t="s">
        <v>22</v>
      </c>
      <c r="AL56" s="1"/>
      <c r="AM56" s="1"/>
      <c r="AN56" s="1"/>
      <c r="AO56" t="s">
        <v>55</v>
      </c>
      <c r="AP56" t="s">
        <v>55</v>
      </c>
      <c r="AQ56" t="s">
        <v>32</v>
      </c>
    </row>
    <row r="57" spans="1:43" x14ac:dyDescent="0.25">
      <c r="A57" t="s">
        <v>42</v>
      </c>
      <c r="B57" t="s">
        <v>58</v>
      </c>
      <c r="C57" t="s">
        <v>221</v>
      </c>
      <c r="D57" t="s">
        <v>283</v>
      </c>
      <c r="E57" t="s">
        <v>282</v>
      </c>
      <c r="F57" t="s">
        <v>283</v>
      </c>
      <c r="G57" s="3">
        <v>-49550254</v>
      </c>
      <c r="H57" s="1">
        <v>-2600000</v>
      </c>
      <c r="I57" s="1">
        <v>-2542849.12</v>
      </c>
      <c r="J57" s="1">
        <v>0</v>
      </c>
      <c r="K57" s="1">
        <v>0</v>
      </c>
      <c r="L57" s="1">
        <v>-2542849.12</v>
      </c>
      <c r="M57" s="2">
        <v>19.486115999999999</v>
      </c>
      <c r="N57" s="5">
        <v>109.92978256000001</v>
      </c>
      <c r="O57" s="4" t="s">
        <v>55</v>
      </c>
      <c r="P57" s="4">
        <v>45254</v>
      </c>
      <c r="Q57" s="2"/>
      <c r="R57" s="1"/>
      <c r="S57" s="6"/>
      <c r="T57" t="s">
        <v>37</v>
      </c>
      <c r="U57" t="s">
        <v>55</v>
      </c>
      <c r="V57" t="s">
        <v>55</v>
      </c>
      <c r="W57" t="s">
        <v>33</v>
      </c>
      <c r="X57" t="s">
        <v>55</v>
      </c>
      <c r="Y57" t="s">
        <v>55</v>
      </c>
      <c r="Z57" t="s">
        <v>55</v>
      </c>
      <c r="AA57" t="s">
        <v>55</v>
      </c>
      <c r="AB57" t="s">
        <v>55</v>
      </c>
      <c r="AC57" s="5"/>
      <c r="AD57" s="5"/>
      <c r="AE57" s="1"/>
      <c r="AF57" s="5"/>
      <c r="AG57" s="1">
        <v>460.39</v>
      </c>
      <c r="AH57" s="1">
        <v>-2542849.12</v>
      </c>
      <c r="AI57" s="1">
        <v>109.93</v>
      </c>
      <c r="AJ57" s="4">
        <v>45203</v>
      </c>
      <c r="AK57" t="s">
        <v>22</v>
      </c>
      <c r="AL57" s="1"/>
      <c r="AM57" s="1"/>
      <c r="AN57" s="1"/>
      <c r="AO57" t="s">
        <v>55</v>
      </c>
      <c r="AP57" t="s">
        <v>55</v>
      </c>
      <c r="AQ57" t="s">
        <v>33</v>
      </c>
    </row>
    <row r="58" spans="1:43" x14ac:dyDescent="0.25">
      <c r="A58" t="s">
        <v>42</v>
      </c>
      <c r="B58" t="s">
        <v>58</v>
      </c>
      <c r="C58" t="s">
        <v>221</v>
      </c>
      <c r="D58" t="s">
        <v>261</v>
      </c>
      <c r="E58" t="s">
        <v>260</v>
      </c>
      <c r="F58" t="s">
        <v>261</v>
      </c>
      <c r="G58" s="3">
        <v>905800052</v>
      </c>
      <c r="H58" s="1">
        <v>47093862.359999999</v>
      </c>
      <c r="I58" s="1">
        <v>46484380.57</v>
      </c>
      <c r="J58" s="1">
        <v>0</v>
      </c>
      <c r="K58" s="1">
        <v>0</v>
      </c>
      <c r="L58" s="1">
        <v>46484380.57</v>
      </c>
      <c r="M58" s="2">
        <v>19.486115999999999</v>
      </c>
      <c r="N58" s="5">
        <v>-2009.5639212000001</v>
      </c>
      <c r="O58" s="4" t="s">
        <v>55</v>
      </c>
      <c r="P58" s="4">
        <v>45254</v>
      </c>
      <c r="Q58" s="2"/>
      <c r="R58" s="1"/>
      <c r="S58" s="6"/>
      <c r="T58" t="s">
        <v>37</v>
      </c>
      <c r="U58" t="s">
        <v>55</v>
      </c>
      <c r="V58" t="s">
        <v>55</v>
      </c>
      <c r="W58" t="s">
        <v>33</v>
      </c>
      <c r="X58" t="s">
        <v>55</v>
      </c>
      <c r="Y58" t="s">
        <v>55</v>
      </c>
      <c r="Z58" t="s">
        <v>55</v>
      </c>
      <c r="AA58" t="s">
        <v>55</v>
      </c>
      <c r="AB58" t="s">
        <v>55</v>
      </c>
      <c r="AC58" s="5"/>
      <c r="AD58" s="5"/>
      <c r="AE58" s="1"/>
      <c r="AF58" s="5"/>
      <c r="AG58" s="1">
        <v>-8416.0400000000009</v>
      </c>
      <c r="AH58" s="1">
        <v>46484380.57</v>
      </c>
      <c r="AI58" s="1">
        <v>-2009.56</v>
      </c>
      <c r="AJ58" s="4">
        <v>45203</v>
      </c>
      <c r="AK58" t="s">
        <v>22</v>
      </c>
      <c r="AL58" s="1"/>
      <c r="AM58" s="1"/>
      <c r="AN58" s="1"/>
      <c r="AO58" t="s">
        <v>55</v>
      </c>
      <c r="AP58" t="s">
        <v>55</v>
      </c>
      <c r="AQ58" t="s">
        <v>33</v>
      </c>
    </row>
  </sheetData>
  <autoFilter ref="A1:AQ1" xr:uid="{16543892-24EA-4886-8379-D65FEEDE8BB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9DB5-5171-47B9-97C0-DBC6E942FB0D}">
  <sheetPr codeName="Sheet25"/>
  <dimension ref="A1:M8"/>
  <sheetViews>
    <sheetView workbookViewId="0">
      <pane xSplit="1" ySplit="1" topLeftCell="B2" activePane="bottomRight" state="frozen"/>
      <selection pane="topRight"/>
      <selection pane="bottomLeft"/>
      <selection pane="bottomRight" sqref="A1:M1048576"/>
    </sheetView>
  </sheetViews>
  <sheetFormatPr defaultRowHeight="15" x14ac:dyDescent="0.25"/>
  <cols>
    <col min="2" max="2" width="9.7109375" bestFit="1" customWidth="1"/>
    <col min="5" max="7" width="8.85546875" bestFit="1" customWidth="1"/>
    <col min="8" max="8" width="12.28515625" bestFit="1" customWidth="1"/>
    <col min="9" max="9" width="14.42578125" bestFit="1" customWidth="1"/>
    <col min="10" max="13" width="8.85546875" bestFit="1" customWidth="1"/>
  </cols>
  <sheetData>
    <row r="1" spans="1:13" x14ac:dyDescent="0.25">
      <c r="A1" s="60" t="s">
        <v>0</v>
      </c>
      <c r="B1" s="60" t="s">
        <v>1</v>
      </c>
      <c r="C1" s="60" t="s">
        <v>2</v>
      </c>
      <c r="D1" s="60" t="s">
        <v>3</v>
      </c>
      <c r="E1" s="60" t="s">
        <v>4</v>
      </c>
      <c r="F1" s="60" t="s">
        <v>5</v>
      </c>
      <c r="G1" s="60" t="s">
        <v>6</v>
      </c>
      <c r="H1" s="60" t="s">
        <v>7</v>
      </c>
      <c r="I1" s="60" t="s">
        <v>8</v>
      </c>
      <c r="J1" s="60" t="s">
        <v>9</v>
      </c>
      <c r="K1" s="60" t="s">
        <v>10</v>
      </c>
      <c r="L1" s="60" t="s">
        <v>11</v>
      </c>
      <c r="M1" s="60" t="s">
        <v>12</v>
      </c>
    </row>
    <row r="2" spans="1:13" x14ac:dyDescent="0.25">
      <c r="A2" t="s">
        <v>230</v>
      </c>
      <c r="B2" s="4">
        <v>45203</v>
      </c>
      <c r="C2" t="s">
        <v>13</v>
      </c>
      <c r="D2" t="s">
        <v>231</v>
      </c>
      <c r="E2" s="3">
        <v>49.1</v>
      </c>
      <c r="F2" s="3">
        <v>47.86</v>
      </c>
      <c r="G2" s="1">
        <v>1.24</v>
      </c>
      <c r="H2" s="1">
        <v>17666275.149999999</v>
      </c>
      <c r="I2" s="3">
        <v>35945332.214000002</v>
      </c>
      <c r="J2" s="1">
        <v>0</v>
      </c>
      <c r="K2" s="2">
        <v>0</v>
      </c>
      <c r="L2" s="1">
        <v>0</v>
      </c>
      <c r="M2" s="1">
        <v>0</v>
      </c>
    </row>
    <row r="3" spans="1:13" x14ac:dyDescent="0.25">
      <c r="A3" t="s">
        <v>200</v>
      </c>
      <c r="B3" s="4">
        <v>45203</v>
      </c>
      <c r="C3" t="s">
        <v>198</v>
      </c>
      <c r="D3" t="s">
        <v>201</v>
      </c>
      <c r="E3" s="3">
        <v>51.6</v>
      </c>
      <c r="F3" s="3">
        <v>50</v>
      </c>
      <c r="G3" s="1">
        <v>1.6</v>
      </c>
      <c r="H3" s="1">
        <v>12134816.9</v>
      </c>
      <c r="I3" s="3">
        <v>23529403.511999998</v>
      </c>
      <c r="J3" s="1">
        <v>0</v>
      </c>
      <c r="K3" s="2">
        <v>0</v>
      </c>
      <c r="L3" s="1">
        <v>0</v>
      </c>
      <c r="M3" s="1">
        <v>0</v>
      </c>
    </row>
    <row r="4" spans="1:13" x14ac:dyDescent="0.25">
      <c r="A4" t="s">
        <v>219</v>
      </c>
      <c r="B4" s="4">
        <v>45203</v>
      </c>
      <c r="C4" t="s">
        <v>14</v>
      </c>
      <c r="D4" t="s">
        <v>220</v>
      </c>
      <c r="E4" s="3">
        <v>62.2</v>
      </c>
      <c r="F4" s="3">
        <v>59</v>
      </c>
      <c r="G4" s="1">
        <v>3.2</v>
      </c>
      <c r="H4" s="1">
        <v>22589967.359999999</v>
      </c>
      <c r="I4" s="3">
        <v>36326203.971000001</v>
      </c>
      <c r="J4" s="1">
        <v>0</v>
      </c>
      <c r="K4" s="2">
        <v>0</v>
      </c>
      <c r="L4" s="1">
        <v>0</v>
      </c>
      <c r="M4" s="1">
        <v>0</v>
      </c>
    </row>
    <row r="5" spans="1:13" x14ac:dyDescent="0.25">
      <c r="A5" t="s">
        <v>15</v>
      </c>
      <c r="B5" s="4">
        <v>45203</v>
      </c>
      <c r="C5" t="s">
        <v>16</v>
      </c>
      <c r="D5" t="s">
        <v>17</v>
      </c>
      <c r="E5" s="3">
        <v>59</v>
      </c>
      <c r="F5" s="3">
        <v>56.98</v>
      </c>
      <c r="G5" s="1">
        <v>2.02</v>
      </c>
      <c r="H5" s="1">
        <v>43263314.409999996</v>
      </c>
      <c r="I5" s="3">
        <v>73384023.835999995</v>
      </c>
      <c r="J5" s="1">
        <v>0</v>
      </c>
      <c r="K5" s="2">
        <v>0</v>
      </c>
      <c r="L5" s="1">
        <v>0</v>
      </c>
      <c r="M5" s="1">
        <v>0</v>
      </c>
    </row>
    <row r="6" spans="1:13" x14ac:dyDescent="0.25">
      <c r="A6" t="s">
        <v>187</v>
      </c>
      <c r="B6" s="4">
        <v>45203</v>
      </c>
      <c r="C6" t="s">
        <v>177</v>
      </c>
      <c r="D6" t="s">
        <v>188</v>
      </c>
      <c r="E6" s="3">
        <v>55.7</v>
      </c>
      <c r="F6" s="3">
        <v>53.8</v>
      </c>
      <c r="G6" s="1">
        <v>1.9</v>
      </c>
      <c r="H6" s="1">
        <v>7829324.4900000002</v>
      </c>
      <c r="I6" s="3">
        <v>14058908.0175</v>
      </c>
      <c r="J6" s="1">
        <v>0</v>
      </c>
      <c r="K6" s="2">
        <v>0</v>
      </c>
      <c r="L6" s="1">
        <v>107.25</v>
      </c>
      <c r="M6" s="1">
        <v>0</v>
      </c>
    </row>
    <row r="7" spans="1:13" x14ac:dyDescent="0.25">
      <c r="A7" t="s">
        <v>208</v>
      </c>
      <c r="B7" s="4">
        <v>45203</v>
      </c>
      <c r="C7" t="s">
        <v>18</v>
      </c>
      <c r="D7" t="s">
        <v>209</v>
      </c>
      <c r="E7" s="3">
        <v>109.8</v>
      </c>
      <c r="F7" s="3">
        <v>108.17</v>
      </c>
      <c r="G7" s="1">
        <v>1.63</v>
      </c>
      <c r="H7" s="1">
        <v>222951.81</v>
      </c>
      <c r="I7" s="3">
        <v>203077.378</v>
      </c>
      <c r="J7" s="1">
        <v>0</v>
      </c>
      <c r="K7" s="2">
        <v>0</v>
      </c>
      <c r="L7" s="1">
        <v>7.63</v>
      </c>
      <c r="M7" s="1">
        <v>0</v>
      </c>
    </row>
    <row r="8" spans="1:13" x14ac:dyDescent="0.25">
      <c r="A8" t="s">
        <v>217</v>
      </c>
      <c r="B8" s="4">
        <v>45203</v>
      </c>
      <c r="C8" t="s">
        <v>19</v>
      </c>
      <c r="D8" t="s">
        <v>218</v>
      </c>
      <c r="E8" s="3">
        <v>107.7</v>
      </c>
      <c r="F8" s="3">
        <v>55.67</v>
      </c>
      <c r="G8" s="1">
        <v>52.03</v>
      </c>
      <c r="H8" s="1">
        <v>3280284.74</v>
      </c>
      <c r="I8" s="3">
        <v>3045804.398</v>
      </c>
      <c r="J8" s="1">
        <v>0</v>
      </c>
      <c r="K8" s="2">
        <v>0</v>
      </c>
      <c r="L8" s="1">
        <v>0</v>
      </c>
      <c r="M8" s="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A765-8E70-4B78-B54B-45EB61A0D445}">
  <sheetPr codeName="Sheet21"/>
  <dimension ref="A1:E63"/>
  <sheetViews>
    <sheetView workbookViewId="0">
      <pane xSplit="2" ySplit="1" topLeftCell="C2" activePane="bottomRight" state="frozen"/>
      <selection activeCell="B19" sqref="B19"/>
      <selection pane="topRight" activeCell="B19" sqref="B19"/>
      <selection pane="bottomLeft" activeCell="B19" sqref="B19"/>
      <selection pane="bottomRight"/>
    </sheetView>
  </sheetViews>
  <sheetFormatPr defaultColWidth="9.140625" defaultRowHeight="15" x14ac:dyDescent="0.25"/>
  <cols>
    <col min="1" max="1" width="81.7109375" style="12" customWidth="1"/>
    <col min="2" max="2" width="13.28515625" style="12" customWidth="1"/>
    <col min="3" max="16384" width="9.140625" style="12"/>
  </cols>
  <sheetData>
    <row r="1" spans="1:5" ht="30" x14ac:dyDescent="0.25">
      <c r="B1" s="13" t="s">
        <v>102</v>
      </c>
      <c r="E1" s="14" t="str">
        <f>HYPERLINK("http://www.irishstatutebook.ie/eli/2019/si/230/made/en/pdf","CBoI UCITS Regulations, SI 230 of 2019, incl Share Classes")</f>
        <v>CBoI UCITS Regulations, SI 230 of 2019, incl Share Classes</v>
      </c>
    </row>
    <row r="2" spans="1:5" x14ac:dyDescent="0.25">
      <c r="A2" s="15" t="s">
        <v>103</v>
      </c>
    </row>
    <row r="3" spans="1:5" x14ac:dyDescent="0.25">
      <c r="A3" s="12" t="s">
        <v>104</v>
      </c>
      <c r="B3" s="16">
        <v>0.1</v>
      </c>
    </row>
    <row r="4" spans="1:5" x14ac:dyDescent="0.25">
      <c r="B4" s="16"/>
    </row>
    <row r="5" spans="1:5" x14ac:dyDescent="0.25">
      <c r="A5" s="15" t="s">
        <v>105</v>
      </c>
    </row>
    <row r="6" spans="1:5" x14ac:dyDescent="0.25">
      <c r="A6" s="12" t="s">
        <v>106</v>
      </c>
      <c r="B6" s="16">
        <v>0.2</v>
      </c>
    </row>
    <row r="8" spans="1:5" x14ac:dyDescent="0.25">
      <c r="A8" s="15" t="s">
        <v>107</v>
      </c>
    </row>
    <row r="9" spans="1:5" x14ac:dyDescent="0.25">
      <c r="A9" s="12" t="s">
        <v>108</v>
      </c>
      <c r="B9" s="16">
        <v>0.1</v>
      </c>
    </row>
    <row r="10" spans="1:5" x14ac:dyDescent="0.25">
      <c r="A10" s="12" t="s">
        <v>109</v>
      </c>
      <c r="B10" s="16">
        <v>0.4</v>
      </c>
    </row>
    <row r="12" spans="1:5" x14ac:dyDescent="0.25">
      <c r="A12" s="15" t="s">
        <v>110</v>
      </c>
    </row>
    <row r="13" spans="1:5" x14ac:dyDescent="0.25">
      <c r="A13" s="12" t="s">
        <v>111</v>
      </c>
      <c r="B13" s="16">
        <v>0.2</v>
      </c>
    </row>
    <row r="14" spans="1:5" ht="30" x14ac:dyDescent="0.25">
      <c r="A14" s="17" t="s">
        <v>112</v>
      </c>
      <c r="B14" s="16">
        <v>0.1</v>
      </c>
    </row>
    <row r="16" spans="1:5" x14ac:dyDescent="0.25">
      <c r="A16" s="15" t="s">
        <v>113</v>
      </c>
    </row>
    <row r="17" spans="1:2" x14ac:dyDescent="0.25">
      <c r="A17" s="12" t="s">
        <v>114</v>
      </c>
      <c r="B17" s="16">
        <v>0.05</v>
      </c>
    </row>
    <row r="18" spans="1:2" x14ac:dyDescent="0.25">
      <c r="A18" s="12" t="s">
        <v>115</v>
      </c>
      <c r="B18" s="16">
        <v>0.1</v>
      </c>
    </row>
    <row r="20" spans="1:2" x14ac:dyDescent="0.25">
      <c r="A20" s="15" t="s">
        <v>116</v>
      </c>
    </row>
    <row r="21" spans="1:2" ht="30" x14ac:dyDescent="0.25">
      <c r="A21" s="17" t="s">
        <v>117</v>
      </c>
      <c r="B21" s="16">
        <v>0.25</v>
      </c>
    </row>
    <row r="22" spans="1:2" x14ac:dyDescent="0.25">
      <c r="A22" s="12" t="s">
        <v>118</v>
      </c>
      <c r="B22" s="16">
        <v>0.8</v>
      </c>
    </row>
    <row r="23" spans="1:2" ht="45" x14ac:dyDescent="0.25">
      <c r="A23" s="17" t="s">
        <v>119</v>
      </c>
      <c r="B23" s="16">
        <v>0.25</v>
      </c>
    </row>
    <row r="25" spans="1:2" x14ac:dyDescent="0.25">
      <c r="A25" s="15" t="s">
        <v>120</v>
      </c>
    </row>
    <row r="26" spans="1:2" x14ac:dyDescent="0.25">
      <c r="A26" s="12" t="s">
        <v>121</v>
      </c>
      <c r="B26" s="16">
        <v>0.2</v>
      </c>
    </row>
    <row r="27" spans="1:2" x14ac:dyDescent="0.25">
      <c r="A27" s="12" t="s">
        <v>122</v>
      </c>
      <c r="B27" s="16">
        <v>0.35</v>
      </c>
    </row>
    <row r="28" spans="1:2" x14ac:dyDescent="0.25">
      <c r="B28" s="16"/>
    </row>
    <row r="29" spans="1:2" x14ac:dyDescent="0.25">
      <c r="B29" s="16"/>
    </row>
    <row r="30" spans="1:2" x14ac:dyDescent="0.25">
      <c r="A30" s="18" t="s">
        <v>123</v>
      </c>
    </row>
    <row r="31" spans="1:2" ht="45" x14ac:dyDescent="0.25">
      <c r="A31" s="18" t="s">
        <v>124</v>
      </c>
    </row>
    <row r="32" spans="1:2" ht="30" x14ac:dyDescent="0.25">
      <c r="A32" s="18" t="s">
        <v>125</v>
      </c>
    </row>
    <row r="33" spans="1:1" ht="45" x14ac:dyDescent="0.25">
      <c r="A33" s="18" t="s">
        <v>126</v>
      </c>
    </row>
    <row r="34" spans="1:1" x14ac:dyDescent="0.25">
      <c r="A34" s="18" t="s">
        <v>127</v>
      </c>
    </row>
    <row r="36" spans="1:1" x14ac:dyDescent="0.25">
      <c r="A36" s="15" t="s">
        <v>128</v>
      </c>
    </row>
    <row r="37" spans="1:1" x14ac:dyDescent="0.25">
      <c r="A37" s="19" t="s">
        <v>129</v>
      </c>
    </row>
    <row r="38" spans="1:1" x14ac:dyDescent="0.25">
      <c r="A38" s="20" t="s">
        <v>130</v>
      </c>
    </row>
    <row r="39" spans="1:1" x14ac:dyDescent="0.25">
      <c r="A39" s="20" t="s">
        <v>131</v>
      </c>
    </row>
    <row r="40" spans="1:1" x14ac:dyDescent="0.25">
      <c r="A40" s="20" t="s">
        <v>132</v>
      </c>
    </row>
    <row r="41" spans="1:1" x14ac:dyDescent="0.25">
      <c r="A41" s="20" t="s">
        <v>133</v>
      </c>
    </row>
    <row r="43" spans="1:1" x14ac:dyDescent="0.25">
      <c r="A43" s="21" t="s">
        <v>134</v>
      </c>
    </row>
    <row r="44" spans="1:1" ht="45" x14ac:dyDescent="0.25">
      <c r="A44" s="24" t="s">
        <v>135</v>
      </c>
    </row>
    <row r="45" spans="1:1" x14ac:dyDescent="0.25">
      <c r="A45" s="17"/>
    </row>
    <row r="46" spans="1:1" ht="45" x14ac:dyDescent="0.25">
      <c r="A46" s="17" t="s">
        <v>136</v>
      </c>
    </row>
    <row r="54" spans="1:1" x14ac:dyDescent="0.25">
      <c r="A54" s="22" t="s">
        <v>137</v>
      </c>
    </row>
    <row r="55" spans="1:1" ht="45" x14ac:dyDescent="0.25">
      <c r="A55" s="23" t="s">
        <v>138</v>
      </c>
    </row>
    <row r="58" spans="1:1" x14ac:dyDescent="0.25">
      <c r="A58" s="22" t="s">
        <v>139</v>
      </c>
    </row>
    <row r="60" spans="1:1" x14ac:dyDescent="0.25">
      <c r="A60" s="12" t="s">
        <v>140</v>
      </c>
    </row>
    <row r="61" spans="1:1" x14ac:dyDescent="0.25">
      <c r="A61" s="12" t="s">
        <v>141</v>
      </c>
    </row>
    <row r="62" spans="1:1" x14ac:dyDescent="0.25">
      <c r="A62" s="12" t="s">
        <v>142</v>
      </c>
    </row>
    <row r="63" spans="1:1" x14ac:dyDescent="0.25">
      <c r="A63" s="12" t="s">
        <v>143</v>
      </c>
    </row>
  </sheetData>
  <pageMargins left="0.70866141732283472" right="0.70866141732283472" top="0.74803149606299213" bottom="0.74803149606299213"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Process</vt:lpstr>
      <vt:lpstr>Static</vt:lpstr>
      <vt:lpstr>Summary</vt:lpstr>
      <vt:lpstr>Portfolio Valuation</vt:lpstr>
      <vt:lpstr>Class NAVs</vt:lpstr>
      <vt:lpstr>UCITS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Hilton Netta</dc:creator>
  <cp:lastModifiedBy>Hilton Netta</cp:lastModifiedBy>
  <dcterms:created xsi:type="dcterms:W3CDTF">2022-08-25T06:54:48Z</dcterms:created>
  <dcterms:modified xsi:type="dcterms:W3CDTF">2023-11-20T11:47:51Z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64be7-03a2-4291-9ff5-d26186382e5b_Enabled">
    <vt:lpwstr>true</vt:lpwstr>
  </property>
  <property fmtid="{D5CDD505-2E9C-101B-9397-08002B2CF9AE}" pid="3" name="MSIP_Label_1d164be7-03a2-4291-9ff5-d26186382e5b_SetDate">
    <vt:lpwstr>2023-09-08T11:13:22Z</vt:lpwstr>
  </property>
  <property fmtid="{D5CDD505-2E9C-101B-9397-08002B2CF9AE}" pid="4" name="MSIP_Label_1d164be7-03a2-4291-9ff5-d26186382e5b_Method">
    <vt:lpwstr>Standard</vt:lpwstr>
  </property>
  <property fmtid="{D5CDD505-2E9C-101B-9397-08002B2CF9AE}" pid="5" name="MSIP_Label_1d164be7-03a2-4291-9ff5-d26186382e5b_Name">
    <vt:lpwstr>General</vt:lpwstr>
  </property>
  <property fmtid="{D5CDD505-2E9C-101B-9397-08002B2CF9AE}" pid="6" name="MSIP_Label_1d164be7-03a2-4291-9ff5-d26186382e5b_SiteId">
    <vt:lpwstr>5e097b4a-acc6-4c11-8233-96ef54c26c08</vt:lpwstr>
  </property>
  <property fmtid="{D5CDD505-2E9C-101B-9397-08002B2CF9AE}" pid="7" name="MSIP_Label_1d164be7-03a2-4291-9ff5-d26186382e5b_ActionId">
    <vt:lpwstr>5dd4d26a-e388-47fc-bf36-53a68ee3d72d</vt:lpwstr>
  </property>
  <property fmtid="{D5CDD505-2E9C-101B-9397-08002B2CF9AE}" pid="8" name="MSIP_Label_1d164be7-03a2-4291-9ff5-d26186382e5b_ContentBits">
    <vt:lpwstr>0</vt:lpwstr>
  </property>
</Properties>
</file>