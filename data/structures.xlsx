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Working Folders\Hilton\Py\"/>
    </mc:Choice>
  </mc:AlternateContent>
  <xr:revisionPtr revIDLastSave="0" documentId="13_ncr:1_{4F074A28-F795-41F4-80B9-314184B2795F}" xr6:coauthVersionLast="47" xr6:coauthVersionMax="47" xr10:uidLastSave="{00000000-0000-0000-0000-000000000000}"/>
  <bookViews>
    <workbookView xWindow="2340" yWindow="1470" windowWidth="24015" windowHeight="14730" activeTab="1" xr2:uid="{00000000-000D-0000-FFFF-FFFF00000000}"/>
  </bookViews>
  <sheets>
    <sheet name="dates" sheetId="1" r:id="rId1"/>
    <sheet name="issuers" sheetId="2" r:id="rId2"/>
    <sheet name="cln" sheetId="3" r:id="rId3"/>
    <sheet name="frn" sheetId="4" r:id="rId4"/>
    <sheet name="ilb" sheetId="5" r:id="rId5"/>
    <sheet name="accr" sheetId="6" r:id="rId6"/>
    <sheet name="hols" sheetId="7" r:id="rId7"/>
  </sheets>
  <definedNames>
    <definedName name="_xlnm._FilterDatabase" localSheetId="0" hidden="1">dates!$A$1:$E$39</definedName>
    <definedName name="_xlnm._FilterDatabase" localSheetId="1" hidden="1">issuers!$A$1:$C$1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" i="2" l="1"/>
  <c r="F1" i="2"/>
  <c r="E1" i="1" l="1"/>
  <c r="G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Hilton Netta</author>
  </authors>
  <commentList>
    <comment ref="A1" authorId="0" shapeId="0" xr:uid="{60706D11-E030-47FC-9D18-3C78AD4926D4}">
      <text>
        <r>
          <rPr>
            <b/>
            <sz val="9"/>
            <color indexed="81"/>
            <rFont val="Tahoma"/>
            <family val="2"/>
          </rPr>
          <t>All caps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<sst xmlns="http://schemas.openxmlformats.org/spreadsheetml/2006/main" count="461" uniqueCount="386">
  <si>
    <t>regex</t>
  </si>
  <si>
    <t>format</t>
  </si>
  <si>
    <t>alternative format</t>
  </si>
  <si>
    <t>example</t>
  </si>
  <si>
    <t>[\s\d]\d/\d\d/\d\d\d\d</t>
  </si>
  <si>
    <t>%d/%m/%Y</t>
  </si>
  <si>
    <t>%m/%d/%Y</t>
  </si>
  <si>
    <t>[\s\d]\d/\d/\d\d\d\d</t>
  </si>
  <si>
    <t>%d/%b/%Y</t>
  </si>
  <si>
    <t>%d%b%Y</t>
  </si>
  <si>
    <t>%d%m%Y</t>
  </si>
  <si>
    <t>%m%d%Y</t>
  </si>
  <si>
    <t>[\s\d]\d.\d\d.\d\d\d\d</t>
  </si>
  <si>
    <t>%d.%m.%Y</t>
  </si>
  <si>
    <t>%m.%d.%Y</t>
  </si>
  <si>
    <t>[\s\d]\d.\d.\d\d\d\d</t>
  </si>
  <si>
    <t>%d/%b/%y</t>
  </si>
  <si>
    <t>%d%b%y</t>
  </si>
  <si>
    <t>\d\d\d\d\d\d</t>
  </si>
  <si>
    <t>%d%m%y</t>
  </si>
  <si>
    <t>%m%d%y</t>
  </si>
  <si>
    <t>[\s\d]\d\.\d\d\.\d\d</t>
  </si>
  <si>
    <t>%d.%m.%y</t>
  </si>
  <si>
    <t>%m.%d.%y</t>
  </si>
  <si>
    <t>[\s\d]\d.\d.\d\d</t>
  </si>
  <si>
    <t>%b%Y</t>
  </si>
  <si>
    <t>%b %Y</t>
  </si>
  <si>
    <t>%b-%Y</t>
  </si>
  <si>
    <t>%b%y</t>
  </si>
  <si>
    <t>%b %y</t>
  </si>
  <si>
    <t>%b-%y</t>
  </si>
  <si>
    <t>%d-%b-%Y</t>
  </si>
  <si>
    <t>%d-%b-%y</t>
  </si>
  <si>
    <t>17/Aug/13</t>
  </si>
  <si>
    <t>\d\d\d\d\d\d\d\d</t>
  </si>
  <si>
    <t>%d %b %y</t>
  </si>
  <si>
    <t>%d.%b.%Y</t>
  </si>
  <si>
    <t>%d.%b.%y</t>
  </si>
  <si>
    <t>\b(?:Jan(?:uary)?|Feb(?:ruary)?|Mar(?:ch)?|Apr(?:il)?|May|Jun(?:e)?|Jul(?:y)?|Aug(?:ust)?|Sep(?:tember)?|Oct(?:ober)?|Nov(?:ember)?|Dec(?:ember)?)</t>
  </si>
  <si>
    <t>[\s\d]\d/\b(?:Jan(?:uary)?|Feb(?:ruary)?|Mar(?:ch)?|Apr(?:il)?|May|Jun(?:e)?|Jul(?:y)?|Aug(?:ust)?|Sep(?:tember)?|Oct(?:ober)?|Nov(?:ember)?|Dec(?:ember)?)/\d\d\d\d</t>
  </si>
  <si>
    <t>%d/%B/%Y</t>
  </si>
  <si>
    <t>[\s\d]\d.\b(?:Jan(?:uary)?|Feb(?:ruary)?|Mar(?:ch)?|Apr(?:il)?|May|Jun(?:e)?|Jul(?:y)?|Aug(?:ust)?|Sep(?:tember)?|Oct(?:ober)?|Nov(?:ember)?|Dec(?:ember)?).\d\d\d\d</t>
  </si>
  <si>
    <t>%d.%B.%Y</t>
  </si>
  <si>
    <t>[\s\d]\d(?:Jan(?:uary)?|Feb(?:ruary)?|Mar(?:ch)?|Apr(?:il)?|May|Jun(?:e)?|Jul(?:y)?|Aug(?:ust)?|Sep(?:tember)?|Oct(?:ober)?|Nov(?:ember)?|Dec(?:ember)?)\d\d\d\d</t>
  </si>
  <si>
    <t>%d%B%Y</t>
  </si>
  <si>
    <t>[\s\d]\d/\b(?:Jan(?:uary)?|Feb(?:ruary)?|Mar(?:ch)?|Apr(?:il)?|May|Jun(?:e)?|Jul(?:y)?|Aug(?:ust)?|Sep(?:tember)?|Oct(?:ober)?|Nov(?:ember)?|Dec(?:ember)?)/\d\d</t>
  </si>
  <si>
    <t>%d/%B/%y</t>
  </si>
  <si>
    <t>[\s\d]\d.\b(?:Jan(?:uary)?|Feb(?:ruary)?|Mar(?:ch)?|Apr(?:il)?|May|Jun(?:e)?|Jul(?:y)?|Aug(?:ust)?|Sep(?:tember)?|Oct(?:ober)?|Nov(?:ember)?|Dec(?:ember)?).\d\d</t>
  </si>
  <si>
    <t>%d.%B.%y</t>
  </si>
  <si>
    <t>%d%B%y</t>
  </si>
  <si>
    <t>[\s\d]\d-\b(?:Jan(?:uary)?|Feb(?:ruary)?|Mar(?:ch)?|Apr(?:il)?|May|Jun(?:e)?|Jul(?:y)?|Aug(?:ust)?|Sep(?:tember)?|Oct(?:ober)?|Nov(?:ember)?|Dec(?:ember)?)-\d\d\d\d</t>
  </si>
  <si>
    <t>%d-%B-%Y</t>
  </si>
  <si>
    <t>[\s\d]\d-\b(?:Jan(?:uary)?|Feb(?:ruary)?|Mar(?:ch)?|Apr(?:il)?|May|Jun(?:e)?|Jul(?:y)?|Aug(?:ust)?|Sep(?:tember)?|Oct(?:ober)?|Nov(?:ember)?|Dec(?:ember)?)-\d\d</t>
  </si>
  <si>
    <t>%d-%B-%y</t>
  </si>
  <si>
    <t>[\s\d]\d\s\b(?:Jan(?:uary)?|Feb(?:ruary)?|Mar(?:ch)?|Apr(?:il)?|May|Jun(?:e)?|Jul(?:y)?|Aug(?:ust)?|Sep(?:tember)?|Oct(?:ober)?|Nov(?:ember)?|Dec(?:ember)?)\s\d\d\d\d</t>
  </si>
  <si>
    <t>\b(?:Jan(?:uary)?|Feb(?:ruary)?|Mar(?:ch)?|Apr(?:il)?|May|Jun(?:e)?|Jul(?:y)?|Aug(?:ust)?|Sep(?:tember)?|Oct(?:ober)?|Nov(?:ember)?|Dec(?:ember)?)\s\d\d\d\d</t>
  </si>
  <si>
    <t>\b(?:Jan(?:uary)?|Feb(?:ruary)?|Mar(?:ch)?|Apr(?:il)?|May|Jun(?:e)?|Jul(?:y)?|Aug(?:ust)?|Sep(?:tember)?|Oct(?:ober)?|Nov(?:ember)?|Dec(?:ember)?)-\d\d\d\d</t>
  </si>
  <si>
    <t>\b(?:Jan(?:uary)?|Feb(?:ruary)?|Mar(?:ch)?|Apr(?:il)?|May|Jun(?:e)?|Jul(?:y)?|Aug(?:ust)?|Sep(?:tember)?|Oct(?:ober)?|Nov(?:ember)?|Dec(?:ember)?)\d\d</t>
  </si>
  <si>
    <t>\b(?:Jan(?:uary)?|Feb(?:ruary)?|Mar(?:ch)?|Apr(?:il)?|May|Jun(?:e)?|Jul(?:y)?|Aug(?:ust)?|Sep(?:tember)?|Oct(?:ober)?|Nov(?:ember)?|Dec(?:ember)?)\s\d\d</t>
  </si>
  <si>
    <t>\b(?:Jan(?:uary)?|Feb(?:ruary)?|Mar(?:ch)?|Apr(?:il)?|May|Jun(?:e)?|Jul(?:y)?|Aug(?:ust)?|Sep(?:tember)?|Oct(?:ober)?|Nov(?:ember)?|Dec(?:ember)?)-\d\d</t>
  </si>
  <si>
    <t>\b(?:Jan(?:uary)?|Feb(?:ruary)?|Mar(?:ch)?|Apr(?:il)?|May|Jun(?:e)?|Jul(?:y)?|Aug(?:ust)?|Sep(?:tember)?|Oct(?:ober)?|Nov(?:ember)?|Dec(?:ember)?)\d\d\d\d</t>
  </si>
  <si>
    <t>%d %B %Y</t>
  </si>
  <si>
    <t>%B%Y</t>
  </si>
  <si>
    <t>%B %Y</t>
  </si>
  <si>
    <t>%B-%Y</t>
  </si>
  <si>
    <t>%B%y</t>
  </si>
  <si>
    <t>%B %y</t>
  </si>
  <si>
    <t>%B-%y</t>
  </si>
  <si>
    <t>[\s\d]\d(?:Jan(?:uary)?|Feb(?:ruary)?|Mar(?:ch)?|Apr(?:il)?|May|Jun(?:e)?|Jul(?:y)?|Aug(?:ust)?|Sep(?:tember)?|Oct(?:ober)?|Nov(?:ember)?|Dec(?:ember)?)\d\d</t>
  </si>
  <si>
    <t>17/08/2000</t>
  </si>
  <si>
    <t>17/8/2001</t>
  </si>
  <si>
    <t>17/Aug/2002</t>
  </si>
  <si>
    <t>17/August/2003</t>
  </si>
  <si>
    <t>17.Aug.2004</t>
  </si>
  <si>
    <t>17.August.2005</t>
  </si>
  <si>
    <t>17Aug2006</t>
  </si>
  <si>
    <t>17August2007</t>
  </si>
  <si>
    <t>17082008</t>
  </si>
  <si>
    <t>17.08.2009</t>
  </si>
  <si>
    <t>17.8.2010</t>
  </si>
  <si>
    <t>17/August/14</t>
  </si>
  <si>
    <t>17.Aug.15</t>
  </si>
  <si>
    <t>17.August.16</t>
  </si>
  <si>
    <t>17Aug17</t>
  </si>
  <si>
    <t>17August18</t>
  </si>
  <si>
    <t>170819</t>
  </si>
  <si>
    <t>17.08.20</t>
  </si>
  <si>
    <t>17.8.21</t>
  </si>
  <si>
    <t>17-Aug-2022</t>
  </si>
  <si>
    <t>17-August-2023</t>
  </si>
  <si>
    <t>17-Aug-24</t>
  </si>
  <si>
    <t>17-August-25</t>
  </si>
  <si>
    <t>17 August 2027</t>
  </si>
  <si>
    <t>17 Aug 28</t>
  </si>
  <si>
    <t>Aug2029</t>
  </si>
  <si>
    <t>August2030</t>
  </si>
  <si>
    <t>Aug 2031</t>
  </si>
  <si>
    <t>August 2032</t>
  </si>
  <si>
    <t>Aug-2033</t>
  </si>
  <si>
    <t>August-2034</t>
  </si>
  <si>
    <t>Aug35</t>
  </si>
  <si>
    <t>August36</t>
  </si>
  <si>
    <t>Aug 37</t>
  </si>
  <si>
    <t>August 38</t>
  </si>
  <si>
    <t>Aug-39</t>
  </si>
  <si>
    <t>August-40</t>
  </si>
  <si>
    <t>[\s\d]\d/\b(?:Jan|Feb|Mar|Apr|May|Jun|Jul|Aug|Sep|Oct|Nov|Dec?)/\d\d\d\d</t>
  </si>
  <si>
    <t>[\s\d]\d\s\b(?:Jan|Feb|Mar|Apr|May|Jun|Jul|Aug|Sep|Oct|Nov|Dec?)\s\d\d</t>
  </si>
  <si>
    <t>[\s\d]\d.\b(?:Jan|Feb|Mar|Apr|May|Jun|Jul|Aug|Sep|Oct|Nov|Dec?).\d\d\d\d</t>
  </si>
  <si>
    <t>[\s\d]\d(?:Jan|Feb|Mar|Apr|May|Jun|Jul|Aug|Sep|Oct|Nov|Dec?)\d\d\d\d</t>
  </si>
  <si>
    <t>[\s\d]\d/\b(?:Jan|Feb|Mar|Apr|May|Jun|Jul|Aug|Sep|Oct|Nov|Dec?)/\d\d</t>
  </si>
  <si>
    <t>[\s\d]\d.\b(?:Jan|Feb|Mar|Apr|May|Jun|Jul|Aug|Sep|Oct|Nov|Dec?).\d\d</t>
  </si>
  <si>
    <t>[\s\d]\d(?:Jan|Feb|Mar|Apr|May|Jun|Jul|Aug|Sep|Oct|Nov|Dec?)\d\d</t>
  </si>
  <si>
    <t>[\s\d]\d-\b(?:Jan|Feb|Mar|Apr|May|Jun|Jul|Aug|Sep|Oct|Nov|Dec?)-\d\d\d\d</t>
  </si>
  <si>
    <t>[\s\d]\d-(?:Jan|Feb|Mar|Apr|May|Jun|Jul|Aug|Sep|Oct|Nov|Dec?)-\d\d</t>
  </si>
  <si>
    <t>\b(?:Jan|Feb|Mar|Apr|May|Jun|Jul|Aug|Sep|Oct|Nov|Dec?)\d\d\d\d</t>
  </si>
  <si>
    <t>\b(?:Jan|Feb|Mar|Apr|May|Jun|Jul|Aug|Sep|Oct|Nov|Dec?)\s\d\d\d\d</t>
  </si>
  <si>
    <t>\b(?:Jan|Feb|Mar|Apr|May|Jun|Jul|Aug|Sep|Oct|Nov|Dec?)-\d\d\d\d</t>
  </si>
  <si>
    <t>\b(?:Jan|Feb|Mar|Apr|May|Jun|Jul|Aug|Sep|Oct|Nov|Dec?)\d\d</t>
  </si>
  <si>
    <t>\b(?:Jan|Feb|Mar|Apr|May|Jun|Jul|Aug|Sep|Oct|Nov|Dec?)-\d\d</t>
  </si>
  <si>
    <t>\b(?:Jan|Feb|Mar|Apr|May|Jun|Jul|Aug|Sep|Oct|Nov|Dec?)\s\d\d</t>
  </si>
  <si>
    <t/>
  </si>
  <si>
    <t>id</t>
  </si>
  <si>
    <t>name</t>
  </si>
  <si>
    <t>BRX0.00|BARC0.00|BAR0.00|BARCLAY</t>
  </si>
  <si>
    <t>SHOPRITE</t>
  </si>
  <si>
    <t>HARCOURT</t>
  </si>
  <si>
    <t>FIRSTRAND|FIRSTRAND|RMB|RAND MERCHANT|TDFRB|FSR</t>
  </si>
  <si>
    <t>US TREASURY</t>
  </si>
  <si>
    <t>DISCOVERY|DSY</t>
  </si>
  <si>
    <t>SIRIUS SOLAR</t>
  </si>
  <si>
    <t>KHOBAB</t>
  </si>
  <si>
    <t xml:space="preserve"> NED|NEBANK|NEDBANK</t>
  </si>
  <si>
    <t>HYPROP|HYP</t>
  </si>
  <si>
    <t>LANDBANK|LAND BANK|LBK</t>
  </si>
  <si>
    <t>LOERIESFONTEIN|LOERISFONTEIN</t>
  </si>
  <si>
    <t>INVESTEC</t>
  </si>
  <si>
    <t>NINETYONE|NINETY-ONE|NINETY ONE|N91</t>
  </si>
  <si>
    <t>CLINDEB|NETCARE</t>
  </si>
  <si>
    <t>MERCE</t>
  </si>
  <si>
    <t>BNP PARIBAS S.A.|BNP PARIBAS SA</t>
  </si>
  <si>
    <t>KANGNAS</t>
  </si>
  <si>
    <t>REDEFINE|RDF</t>
  </si>
  <si>
    <t>ADE LOAN|ADELOAN</t>
  </si>
  <si>
    <t>ALSI|DCAP|DCAR</t>
  </si>
  <si>
    <t>KLIP 1</t>
  </si>
  <si>
    <t>KLIP 2</t>
  </si>
  <si>
    <t>TRANS-C|TCTA|TRANSCALEDON|TRANSCALEDON</t>
  </si>
  <si>
    <t>HSBC</t>
  </si>
  <si>
    <t>JPM|JP MORGAN</t>
  </si>
  <si>
    <t>PERDEKRAAL</t>
  </si>
  <si>
    <t>PCEIDFF</t>
  </si>
  <si>
    <t>VKE|VUKILE</t>
  </si>
  <si>
    <t>CGR|CALGRO</t>
  </si>
  <si>
    <t>TOYOTA|TFS</t>
  </si>
  <si>
    <t>AIRPORTS|ACSA</t>
  </si>
  <si>
    <t>SOUTHCHESTER</t>
  </si>
  <si>
    <t>TELKOM</t>
  </si>
  <si>
    <t>BANK GABARONE</t>
  </si>
  <si>
    <t>GRT|GROWTHPOINT|GROWTH POINT</t>
  </si>
  <si>
    <t>Republic of South Africa</t>
  </si>
  <si>
    <t>Barclays Bank Plc</t>
  </si>
  <si>
    <t>Shoprite Holdings Ltd</t>
  </si>
  <si>
    <t>Harcourt Street 1 (RF) Ltd</t>
  </si>
  <si>
    <t>FirstRand Ltd</t>
  </si>
  <si>
    <t>US Treasury</t>
  </si>
  <si>
    <t>Discovery Ltd</t>
  </si>
  <si>
    <t>Sirius Solar PV Project One (Pty) Ltd</t>
  </si>
  <si>
    <t>Khobab Wind (RF) (Pty) Ltd</t>
  </si>
  <si>
    <t>Nedbank Ltd</t>
  </si>
  <si>
    <t>Hyprop Investments Ltd</t>
  </si>
  <si>
    <t>Land and Agricultural Development Bank of South Africa</t>
  </si>
  <si>
    <t>Loeriesfontein 2 (RF) (Pty) Ltd</t>
  </si>
  <si>
    <t>Investec Ltd</t>
  </si>
  <si>
    <t>Ninety One Ltd</t>
  </si>
  <si>
    <t>Netcare Ltd</t>
  </si>
  <si>
    <t>Mercedes-Benz South Africa (Pty) Ltd</t>
  </si>
  <si>
    <t>BNP Paribas S.A.</t>
  </si>
  <si>
    <t>BNP Paribas Personal Finance SA Ltd</t>
  </si>
  <si>
    <t>Kangnas (RF) (Pty) Ltd</t>
  </si>
  <si>
    <t>Redefine Properties Ltd</t>
  </si>
  <si>
    <t>Standard Bank of South Africa Ltd</t>
  </si>
  <si>
    <t>ADE Loan SPV</t>
  </si>
  <si>
    <t>FTSE / JSE All Share Index</t>
  </si>
  <si>
    <t>Dyasons Klip 1 (Pty) Ltd</t>
  </si>
  <si>
    <t>Dyasons Klip 2 (Pty) Ltd</t>
  </si>
  <si>
    <t>Trans-Caledon Tunnel Authority</t>
  </si>
  <si>
    <t>HSBC Bank Plc</t>
  </si>
  <si>
    <t>JPMorgan Chase Bank</t>
  </si>
  <si>
    <t>Perdekraal East (RF) (Pty) Ltd</t>
  </si>
  <si>
    <t>KAP Industrial Holdings Ltd</t>
  </si>
  <si>
    <t>Vukile Property Fund Ltd</t>
  </si>
  <si>
    <t>Industrial Development Corporation of South Africa</t>
  </si>
  <si>
    <t>Fortress REIT Ltd</t>
  </si>
  <si>
    <t>Growthpoint Properties Ltd</t>
  </si>
  <si>
    <t>Calgro M3 Holdings Ltd</t>
  </si>
  <si>
    <t>Toyota Financial Services (SA) (Pty) Ltd</t>
  </si>
  <si>
    <t>Airports Company South Africa SOC Ltd</t>
  </si>
  <si>
    <t>MTN Group Ltd</t>
  </si>
  <si>
    <t>Southchester (RF) Ltd</t>
  </si>
  <si>
    <t>Bank Gabarone</t>
  </si>
  <si>
    <t>Telkom SA SOC Ltd</t>
  </si>
  <si>
    <t>^RSATB</t>
  </si>
  <si>
    <t>BERN</t>
  </si>
  <si>
    <t>^SHP</t>
  </si>
  <si>
    <t>^TDFRB</t>
  </si>
  <si>
    <t>^NTC</t>
  </si>
  <si>
    <t>^JPM</t>
  </si>
  <si>
    <t>^KAP</t>
  </si>
  <si>
    <t>^VKE</t>
  </si>
  <si>
    <t>^IDC</t>
  </si>
  <si>
    <t>^GRT</t>
  </si>
  <si>
    <t>^CGR</t>
  </si>
  <si>
    <t>^TFS</t>
  </si>
  <si>
    <t>^MTN</t>
  </si>
  <si>
    <t>^BNKG</t>
  </si>
  <si>
    <t>STANDARD BANK|STANDARDBANK|STANDARDBANK|STD BANK</t>
  </si>
  <si>
    <t>KAP HOLDINGS|KAP INDUSTRIAL</t>
  </si>
  <si>
    <t>INDUSTRIAL DEVELOPMENT CORP|INDEPENDENT DEVELOPMENT CORP</t>
  </si>
  <si>
    <t>^NED|^IRSNED</t>
  </si>
  <si>
    <t>^IB1|^IBL|^INL|^INV|INP|IV</t>
  </si>
  <si>
    <t>^BPP|^BNP</t>
  </si>
  <si>
    <t>^SBK|^SBS</t>
  </si>
  <si>
    <t>^FIF|^FIA|^FIB</t>
  </si>
  <si>
    <t>^SCHS|^South</t>
  </si>
  <si>
    <t>CLN|ASN|IVC</t>
  </si>
  <si>
    <t>STEP UP|STEP-UP|STEP_UP|STEPUP|NCD|FRN</t>
  </si>
  <si>
    <t>frn</t>
  </si>
  <si>
    <t>cln</t>
  </si>
  <si>
    <t>ilb</t>
  </si>
  <si>
    <t>INFLATION|CPI|ILB</t>
  </si>
  <si>
    <t>Transnet SOC Ltd</t>
  </si>
  <si>
    <t>SANLAM</t>
  </si>
  <si>
    <t>Sanlam Ltd</t>
  </si>
  <si>
    <t>Mulilo De Aar 2</t>
  </si>
  <si>
    <t>Mulilo Longyuan De Aar 1</t>
  </si>
  <si>
    <t>MULILO DE AAR 2</t>
  </si>
  <si>
    <t>MULILO LONGYUAN DE AAR 1</t>
  </si>
  <si>
    <t>ASPEN</t>
  </si>
  <si>
    <t>Aspen Pharmacare Holdings Ltd</t>
  </si>
  <si>
    <t>^ASPENPN</t>
  </si>
  <si>
    <t>MULILO2</t>
  </si>
  <si>
    <t>MULILO1</t>
  </si>
  <si>
    <t>^TN\d\d</t>
  </si>
  <si>
    <t>UMGENI WATER</t>
  </si>
  <si>
    <t>Umgeni Water</t>
  </si>
  <si>
    <t>^UG\d\d</t>
  </si>
  <si>
    <t>ACCELERATE PROPERTY</t>
  </si>
  <si>
    <t>^APF\d\d</t>
  </si>
  <si>
    <t>Accelerate Property Fund</t>
  </si>
  <si>
    <t>African Bank Ltd</t>
  </si>
  <si>
    <t>^ABJ\d\d</t>
  </si>
  <si>
    <t>^AIR\d\d</t>
  </si>
  <si>
    <t>AFRICAN BANK</t>
  </si>
  <si>
    <t>ENABLE CAPITAL</t>
  </si>
  <si>
    <t>Enable Capital</t>
  </si>
  <si>
    <t>^ECRFPLN</t>
  </si>
  <si>
    <t>EKURHULENI</t>
  </si>
  <si>
    <t>^EMM\d\d</t>
  </si>
  <si>
    <t>^DK1</t>
  </si>
  <si>
    <t>^DK2</t>
  </si>
  <si>
    <t>City of Cape Town Muncipality</t>
  </si>
  <si>
    <t>City of Johannesburg Muncipality</t>
  </si>
  <si>
    <t>^COJ</t>
  </si>
  <si>
    <t>^CCT</t>
  </si>
  <si>
    <t>City of Ekurhuleni Municipality</t>
  </si>
  <si>
    <t>CALGRO</t>
  </si>
  <si>
    <t>^CGR\d\d</t>
  </si>
  <si>
    <t>ABSA|ABSA|ABG|BARCLAYS AFRICA</t>
  </si>
  <si>
    <t>Absa Group Ltd</t>
  </si>
  <si>
    <t>^BG\D\d\d</t>
  </si>
  <si>
    <t>BPPF\d\d|BNP PARIBAS PERSONAL|PERSONAL FINANCE|BNP PPFSA</t>
  </si>
  <si>
    <t>CITY OF CAPE TOWN|CITY OF CT</t>
  </si>
  <si>
    <t xml:space="preserve">Development Bank of Southern Africa </t>
  </si>
  <si>
    <t>CITY OF JOHANNESBURG|CITY OF JHB|CITY OF JOBURG</t>
  </si>
  <si>
    <t>DENEL</t>
  </si>
  <si>
    <t>Denel SOC Ltd</t>
  </si>
  <si>
    <t>^DENG\d\d</t>
  </si>
  <si>
    <t>^DSY\d\d</t>
  </si>
  <si>
    <t>^DV</t>
  </si>
  <si>
    <t>DBSA|DEVELOPMENT BANK OF SOUTH</t>
  </si>
  <si>
    <t>Redstone CSP Project</t>
  </si>
  <si>
    <t>REDSTONE CSP</t>
  </si>
  <si>
    <t>RAND WATER</t>
  </si>
  <si>
    <t>Rand Water</t>
  </si>
  <si>
    <t>^RW\d\d</t>
  </si>
  <si>
    <t>GRW FINANCE</t>
  </si>
  <si>
    <t>GRW Finance (Pty) Ltd</t>
  </si>
  <si>
    <t>INGUZA</t>
  </si>
  <si>
    <t>iNguza Investments (RF) Ltd</t>
  </si>
  <si>
    <t>NDALA TSITS</t>
  </si>
  <si>
    <t>Ndala Tsitsikamma Wind</t>
  </si>
  <si>
    <t>NORTHAM PLATINUM</t>
  </si>
  <si>
    <t>^NHM</t>
  </si>
  <si>
    <t>Northam Platinum Ltd</t>
  </si>
  <si>
    <t>R\d\d\d\d|I\d\d\d\d|R\d\d\d|SOAF|RSA TB|IGOV|SOUTH AFRICA T|SOUTH AFRICAN T|RSA|REPUBLIC OF SOUTH AFRICA</t>
  </si>
  <si>
    <t>SANRAL|SA NATIONAL ROAD</t>
  </si>
  <si>
    <t>SA National Roads Agency</t>
  </si>
  <si>
    <t>SENTINEL FINCO</t>
  </si>
  <si>
    <t>Sentinel Finco (RF) Ltd</t>
  </si>
  <si>
    <t>SOLAR RESERVE</t>
  </si>
  <si>
    <t>Solar Reserve South Africa PV</t>
  </si>
  <si>
    <t>TRANSNET|TRANSET</t>
  </si>
  <si>
    <t>RETAIL CAPITAL</t>
  </si>
  <si>
    <t>Retail Capital</t>
  </si>
  <si>
    <t>STANDARD BANK NAMIBIA</t>
  </si>
  <si>
    <t>^SBKN|^SBN</t>
  </si>
  <si>
    <t>Standard Bank Namibia Ltd</t>
  </si>
  <si>
    <t>STANDARD BANK GROUP</t>
  </si>
  <si>
    <t>^SBT</t>
  </si>
  <si>
    <t>Standard Bank Group Ltd</t>
  </si>
  <si>
    <t>Standard Chartered Plc</t>
  </si>
  <si>
    <t>STANDARD CHARTERED|SCB</t>
  </si>
  <si>
    <t>GOLDMAN</t>
  </si>
  <si>
    <t>Goldman Sachs Group Inc</t>
  </si>
  <si>
    <t>IMPUMELELO</t>
  </si>
  <si>
    <t>iMpumelelo</t>
  </si>
  <si>
    <t>SCATEC</t>
  </si>
  <si>
    <t>Scatec Solar ASA</t>
  </si>
  <si>
    <t>BAYPORT</t>
  </si>
  <si>
    <t>Bayport Financial Services</t>
  </si>
  <si>
    <t>ESKOM</t>
  </si>
  <si>
    <t>Eskom Holdings SOC Ltd</t>
  </si>
  <si>
    <t>IVUZI</t>
  </si>
  <si>
    <t>Ivuzi Investments (RF) Ltd</t>
  </si>
  <si>
    <t>FORTRESS REIT|FFA|FFB</t>
  </si>
  <si>
    <t>FOSCHINI</t>
  </si>
  <si>
    <t>The Foschini Group Ltd</t>
  </si>
  <si>
    <t>HSBC Holdings Ltd</t>
  </si>
  <si>
    <t>INCDIST</t>
  </si>
  <si>
    <t>INTRZAR</t>
  </si>
  <si>
    <t>INTWHT</t>
  </si>
  <si>
    <t>VARMARG</t>
  </si>
  <si>
    <t>AUDITFEE</t>
  </si>
  <si>
    <t>MGMTFEE</t>
  </si>
  <si>
    <t>PERFFEE</t>
  </si>
  <si>
    <t>OTHFEE</t>
  </si>
  <si>
    <t>CASHZAR</t>
  </si>
  <si>
    <t>CASHCHF</t>
  </si>
  <si>
    <t>CASHAUD</t>
  </si>
  <si>
    <t>CASHEUR</t>
  </si>
  <si>
    <t>CASHGBP</t>
  </si>
  <si>
    <t>CASHNAD</t>
  </si>
  <si>
    <t>CASHJPY</t>
  </si>
  <si>
    <t>CASHUSD</t>
  </si>
  <si>
    <t>accruals</t>
  </si>
  <si>
    <t>date_regex</t>
  </si>
  <si>
    <t>Day of Reconciliation</t>
  </si>
  <si>
    <t>New Year's Day</t>
  </si>
  <si>
    <t>Christmas Day</t>
  </si>
  <si>
    <t>Namibian Independence Day</t>
  </si>
  <si>
    <t>Boxing Day</t>
  </si>
  <si>
    <t>Good Friday</t>
  </si>
  <si>
    <t>Easter Monday</t>
  </si>
  <si>
    <t>Human Rights Day</t>
  </si>
  <si>
    <t>Worker's Day</t>
  </si>
  <si>
    <t>Cassinga Day</t>
  </si>
  <si>
    <t>Family Day</t>
  </si>
  <si>
    <t>Ascension Day</t>
  </si>
  <si>
    <t>Freedom Day</t>
  </si>
  <si>
    <t>Heroes' Day</t>
  </si>
  <si>
    <t>International Workers' Day</t>
  </si>
  <si>
    <t>Youth Day (in South Africa)</t>
  </si>
  <si>
    <t>International Womens Day</t>
  </si>
  <si>
    <t>National Women's Day</t>
  </si>
  <si>
    <t>Heritage Day</t>
  </si>
  <si>
    <t>Municipal Elections</t>
  </si>
  <si>
    <t>Workers' Day</t>
  </si>
  <si>
    <t>Workers' Day Holiday</t>
  </si>
  <si>
    <t>Youth Day</t>
  </si>
  <si>
    <t>Day of Goodwill</t>
  </si>
  <si>
    <t>New Year Holiday</t>
  </si>
  <si>
    <t>Heritage Day Holiday</t>
  </si>
  <si>
    <t>sa_hols</t>
  </si>
  <si>
    <t>nam_hols</t>
  </si>
  <si>
    <t>SUPER GROUP|SUPERGROUP</t>
  </si>
  <si>
    <t>^SPG</t>
  </si>
  <si>
    <t>Super Group Ltd</t>
  </si>
  <si>
    <t>MOBILE TELEPHONE NETWORKS|MTN</t>
  </si>
  <si>
    <t>description</t>
  </si>
  <si>
    <t>REDINK</t>
  </si>
  <si>
    <t>Redink Rental (RF) Ltd</t>
  </si>
  <si>
    <t>NEDBANK GROUP</t>
  </si>
  <si>
    <t>^NGL|^NGT</t>
  </si>
  <si>
    <t>Nedbank Group Ltd</t>
  </si>
  <si>
    <t>CASHQAR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</si>
</sst>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\ mmm\ yy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5" fillId="0" borderId="0" applyBorder="0"/>
  </cellStyleXfs>
  <cellXfs count="19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16" fillId="0" borderId="10" xfId="0" applyFont="1" applyBorder="1"/>
    <xf numFmtId="49" fontId="16" fillId="0" borderId="10" xfId="0" applyNumberFormat="1" applyFont="1" applyBorder="1"/>
    <xf numFmtId="0" fontId="16" fillId="0" borderId="10" xfId="0" applyFont="1" applyBorder="1" applyAlignment="1">
      <alignment horizontal="center"/>
    </xf>
    <xf numFmtId="0" fontId="19" fillId="0" borderId="0" xfId="42" applyFill="1"/>
    <xf numFmtId="49" fontId="0" fillId="0" borderId="0" xfId="0" quotePrefix="1" applyNumberFormat="1"/>
    <xf numFmtId="0" fontId="20" fillId="0" borderId="0" xfId="0" applyFont="1"/>
    <xf numFmtId="0" fontId="21" fillId="33" borderId="10" xfId="0" applyFont="1" applyFill="1" applyBorder="1"/>
    <xf numFmtId="0" fontId="22" fillId="0" borderId="0" xfId="0" applyFont="1"/>
    <xf numFmtId="0" fontId="22" fillId="0" borderId="0" xfId="0" quotePrefix="1" applyFont="1"/>
    <xf numFmtId="0" fontId="19" fillId="0" borderId="0" xfId="42"/>
    <xf numFmtId="0" fontId="16" fillId="34" borderId="10" xfId="0" applyFont="1" applyFill="1" applyBorder="1"/>
    <xf numFmtId="0" fontId="25" fillId="0" borderId="0" xfId="43" applyBorder="1"/>
    <xf numFmtId="0" fontId="26" fillId="33" borderId="10" xfId="43" applyFont="1" applyFill="1" applyBorder="1"/>
    <xf numFmtId="14" fontId="0" fillId="0" borderId="0" xfId="0" applyNumberFormat="1"/>
    <xf numFmtId="14" fontId="22" fillId="0" borderId="0" xfId="0" applyNumberFormat="1" applyFont="1"/>
    <xf numFmtId="164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6" xfId="43" xr:uid="{2109BA7C-29DA-4B72-BF68-33A8BE85C04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12</xdr:col>
      <xdr:colOff>494236</xdr:colOff>
      <xdr:row>27</xdr:row>
      <xdr:rowOff>9000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151D8-EE0A-B381-820B-9C867DA49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63700" y="571500"/>
          <a:ext cx="8514286" cy="4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9"/>
  <sheetViews>
    <sheetView topLeftCell="A22" workbookViewId="0">
      <selection activeCell="A3" sqref="A3"/>
    </sheetView>
  </sheetViews>
  <sheetFormatPr defaultRowHeight="15" x14ac:dyDescent="0.25"/>
  <cols>
    <col min="1" max="1" width="159.42578125" bestFit="1" customWidth="1"/>
    <col min="2" max="2" width="11.28515625" bestFit="1" customWidth="1"/>
    <col min="3" max="3" width="17.42578125" bestFit="1" customWidth="1"/>
    <col min="4" max="4" width="15" style="1" bestFit="1" customWidth="1"/>
    <col min="5" max="5" width="3.140625" style="2" customWidth="1"/>
    <col min="7" max="7" width="74.5703125" customWidth="1"/>
  </cols>
  <sheetData>
    <row r="1" spans="1:7" x14ac:dyDescent="0.25">
      <c r="A1" s="3" t="s">
        <v>346</v>
      </c>
      <c r="B1" s="3" t="s">
        <v>1</v>
      </c>
      <c r="C1" s="3" t="s">
        <v>2</v>
      </c>
      <c r="D1" s="4" t="s">
        <v>3</v>
      </c>
      <c r="E1" s="5">
        <f>COUNT($E$2:$E$997)-1</f>
        <v>37</v>
      </c>
      <c r="G1" s="6" t="str">
        <f>HYPERLINK("https://stackoverflow.com/questions/2655476/regex-to-match-month-name-followed-by-year","# Regex to match month name followed by year")</f>
        <v># Regex to match month name followed by year</v>
      </c>
    </row>
    <row r="2" spans="1:7" x14ac:dyDescent="0.25">
      <c r="A2" t="s">
        <v>4</v>
      </c>
      <c r="B2" t="s">
        <v>5</v>
      </c>
      <c r="C2" t="s">
        <v>6</v>
      </c>
      <c r="D2" s="1" t="s">
        <v>69</v>
      </c>
      <c r="E2" s="2">
        <v>0</v>
      </c>
      <c r="G2" t="s">
        <v>38</v>
      </c>
    </row>
    <row r="3" spans="1:7" x14ac:dyDescent="0.25">
      <c r="A3" t="s">
        <v>7</v>
      </c>
      <c r="B3" t="s">
        <v>5</v>
      </c>
      <c r="C3" t="s">
        <v>6</v>
      </c>
      <c r="D3" s="1" t="s">
        <v>70</v>
      </c>
      <c r="E3" s="2">
        <v>1</v>
      </c>
    </row>
    <row r="4" spans="1:7" x14ac:dyDescent="0.25">
      <c r="A4" t="s">
        <v>106</v>
      </c>
      <c r="B4" t="s">
        <v>8</v>
      </c>
      <c r="D4" s="1" t="s">
        <v>71</v>
      </c>
      <c r="E4" s="2">
        <v>2</v>
      </c>
    </row>
    <row r="5" spans="1:7" x14ac:dyDescent="0.25">
      <c r="A5" t="s">
        <v>39</v>
      </c>
      <c r="B5" t="s">
        <v>40</v>
      </c>
      <c r="D5" s="1" t="s">
        <v>72</v>
      </c>
      <c r="E5" s="2">
        <v>3</v>
      </c>
    </row>
    <row r="6" spans="1:7" x14ac:dyDescent="0.25">
      <c r="A6" t="s">
        <v>54</v>
      </c>
      <c r="B6" t="s">
        <v>61</v>
      </c>
      <c r="D6" s="1" t="s">
        <v>92</v>
      </c>
      <c r="E6" s="2">
        <v>4</v>
      </c>
    </row>
    <row r="7" spans="1:7" x14ac:dyDescent="0.25">
      <c r="A7" t="s">
        <v>107</v>
      </c>
      <c r="B7" t="s">
        <v>35</v>
      </c>
      <c r="D7" s="1" t="s">
        <v>93</v>
      </c>
      <c r="E7" s="2">
        <v>5</v>
      </c>
    </row>
    <row r="8" spans="1:7" x14ac:dyDescent="0.25">
      <c r="A8" t="s">
        <v>113</v>
      </c>
      <c r="B8" t="s">
        <v>31</v>
      </c>
      <c r="C8" s="8"/>
      <c r="D8" s="1" t="s">
        <v>88</v>
      </c>
      <c r="E8" s="2">
        <v>22</v>
      </c>
    </row>
    <row r="9" spans="1:7" x14ac:dyDescent="0.25">
      <c r="A9" t="s">
        <v>108</v>
      </c>
      <c r="B9" t="s">
        <v>36</v>
      </c>
      <c r="D9" s="1" t="s">
        <v>73</v>
      </c>
      <c r="E9" s="2">
        <v>6</v>
      </c>
    </row>
    <row r="10" spans="1:7" x14ac:dyDescent="0.25">
      <c r="A10" t="s">
        <v>50</v>
      </c>
      <c r="B10" t="s">
        <v>51</v>
      </c>
      <c r="C10" s="8"/>
      <c r="D10" s="1" t="s">
        <v>89</v>
      </c>
      <c r="E10" s="2">
        <v>23</v>
      </c>
    </row>
    <row r="11" spans="1:7" x14ac:dyDescent="0.25">
      <c r="A11" t="s">
        <v>41</v>
      </c>
      <c r="B11" t="s">
        <v>42</v>
      </c>
      <c r="D11" s="1" t="s">
        <v>74</v>
      </c>
      <c r="E11" s="2">
        <v>7</v>
      </c>
    </row>
    <row r="12" spans="1:7" x14ac:dyDescent="0.25">
      <c r="A12" t="s">
        <v>109</v>
      </c>
      <c r="B12" t="s">
        <v>9</v>
      </c>
      <c r="D12" s="7" t="s">
        <v>75</v>
      </c>
      <c r="E12" s="2">
        <v>9</v>
      </c>
    </row>
    <row r="13" spans="1:7" x14ac:dyDescent="0.25">
      <c r="A13" t="s">
        <v>43</v>
      </c>
      <c r="B13" t="s">
        <v>44</v>
      </c>
      <c r="D13" s="7" t="s">
        <v>76</v>
      </c>
      <c r="E13" s="2">
        <v>8</v>
      </c>
    </row>
    <row r="14" spans="1:7" x14ac:dyDescent="0.25">
      <c r="A14" t="s">
        <v>112</v>
      </c>
      <c r="B14" t="s">
        <v>17</v>
      </c>
      <c r="C14" s="8"/>
      <c r="D14" s="1" t="s">
        <v>83</v>
      </c>
      <c r="E14" s="2">
        <v>18</v>
      </c>
    </row>
    <row r="15" spans="1:7" x14ac:dyDescent="0.25">
      <c r="A15" t="s">
        <v>68</v>
      </c>
      <c r="B15" t="s">
        <v>49</v>
      </c>
      <c r="D15" s="1" t="s">
        <v>84</v>
      </c>
      <c r="E15" s="2">
        <v>10</v>
      </c>
    </row>
    <row r="16" spans="1:7" x14ac:dyDescent="0.25">
      <c r="A16" t="s">
        <v>34</v>
      </c>
      <c r="B16" t="s">
        <v>10</v>
      </c>
      <c r="C16" t="s">
        <v>11</v>
      </c>
      <c r="D16" s="1" t="s">
        <v>77</v>
      </c>
      <c r="E16" s="2">
        <v>11</v>
      </c>
    </row>
    <row r="17" spans="1:5" x14ac:dyDescent="0.25">
      <c r="A17" t="s">
        <v>18</v>
      </c>
      <c r="B17" t="s">
        <v>19</v>
      </c>
      <c r="C17" t="s">
        <v>20</v>
      </c>
      <c r="D17" s="1" t="s">
        <v>85</v>
      </c>
      <c r="E17" s="2">
        <v>19</v>
      </c>
    </row>
    <row r="18" spans="1:5" x14ac:dyDescent="0.25">
      <c r="A18" t="s">
        <v>12</v>
      </c>
      <c r="B18" t="s">
        <v>13</v>
      </c>
      <c r="C18" t="s">
        <v>14</v>
      </c>
      <c r="D18" s="1" t="s">
        <v>78</v>
      </c>
      <c r="E18" s="2">
        <v>12</v>
      </c>
    </row>
    <row r="19" spans="1:5" x14ac:dyDescent="0.25">
      <c r="A19" t="s">
        <v>15</v>
      </c>
      <c r="B19" t="s">
        <v>13</v>
      </c>
      <c r="C19" t="s">
        <v>13</v>
      </c>
      <c r="D19" s="1" t="s">
        <v>79</v>
      </c>
      <c r="E19" s="2">
        <v>13</v>
      </c>
    </row>
    <row r="20" spans="1:5" x14ac:dyDescent="0.25">
      <c r="A20" t="s">
        <v>110</v>
      </c>
      <c r="B20" t="s">
        <v>16</v>
      </c>
      <c r="D20" s="1" t="s">
        <v>33</v>
      </c>
      <c r="E20" s="2">
        <v>14</v>
      </c>
    </row>
    <row r="21" spans="1:5" x14ac:dyDescent="0.25">
      <c r="A21" t="s">
        <v>45</v>
      </c>
      <c r="B21" t="s">
        <v>46</v>
      </c>
      <c r="D21" s="1" t="s">
        <v>80</v>
      </c>
      <c r="E21" s="2">
        <v>15</v>
      </c>
    </row>
    <row r="22" spans="1:5" x14ac:dyDescent="0.25">
      <c r="A22" t="s">
        <v>114</v>
      </c>
      <c r="B22" t="s">
        <v>32</v>
      </c>
      <c r="C22" s="8"/>
      <c r="D22" s="1" t="s">
        <v>90</v>
      </c>
      <c r="E22" s="2">
        <v>24</v>
      </c>
    </row>
    <row r="23" spans="1:5" x14ac:dyDescent="0.25">
      <c r="A23" t="s">
        <v>111</v>
      </c>
      <c r="B23" t="s">
        <v>37</v>
      </c>
      <c r="D23" s="1" t="s">
        <v>81</v>
      </c>
      <c r="E23" s="2">
        <v>16</v>
      </c>
    </row>
    <row r="24" spans="1:5" x14ac:dyDescent="0.25">
      <c r="A24" t="s">
        <v>52</v>
      </c>
      <c r="B24" t="s">
        <v>53</v>
      </c>
      <c r="C24" s="8"/>
      <c r="D24" s="1" t="s">
        <v>91</v>
      </c>
      <c r="E24" s="2">
        <v>25</v>
      </c>
    </row>
    <row r="25" spans="1:5" x14ac:dyDescent="0.25">
      <c r="A25" t="s">
        <v>47</v>
      </c>
      <c r="B25" t="s">
        <v>48</v>
      </c>
      <c r="D25" s="1" t="s">
        <v>82</v>
      </c>
      <c r="E25" s="2">
        <v>17</v>
      </c>
    </row>
    <row r="26" spans="1:5" x14ac:dyDescent="0.25">
      <c r="A26" t="s">
        <v>21</v>
      </c>
      <c r="B26" t="s">
        <v>22</v>
      </c>
      <c r="C26" t="s">
        <v>23</v>
      </c>
      <c r="D26" s="1" t="s">
        <v>86</v>
      </c>
      <c r="E26" s="2">
        <v>20</v>
      </c>
    </row>
    <row r="27" spans="1:5" x14ac:dyDescent="0.25">
      <c r="A27" t="s">
        <v>24</v>
      </c>
      <c r="B27" t="s">
        <v>22</v>
      </c>
      <c r="C27" t="s">
        <v>23</v>
      </c>
      <c r="D27" s="1" t="s">
        <v>87</v>
      </c>
      <c r="E27" s="2">
        <v>21</v>
      </c>
    </row>
    <row r="28" spans="1:5" x14ac:dyDescent="0.25">
      <c r="A28" t="s">
        <v>115</v>
      </c>
      <c r="B28" t="s">
        <v>25</v>
      </c>
      <c r="D28" s="1" t="s">
        <v>94</v>
      </c>
      <c r="E28" s="2">
        <v>26</v>
      </c>
    </row>
    <row r="29" spans="1:5" x14ac:dyDescent="0.25">
      <c r="A29" t="s">
        <v>60</v>
      </c>
      <c r="B29" t="s">
        <v>62</v>
      </c>
      <c r="D29" s="1" t="s">
        <v>95</v>
      </c>
      <c r="E29" s="2">
        <v>27</v>
      </c>
    </row>
    <row r="30" spans="1:5" x14ac:dyDescent="0.25">
      <c r="A30" t="s">
        <v>116</v>
      </c>
      <c r="B30" t="s">
        <v>26</v>
      </c>
      <c r="D30" s="1" t="s">
        <v>96</v>
      </c>
      <c r="E30" s="2">
        <v>28</v>
      </c>
    </row>
    <row r="31" spans="1:5" x14ac:dyDescent="0.25">
      <c r="A31" t="s">
        <v>55</v>
      </c>
      <c r="B31" t="s">
        <v>63</v>
      </c>
      <c r="D31" s="1" t="s">
        <v>97</v>
      </c>
      <c r="E31" s="2">
        <v>29</v>
      </c>
    </row>
    <row r="32" spans="1:5" x14ac:dyDescent="0.25">
      <c r="A32" t="s">
        <v>117</v>
      </c>
      <c r="B32" t="s">
        <v>27</v>
      </c>
      <c r="D32" s="1" t="s">
        <v>98</v>
      </c>
      <c r="E32" s="2">
        <v>30</v>
      </c>
    </row>
    <row r="33" spans="1:5" x14ac:dyDescent="0.25">
      <c r="A33" t="s">
        <v>56</v>
      </c>
      <c r="B33" t="s">
        <v>64</v>
      </c>
      <c r="D33" s="1" t="s">
        <v>99</v>
      </c>
      <c r="E33" s="2">
        <v>31</v>
      </c>
    </row>
    <row r="34" spans="1:5" x14ac:dyDescent="0.25">
      <c r="A34" t="s">
        <v>118</v>
      </c>
      <c r="B34" t="s">
        <v>28</v>
      </c>
      <c r="D34" s="1" t="s">
        <v>100</v>
      </c>
      <c r="E34" s="2">
        <v>32</v>
      </c>
    </row>
    <row r="35" spans="1:5" x14ac:dyDescent="0.25">
      <c r="A35" t="s">
        <v>57</v>
      </c>
      <c r="B35" t="s">
        <v>65</v>
      </c>
      <c r="D35" s="1" t="s">
        <v>101</v>
      </c>
      <c r="E35" s="2">
        <v>33</v>
      </c>
    </row>
    <row r="36" spans="1:5" x14ac:dyDescent="0.25">
      <c r="A36" t="s">
        <v>120</v>
      </c>
      <c r="B36" t="s">
        <v>29</v>
      </c>
      <c r="D36" s="1" t="s">
        <v>102</v>
      </c>
      <c r="E36" s="2">
        <v>34</v>
      </c>
    </row>
    <row r="37" spans="1:5" x14ac:dyDescent="0.25">
      <c r="A37" t="s">
        <v>58</v>
      </c>
      <c r="B37" t="s">
        <v>66</v>
      </c>
      <c r="D37" s="1" t="s">
        <v>103</v>
      </c>
      <c r="E37" s="2">
        <v>35</v>
      </c>
    </row>
    <row r="38" spans="1:5" x14ac:dyDescent="0.25">
      <c r="A38" t="s">
        <v>119</v>
      </c>
      <c r="B38" t="s">
        <v>30</v>
      </c>
      <c r="D38" s="1" t="s">
        <v>104</v>
      </c>
      <c r="E38" s="2">
        <v>36</v>
      </c>
    </row>
    <row r="39" spans="1:5" x14ac:dyDescent="0.25">
      <c r="A39" t="s">
        <v>59</v>
      </c>
      <c r="B39" t="s">
        <v>67</v>
      </c>
      <c r="D39" s="1" t="s">
        <v>105</v>
      </c>
      <c r="E39" s="2">
        <v>37</v>
      </c>
    </row>
  </sheetData>
  <autoFilter ref="A1:E39" xr:uid="{00000000-0001-0000-0000-000000000000}"/>
  <phoneticPr fontId="1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454B-E5F0-4C42-86FE-7040C10DF469}">
  <sheetPr codeName="Sheet2"/>
  <dimension ref="A1:F84"/>
  <sheetViews>
    <sheetView tabSelected="1" workbookViewId="0">
      <pane xSplit="1" ySplit="2" topLeftCell="B69" activePane="bottomRight" state="frozen"/>
      <selection pane="topRight" activeCell="B1" sqref="B1"/>
      <selection pane="bottomLeft" activeCell="A3" sqref="A3"/>
      <selection pane="bottomRight" activeCell="B88" sqref="B88"/>
    </sheetView>
  </sheetViews>
  <sheetFormatPr defaultRowHeight="15" x14ac:dyDescent="0.25"/>
  <cols>
    <col min="1" max="1" width="78.7109375" bestFit="1" customWidth="1"/>
    <col min="2" max="2" width="26.5703125" bestFit="1" customWidth="1"/>
    <col min="3" max="3" width="39.28515625" customWidth="1"/>
  </cols>
  <sheetData>
    <row r="1" spans="1:6" x14ac:dyDescent="0.25">
      <c r="A1" s="9" t="s">
        <v>379</v>
      </c>
      <c r="B1" s="9" t="s">
        <v>122</v>
      </c>
      <c r="C1" s="9" t="s">
        <v>123</v>
      </c>
      <c r="E1" s="12" t="str">
        <f>HYPERLINK("H:\Hilton\[Prescient.xlsm]'Issuers2'!$A$1","Source")</f>
        <v>Source</v>
      </c>
      <c r="F1" s="12" t="str">
        <f>HYPERLINK("J:\PProfile Operations\Legal\Legal and Compliance Framework\Hilton\W\Reg28WorxISSUERSNames.docx"," Reg28 Issuers docx")</f>
        <v xml:space="preserve"> Reg28 Issuers docx</v>
      </c>
    </row>
    <row r="2" spans="1:6" x14ac:dyDescent="0.25">
      <c r="A2" s="10" t="s">
        <v>295</v>
      </c>
      <c r="B2" s="10" t="s">
        <v>202</v>
      </c>
      <c r="C2" s="10" t="s">
        <v>160</v>
      </c>
    </row>
    <row r="3" spans="1:6" x14ac:dyDescent="0.25">
      <c r="A3" s="11" t="s">
        <v>124</v>
      </c>
      <c r="B3" s="10" t="s">
        <v>203</v>
      </c>
      <c r="C3" s="10" t="s">
        <v>161</v>
      </c>
    </row>
    <row r="4" spans="1:6" x14ac:dyDescent="0.25">
      <c r="A4" s="10" t="s">
        <v>125</v>
      </c>
      <c r="B4" s="10" t="s">
        <v>204</v>
      </c>
      <c r="C4" s="10" t="s">
        <v>162</v>
      </c>
    </row>
    <row r="5" spans="1:6" x14ac:dyDescent="0.25">
      <c r="A5" s="10" t="s">
        <v>126</v>
      </c>
      <c r="B5" s="10" t="s">
        <v>121</v>
      </c>
      <c r="C5" s="10" t="s">
        <v>163</v>
      </c>
    </row>
    <row r="6" spans="1:6" x14ac:dyDescent="0.25">
      <c r="A6" s="11" t="s">
        <v>127</v>
      </c>
      <c r="B6" s="10" t="s">
        <v>205</v>
      </c>
      <c r="C6" s="10" t="s">
        <v>164</v>
      </c>
    </row>
    <row r="7" spans="1:6" x14ac:dyDescent="0.25">
      <c r="A7" s="10" t="s">
        <v>128</v>
      </c>
      <c r="B7" s="10" t="s">
        <v>121</v>
      </c>
      <c r="C7" s="10" t="s">
        <v>165</v>
      </c>
    </row>
    <row r="8" spans="1:6" x14ac:dyDescent="0.25">
      <c r="A8" s="11" t="s">
        <v>129</v>
      </c>
      <c r="B8" s="10" t="s">
        <v>278</v>
      </c>
      <c r="C8" s="10" t="s">
        <v>166</v>
      </c>
    </row>
    <row r="9" spans="1:6" x14ac:dyDescent="0.25">
      <c r="A9" s="10" t="s">
        <v>130</v>
      </c>
      <c r="B9" s="10" t="s">
        <v>121</v>
      </c>
      <c r="C9" s="10" t="s">
        <v>167</v>
      </c>
    </row>
    <row r="10" spans="1:6" x14ac:dyDescent="0.25">
      <c r="A10" s="11" t="s">
        <v>268</v>
      </c>
      <c r="B10" s="10" t="s">
        <v>270</v>
      </c>
      <c r="C10" s="10" t="s">
        <v>269</v>
      </c>
    </row>
    <row r="11" spans="1:6" x14ac:dyDescent="0.25">
      <c r="A11" s="10" t="s">
        <v>131</v>
      </c>
      <c r="B11" s="10" t="s">
        <v>121</v>
      </c>
      <c r="C11" s="10" t="s">
        <v>168</v>
      </c>
    </row>
    <row r="12" spans="1:6" x14ac:dyDescent="0.25">
      <c r="A12" s="10" t="s">
        <v>382</v>
      </c>
      <c r="B12" s="10" t="s">
        <v>383</v>
      </c>
      <c r="C12" s="10" t="s">
        <v>384</v>
      </c>
    </row>
    <row r="13" spans="1:6" x14ac:dyDescent="0.25">
      <c r="A13" s="11" t="s">
        <v>132</v>
      </c>
      <c r="B13" s="10" t="s">
        <v>219</v>
      </c>
      <c r="C13" s="10" t="s">
        <v>169</v>
      </c>
    </row>
    <row r="14" spans="1:6" x14ac:dyDescent="0.25">
      <c r="A14" s="11" t="s">
        <v>133</v>
      </c>
      <c r="B14" s="10" t="s">
        <v>121</v>
      </c>
      <c r="C14" s="10" t="s">
        <v>170</v>
      </c>
    </row>
    <row r="15" spans="1:6" x14ac:dyDescent="0.25">
      <c r="A15" s="11" t="s">
        <v>134</v>
      </c>
      <c r="B15" s="10" t="s">
        <v>121</v>
      </c>
      <c r="C15" s="10" t="s">
        <v>171</v>
      </c>
    </row>
    <row r="16" spans="1:6" x14ac:dyDescent="0.25">
      <c r="A16" s="11" t="s">
        <v>135</v>
      </c>
      <c r="B16" s="10" t="s">
        <v>121</v>
      </c>
      <c r="C16" s="10" t="s">
        <v>172</v>
      </c>
    </row>
    <row r="17" spans="1:3" x14ac:dyDescent="0.25">
      <c r="A17" s="10" t="s">
        <v>136</v>
      </c>
      <c r="B17" s="10" t="s">
        <v>220</v>
      </c>
      <c r="C17" s="10" t="s">
        <v>173</v>
      </c>
    </row>
    <row r="18" spans="1:3" x14ac:dyDescent="0.25">
      <c r="A18" s="11" t="s">
        <v>137</v>
      </c>
      <c r="B18" s="10" t="s">
        <v>121</v>
      </c>
      <c r="C18" s="10" t="s">
        <v>174</v>
      </c>
    </row>
    <row r="19" spans="1:3" x14ac:dyDescent="0.25">
      <c r="A19" s="11" t="s">
        <v>138</v>
      </c>
      <c r="B19" s="10" t="s">
        <v>206</v>
      </c>
      <c r="C19" s="10" t="s">
        <v>175</v>
      </c>
    </row>
    <row r="20" spans="1:3" x14ac:dyDescent="0.25">
      <c r="A20" s="11" t="s">
        <v>326</v>
      </c>
      <c r="B20" s="10"/>
      <c r="C20" s="10" t="s">
        <v>327</v>
      </c>
    </row>
    <row r="21" spans="1:3" x14ac:dyDescent="0.25">
      <c r="A21" s="10" t="s">
        <v>139</v>
      </c>
      <c r="B21" s="10" t="s">
        <v>121</v>
      </c>
      <c r="C21" s="10" t="s">
        <v>176</v>
      </c>
    </row>
    <row r="22" spans="1:3" x14ac:dyDescent="0.25">
      <c r="A22" s="11" t="s">
        <v>271</v>
      </c>
      <c r="B22" s="10" t="s">
        <v>221</v>
      </c>
      <c r="C22" s="10" t="s">
        <v>178</v>
      </c>
    </row>
    <row r="23" spans="1:3" x14ac:dyDescent="0.25">
      <c r="A23" s="11" t="s">
        <v>140</v>
      </c>
      <c r="B23" s="10" t="s">
        <v>121</v>
      </c>
      <c r="C23" s="10" t="s">
        <v>177</v>
      </c>
    </row>
    <row r="24" spans="1:3" x14ac:dyDescent="0.25">
      <c r="A24" s="11" t="s">
        <v>148</v>
      </c>
      <c r="B24" s="10"/>
      <c r="C24" s="10" t="s">
        <v>328</v>
      </c>
    </row>
    <row r="25" spans="1:3" x14ac:dyDescent="0.25">
      <c r="A25" s="10" t="s">
        <v>141</v>
      </c>
      <c r="B25" s="10" t="s">
        <v>121</v>
      </c>
      <c r="C25" s="10" t="s">
        <v>179</v>
      </c>
    </row>
    <row r="26" spans="1:3" x14ac:dyDescent="0.25">
      <c r="A26" s="11" t="s">
        <v>142</v>
      </c>
      <c r="B26" s="10" t="s">
        <v>121</v>
      </c>
      <c r="C26" s="10" t="s">
        <v>180</v>
      </c>
    </row>
    <row r="27" spans="1:3" x14ac:dyDescent="0.25">
      <c r="A27" s="11" t="s">
        <v>305</v>
      </c>
      <c r="B27" s="10" t="s">
        <v>306</v>
      </c>
      <c r="C27" s="10" t="s">
        <v>307</v>
      </c>
    </row>
    <row r="28" spans="1:3" x14ac:dyDescent="0.25">
      <c r="A28" s="11" t="s">
        <v>308</v>
      </c>
      <c r="B28" s="10" t="s">
        <v>309</v>
      </c>
      <c r="C28" s="10" t="s">
        <v>310</v>
      </c>
    </row>
    <row r="29" spans="1:3" x14ac:dyDescent="0.25">
      <c r="A29" s="11" t="s">
        <v>216</v>
      </c>
      <c r="B29" s="10" t="s">
        <v>222</v>
      </c>
      <c r="C29" s="10" t="s">
        <v>181</v>
      </c>
    </row>
    <row r="30" spans="1:3" x14ac:dyDescent="0.25">
      <c r="A30" s="11" t="s">
        <v>143</v>
      </c>
      <c r="B30" s="10" t="s">
        <v>121</v>
      </c>
      <c r="C30" s="10" t="s">
        <v>182</v>
      </c>
    </row>
    <row r="31" spans="1:3" x14ac:dyDescent="0.25">
      <c r="A31" s="11" t="s">
        <v>144</v>
      </c>
      <c r="B31" s="10" t="s">
        <v>121</v>
      </c>
      <c r="C31" s="10" t="s">
        <v>183</v>
      </c>
    </row>
    <row r="32" spans="1:3" x14ac:dyDescent="0.25">
      <c r="A32" s="10" t="s">
        <v>145</v>
      </c>
      <c r="B32" s="10" t="s">
        <v>259</v>
      </c>
      <c r="C32" s="10" t="s">
        <v>184</v>
      </c>
    </row>
    <row r="33" spans="1:3" x14ac:dyDescent="0.25">
      <c r="A33" s="10" t="s">
        <v>146</v>
      </c>
      <c r="B33" s="10" t="s">
        <v>260</v>
      </c>
      <c r="C33" s="10" t="s">
        <v>185</v>
      </c>
    </row>
    <row r="34" spans="1:3" x14ac:dyDescent="0.25">
      <c r="A34" s="11" t="s">
        <v>147</v>
      </c>
      <c r="B34" s="10" t="s">
        <v>121</v>
      </c>
      <c r="C34" s="10" t="s">
        <v>186</v>
      </c>
    </row>
    <row r="35" spans="1:3" x14ac:dyDescent="0.25">
      <c r="A35" s="10" t="s">
        <v>148</v>
      </c>
      <c r="B35" s="10" t="s">
        <v>121</v>
      </c>
      <c r="C35" s="10" t="s">
        <v>187</v>
      </c>
    </row>
    <row r="36" spans="1:3" x14ac:dyDescent="0.25">
      <c r="A36" s="11" t="s">
        <v>313</v>
      </c>
      <c r="B36" s="10"/>
      <c r="C36" s="11" t="s">
        <v>314</v>
      </c>
    </row>
    <row r="37" spans="1:3" x14ac:dyDescent="0.25">
      <c r="A37" s="11" t="s">
        <v>149</v>
      </c>
      <c r="B37" s="10" t="s">
        <v>207</v>
      </c>
      <c r="C37" s="11" t="s">
        <v>188</v>
      </c>
    </row>
    <row r="38" spans="1:3" x14ac:dyDescent="0.25">
      <c r="A38" s="10" t="s">
        <v>150</v>
      </c>
      <c r="B38" s="10" t="s">
        <v>121</v>
      </c>
      <c r="C38" s="10" t="s">
        <v>189</v>
      </c>
    </row>
    <row r="39" spans="1:3" x14ac:dyDescent="0.25">
      <c r="A39" s="10" t="s">
        <v>151</v>
      </c>
      <c r="B39" s="10" t="s">
        <v>121</v>
      </c>
      <c r="C39" s="10" t="s">
        <v>151</v>
      </c>
    </row>
    <row r="40" spans="1:3" x14ac:dyDescent="0.25">
      <c r="A40" s="10" t="s">
        <v>312</v>
      </c>
      <c r="B40" s="10" t="s">
        <v>121</v>
      </c>
      <c r="C40" s="10" t="s">
        <v>311</v>
      </c>
    </row>
    <row r="41" spans="1:3" x14ac:dyDescent="0.25">
      <c r="A41" s="10" t="s">
        <v>217</v>
      </c>
      <c r="B41" s="10" t="s">
        <v>208</v>
      </c>
      <c r="C41" s="10" t="s">
        <v>190</v>
      </c>
    </row>
    <row r="42" spans="1:3" x14ac:dyDescent="0.25">
      <c r="A42" s="11" t="s">
        <v>152</v>
      </c>
      <c r="B42" s="10" t="s">
        <v>209</v>
      </c>
      <c r="C42" s="10" t="s">
        <v>191</v>
      </c>
    </row>
    <row r="43" spans="1:3" x14ac:dyDescent="0.25">
      <c r="A43" s="10" t="s">
        <v>218</v>
      </c>
      <c r="B43" s="10" t="s">
        <v>210</v>
      </c>
      <c r="C43" s="10" t="s">
        <v>192</v>
      </c>
    </row>
    <row r="44" spans="1:3" x14ac:dyDescent="0.25">
      <c r="A44" s="10" t="s">
        <v>280</v>
      </c>
      <c r="B44" s="10" t="s">
        <v>279</v>
      </c>
      <c r="C44" s="10" t="s">
        <v>273</v>
      </c>
    </row>
    <row r="45" spans="1:3" x14ac:dyDescent="0.25">
      <c r="A45" s="10" t="s">
        <v>325</v>
      </c>
      <c r="B45" s="10" t="s">
        <v>223</v>
      </c>
      <c r="C45" s="10" t="s">
        <v>193</v>
      </c>
    </row>
    <row r="46" spans="1:3" x14ac:dyDescent="0.25">
      <c r="A46" s="11" t="s">
        <v>159</v>
      </c>
      <c r="B46" s="10" t="s">
        <v>211</v>
      </c>
      <c r="C46" s="10" t="s">
        <v>194</v>
      </c>
    </row>
    <row r="47" spans="1:3" x14ac:dyDescent="0.25">
      <c r="A47" s="11" t="s">
        <v>153</v>
      </c>
      <c r="B47" s="10" t="s">
        <v>212</v>
      </c>
      <c r="C47" s="10" t="s">
        <v>195</v>
      </c>
    </row>
    <row r="48" spans="1:3" x14ac:dyDescent="0.25">
      <c r="A48" s="11" t="s">
        <v>154</v>
      </c>
      <c r="B48" s="10" t="s">
        <v>213</v>
      </c>
      <c r="C48" s="10" t="s">
        <v>196</v>
      </c>
    </row>
    <row r="49" spans="1:3" x14ac:dyDescent="0.25">
      <c r="A49" s="11" t="s">
        <v>155</v>
      </c>
      <c r="B49" s="10" t="s">
        <v>252</v>
      </c>
      <c r="C49" s="10" t="s">
        <v>197</v>
      </c>
    </row>
    <row r="50" spans="1:3" x14ac:dyDescent="0.25">
      <c r="A50" s="10" t="s">
        <v>378</v>
      </c>
      <c r="B50" s="10" t="s">
        <v>214</v>
      </c>
      <c r="C50" s="10" t="s">
        <v>198</v>
      </c>
    </row>
    <row r="51" spans="1:3" x14ac:dyDescent="0.25">
      <c r="A51" s="10" t="s">
        <v>156</v>
      </c>
      <c r="B51" s="10" t="s">
        <v>224</v>
      </c>
      <c r="C51" s="10" t="s">
        <v>199</v>
      </c>
    </row>
    <row r="52" spans="1:3" x14ac:dyDescent="0.25">
      <c r="A52" s="11" t="s">
        <v>158</v>
      </c>
      <c r="B52" s="10" t="s">
        <v>215</v>
      </c>
      <c r="C52" s="10" t="s">
        <v>200</v>
      </c>
    </row>
    <row r="53" spans="1:3" x14ac:dyDescent="0.25">
      <c r="A53" s="11" t="s">
        <v>157</v>
      </c>
      <c r="B53" s="10"/>
      <c r="C53" s="11" t="s">
        <v>201</v>
      </c>
    </row>
    <row r="54" spans="1:3" x14ac:dyDescent="0.25">
      <c r="A54" s="11" t="s">
        <v>302</v>
      </c>
      <c r="B54" s="10" t="s">
        <v>243</v>
      </c>
      <c r="C54" s="11" t="s">
        <v>231</v>
      </c>
    </row>
    <row r="55" spans="1:3" x14ac:dyDescent="0.25">
      <c r="A55" s="10" t="s">
        <v>232</v>
      </c>
      <c r="C55" s="10" t="s">
        <v>233</v>
      </c>
    </row>
    <row r="56" spans="1:3" x14ac:dyDescent="0.25">
      <c r="A56" t="s">
        <v>237</v>
      </c>
      <c r="B56" t="s">
        <v>242</v>
      </c>
      <c r="C56" t="s">
        <v>235</v>
      </c>
    </row>
    <row r="57" spans="1:3" x14ac:dyDescent="0.25">
      <c r="A57" t="s">
        <v>236</v>
      </c>
      <c r="B57" t="s">
        <v>241</v>
      </c>
      <c r="C57" t="s">
        <v>234</v>
      </c>
    </row>
    <row r="58" spans="1:3" x14ac:dyDescent="0.25">
      <c r="A58" t="s">
        <v>238</v>
      </c>
      <c r="B58" t="s">
        <v>240</v>
      </c>
      <c r="C58" t="s">
        <v>239</v>
      </c>
    </row>
    <row r="59" spans="1:3" x14ac:dyDescent="0.25">
      <c r="A59" t="s">
        <v>244</v>
      </c>
      <c r="B59" t="s">
        <v>246</v>
      </c>
      <c r="C59" t="s">
        <v>245</v>
      </c>
    </row>
    <row r="60" spans="1:3" x14ac:dyDescent="0.25">
      <c r="A60" t="s">
        <v>283</v>
      </c>
      <c r="B60" t="s">
        <v>285</v>
      </c>
      <c r="C60" t="s">
        <v>284</v>
      </c>
    </row>
    <row r="61" spans="1:3" x14ac:dyDescent="0.25">
      <c r="A61" t="s">
        <v>247</v>
      </c>
      <c r="B61" t="s">
        <v>248</v>
      </c>
      <c r="C61" t="s">
        <v>249</v>
      </c>
    </row>
    <row r="62" spans="1:3" x14ac:dyDescent="0.25">
      <c r="A62" t="s">
        <v>253</v>
      </c>
      <c r="B62" t="s">
        <v>251</v>
      </c>
      <c r="C62" t="s">
        <v>250</v>
      </c>
    </row>
    <row r="63" spans="1:3" x14ac:dyDescent="0.25">
      <c r="A63" t="s">
        <v>254</v>
      </c>
      <c r="B63" t="s">
        <v>256</v>
      </c>
      <c r="C63" t="s">
        <v>255</v>
      </c>
    </row>
    <row r="64" spans="1:3" x14ac:dyDescent="0.25">
      <c r="A64" t="s">
        <v>257</v>
      </c>
      <c r="B64" t="s">
        <v>258</v>
      </c>
      <c r="C64" t="s">
        <v>265</v>
      </c>
    </row>
    <row r="65" spans="1:3" x14ac:dyDescent="0.25">
      <c r="A65" t="s">
        <v>272</v>
      </c>
      <c r="B65" t="s">
        <v>264</v>
      </c>
      <c r="C65" t="s">
        <v>261</v>
      </c>
    </row>
    <row r="66" spans="1:3" x14ac:dyDescent="0.25">
      <c r="A66" t="s">
        <v>274</v>
      </c>
      <c r="B66" t="s">
        <v>263</v>
      </c>
      <c r="C66" t="s">
        <v>262</v>
      </c>
    </row>
    <row r="67" spans="1:3" x14ac:dyDescent="0.25">
      <c r="A67" t="s">
        <v>266</v>
      </c>
      <c r="B67" t="s">
        <v>267</v>
      </c>
      <c r="C67" t="s">
        <v>195</v>
      </c>
    </row>
    <row r="68" spans="1:3" x14ac:dyDescent="0.25">
      <c r="A68" t="s">
        <v>275</v>
      </c>
      <c r="B68" t="s">
        <v>277</v>
      </c>
      <c r="C68" t="s">
        <v>276</v>
      </c>
    </row>
    <row r="69" spans="1:3" x14ac:dyDescent="0.25">
      <c r="A69" t="s">
        <v>380</v>
      </c>
      <c r="C69" t="s">
        <v>381</v>
      </c>
    </row>
    <row r="70" spans="1:3" x14ac:dyDescent="0.25">
      <c r="A70" t="s">
        <v>282</v>
      </c>
      <c r="C70" t="s">
        <v>281</v>
      </c>
    </row>
    <row r="71" spans="1:3" x14ac:dyDescent="0.25">
      <c r="A71" t="s">
        <v>286</v>
      </c>
      <c r="C71" t="s">
        <v>287</v>
      </c>
    </row>
    <row r="72" spans="1:3" x14ac:dyDescent="0.25">
      <c r="A72" t="s">
        <v>288</v>
      </c>
      <c r="C72" t="s">
        <v>289</v>
      </c>
    </row>
    <row r="73" spans="1:3" x14ac:dyDescent="0.25">
      <c r="A73" t="s">
        <v>290</v>
      </c>
      <c r="C73" t="s">
        <v>291</v>
      </c>
    </row>
    <row r="74" spans="1:3" x14ac:dyDescent="0.25">
      <c r="A74" t="s">
        <v>292</v>
      </c>
      <c r="B74" t="s">
        <v>293</v>
      </c>
      <c r="C74" t="s">
        <v>294</v>
      </c>
    </row>
    <row r="75" spans="1:3" x14ac:dyDescent="0.25">
      <c r="A75" t="s">
        <v>296</v>
      </c>
      <c r="C75" t="s">
        <v>297</v>
      </c>
    </row>
    <row r="76" spans="1:3" x14ac:dyDescent="0.25">
      <c r="A76" t="s">
        <v>298</v>
      </c>
      <c r="C76" t="s">
        <v>299</v>
      </c>
    </row>
    <row r="77" spans="1:3" x14ac:dyDescent="0.25">
      <c r="A77" t="s">
        <v>300</v>
      </c>
      <c r="C77" t="s">
        <v>301</v>
      </c>
    </row>
    <row r="78" spans="1:3" x14ac:dyDescent="0.25">
      <c r="A78" t="s">
        <v>303</v>
      </c>
      <c r="C78" t="s">
        <v>304</v>
      </c>
    </row>
    <row r="79" spans="1:3" x14ac:dyDescent="0.25">
      <c r="A79" t="s">
        <v>315</v>
      </c>
      <c r="C79" t="s">
        <v>316</v>
      </c>
    </row>
    <row r="80" spans="1:3" x14ac:dyDescent="0.25">
      <c r="A80" t="s">
        <v>317</v>
      </c>
      <c r="C80" t="s">
        <v>318</v>
      </c>
    </row>
    <row r="81" spans="1:3" x14ac:dyDescent="0.25">
      <c r="A81" t="s">
        <v>319</v>
      </c>
      <c r="C81" t="s">
        <v>320</v>
      </c>
    </row>
    <row r="82" spans="1:3" x14ac:dyDescent="0.25">
      <c r="A82" t="s">
        <v>321</v>
      </c>
      <c r="C82" t="s">
        <v>322</v>
      </c>
    </row>
    <row r="83" spans="1:3" x14ac:dyDescent="0.25">
      <c r="A83" t="s">
        <v>323</v>
      </c>
      <c r="C83" t="s">
        <v>324</v>
      </c>
    </row>
    <row r="84" spans="1:3" x14ac:dyDescent="0.25">
      <c r="A84" t="s">
        <v>375</v>
      </c>
      <c r="B84" t="s">
        <v>376</v>
      </c>
      <c r="C84" t="s">
        <v>377</v>
      </c>
    </row>
  </sheetData>
  <autoFilter ref="A1:C1" xr:uid="{97A6454B-E5F0-4C42-86FE-7040C10DF469}"/>
  <phoneticPr fontId="1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4E22-1DF0-4982-9BE3-8B3CB72803B5}">
  <dimension ref="A1:C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5" x14ac:dyDescent="0.25"/>
  <cols>
    <col min="1" max="1" width="43" bestFit="1" customWidth="1"/>
  </cols>
  <sheetData>
    <row r="1" spans="1:3" x14ac:dyDescent="0.25">
      <c r="A1" s="13" t="s">
        <v>0</v>
      </c>
      <c r="B1" s="13"/>
      <c r="C1" s="13" t="s">
        <v>123</v>
      </c>
    </row>
    <row r="2" spans="1:3" x14ac:dyDescent="0.25">
      <c r="A2" t="s">
        <v>225</v>
      </c>
      <c r="C2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451D-DD7C-4DD2-A964-E6A9F329274D}">
  <dimension ref="A1:C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1" max="1" width="43" bestFit="1" customWidth="1"/>
  </cols>
  <sheetData>
    <row r="1" spans="1:3" x14ac:dyDescent="0.25">
      <c r="A1" s="13" t="s">
        <v>0</v>
      </c>
      <c r="B1" s="13"/>
      <c r="C1" s="13" t="s">
        <v>123</v>
      </c>
    </row>
    <row r="2" spans="1:3" x14ac:dyDescent="0.25">
      <c r="A2" t="s">
        <v>226</v>
      </c>
      <c r="C2" t="s">
        <v>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AD3E0-4CF6-46AF-9168-13FF26358533}">
  <dimension ref="A1:C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1" max="1" width="43" bestFit="1" customWidth="1"/>
  </cols>
  <sheetData>
    <row r="1" spans="1:3" x14ac:dyDescent="0.25">
      <c r="A1" s="13" t="s">
        <v>0</v>
      </c>
      <c r="B1" s="13"/>
      <c r="C1" s="13" t="s">
        <v>123</v>
      </c>
    </row>
    <row r="2" spans="1:3" x14ac:dyDescent="0.25">
      <c r="A2" t="s">
        <v>230</v>
      </c>
      <c r="C2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1E67-C8C3-4DED-A0FC-FC90552570AD}">
  <dimension ref="A1:A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defaultRowHeight="15" x14ac:dyDescent="0.25"/>
  <sheetData>
    <row r="1" spans="1:1" x14ac:dyDescent="0.25">
      <c r="A1" s="15" t="s">
        <v>345</v>
      </c>
    </row>
    <row r="2" spans="1:1" x14ac:dyDescent="0.25">
      <c r="A2" s="14" t="s">
        <v>329</v>
      </c>
    </row>
    <row r="3" spans="1:1" x14ac:dyDescent="0.25">
      <c r="A3" s="14" t="s">
        <v>330</v>
      </c>
    </row>
    <row r="4" spans="1:1" x14ac:dyDescent="0.25">
      <c r="A4" s="14" t="s">
        <v>331</v>
      </c>
    </row>
    <row r="5" spans="1:1" x14ac:dyDescent="0.25">
      <c r="A5" s="14" t="s">
        <v>332</v>
      </c>
    </row>
    <row r="6" spans="1:1" x14ac:dyDescent="0.25">
      <c r="A6" s="14" t="s">
        <v>333</v>
      </c>
    </row>
    <row r="7" spans="1:1" x14ac:dyDescent="0.25">
      <c r="A7" s="14" t="s">
        <v>334</v>
      </c>
    </row>
    <row r="8" spans="1:1" x14ac:dyDescent="0.25">
      <c r="A8" s="14" t="s">
        <v>335</v>
      </c>
    </row>
    <row r="9" spans="1:1" x14ac:dyDescent="0.25">
      <c r="A9" s="14" t="s">
        <v>336</v>
      </c>
    </row>
    <row r="10" spans="1:1" x14ac:dyDescent="0.25">
      <c r="A10" s="14" t="s">
        <v>337</v>
      </c>
    </row>
    <row r="11" spans="1:1" x14ac:dyDescent="0.25">
      <c r="A11" s="14" t="s">
        <v>338</v>
      </c>
    </row>
    <row r="12" spans="1:1" x14ac:dyDescent="0.25">
      <c r="A12" s="14" t="s">
        <v>339</v>
      </c>
    </row>
    <row r="13" spans="1:1" x14ac:dyDescent="0.25">
      <c r="A13" s="14" t="s">
        <v>340</v>
      </c>
    </row>
    <row r="14" spans="1:1" x14ac:dyDescent="0.25">
      <c r="A14" s="14" t="s">
        <v>341</v>
      </c>
    </row>
    <row r="15" spans="1:1" x14ac:dyDescent="0.25">
      <c r="A15" s="14" t="s">
        <v>342</v>
      </c>
    </row>
    <row r="16" spans="1:1" x14ac:dyDescent="0.25">
      <c r="A16" s="14" t="s">
        <v>343</v>
      </c>
    </row>
    <row r="17" spans="1:1" x14ac:dyDescent="0.25">
      <c r="A17" s="14" t="s">
        <v>344</v>
      </c>
    </row>
    <row r="18" spans="1:1" x14ac:dyDescent="0.25">
      <c r="A18" s="14" t="s">
        <v>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E35C-CAB8-488C-A269-1CF6F80F9D7B}">
  <dimension ref="A1:E44"/>
  <sheetViews>
    <sheetView workbookViewId="0">
      <selection activeCell="J2" sqref="J2"/>
    </sheetView>
  </sheetViews>
  <sheetFormatPr defaultRowHeight="15" x14ac:dyDescent="0.25"/>
  <cols>
    <col min="1" max="1" width="10.140625" style="18" bestFit="1" customWidth="1"/>
    <col min="2" max="2" width="24" bestFit="1" customWidth="1"/>
    <col min="4" max="4" width="10.140625" bestFit="1" customWidth="1"/>
  </cols>
  <sheetData>
    <row r="1" spans="1:5" x14ac:dyDescent="0.25">
      <c r="A1" s="18" t="s">
        <v>373</v>
      </c>
      <c r="D1" t="s">
        <v>374</v>
      </c>
    </row>
    <row r="2" spans="1:5" x14ac:dyDescent="0.25">
      <c r="A2" s="16">
        <v>44181</v>
      </c>
      <c r="B2" t="s">
        <v>347</v>
      </c>
      <c r="D2" s="16">
        <v>44562</v>
      </c>
      <c r="E2" s="10" t="s">
        <v>348</v>
      </c>
    </row>
    <row r="3" spans="1:5" x14ac:dyDescent="0.25">
      <c r="A3" s="16">
        <v>44190</v>
      </c>
      <c r="B3" t="s">
        <v>349</v>
      </c>
      <c r="D3" s="16">
        <v>44641</v>
      </c>
      <c r="E3" s="10" t="s">
        <v>350</v>
      </c>
    </row>
    <row r="4" spans="1:5" x14ac:dyDescent="0.25">
      <c r="A4" s="16">
        <v>44191</v>
      </c>
      <c r="B4" t="s">
        <v>351</v>
      </c>
      <c r="D4" s="16">
        <v>44666</v>
      </c>
      <c r="E4" s="10" t="s">
        <v>352</v>
      </c>
    </row>
    <row r="5" spans="1:5" x14ac:dyDescent="0.25">
      <c r="A5" s="16">
        <v>44197</v>
      </c>
      <c r="B5" t="s">
        <v>348</v>
      </c>
      <c r="D5" s="16">
        <v>44669</v>
      </c>
      <c r="E5" s="17" t="s">
        <v>353</v>
      </c>
    </row>
    <row r="6" spans="1:5" x14ac:dyDescent="0.25">
      <c r="A6" s="16">
        <v>44277</v>
      </c>
      <c r="B6" t="s">
        <v>354</v>
      </c>
      <c r="D6" s="16">
        <v>44683</v>
      </c>
      <c r="E6" s="10" t="s">
        <v>355</v>
      </c>
    </row>
    <row r="7" spans="1:5" x14ac:dyDescent="0.25">
      <c r="A7" s="16">
        <v>44288</v>
      </c>
      <c r="B7" t="s">
        <v>352</v>
      </c>
      <c r="D7" s="16">
        <v>44685</v>
      </c>
      <c r="E7" s="10" t="s">
        <v>356</v>
      </c>
    </row>
    <row r="8" spans="1:5" x14ac:dyDescent="0.25">
      <c r="A8" s="16">
        <v>44291</v>
      </c>
      <c r="B8" t="s">
        <v>357</v>
      </c>
      <c r="D8" s="16">
        <v>44707</v>
      </c>
      <c r="E8" s="10" t="s">
        <v>358</v>
      </c>
    </row>
    <row r="9" spans="1:5" x14ac:dyDescent="0.25">
      <c r="A9" s="16">
        <v>44313</v>
      </c>
      <c r="B9" t="s">
        <v>359</v>
      </c>
      <c r="D9" s="16">
        <v>44799</v>
      </c>
      <c r="E9" s="10" t="s">
        <v>360</v>
      </c>
    </row>
    <row r="10" spans="1:5" x14ac:dyDescent="0.25">
      <c r="A10" s="16">
        <v>44317</v>
      </c>
      <c r="B10" t="s">
        <v>361</v>
      </c>
      <c r="D10" s="16">
        <v>44905</v>
      </c>
      <c r="E10" s="10" t="s">
        <v>354</v>
      </c>
    </row>
    <row r="11" spans="1:5" x14ac:dyDescent="0.25">
      <c r="A11" s="16">
        <v>44363</v>
      </c>
      <c r="B11" t="s">
        <v>362</v>
      </c>
      <c r="D11" s="16">
        <v>44905</v>
      </c>
      <c r="E11" s="10" t="s">
        <v>363</v>
      </c>
    </row>
    <row r="12" spans="1:5" x14ac:dyDescent="0.25">
      <c r="A12" s="16">
        <v>44417</v>
      </c>
      <c r="B12" t="s">
        <v>364</v>
      </c>
      <c r="D12" s="16">
        <v>44920</v>
      </c>
      <c r="E12" s="10" t="s">
        <v>349</v>
      </c>
    </row>
    <row r="13" spans="1:5" x14ac:dyDescent="0.25">
      <c r="A13" s="16">
        <v>44463</v>
      </c>
      <c r="B13" t="s">
        <v>365</v>
      </c>
      <c r="D13" s="16">
        <v>44921</v>
      </c>
      <c r="E13" s="10" t="s">
        <v>357</v>
      </c>
    </row>
    <row r="14" spans="1:5" x14ac:dyDescent="0.25">
      <c r="A14" s="16">
        <v>44501</v>
      </c>
      <c r="B14" t="s">
        <v>366</v>
      </c>
      <c r="D14" s="16">
        <v>44927</v>
      </c>
      <c r="E14" s="10" t="s">
        <v>348</v>
      </c>
    </row>
    <row r="15" spans="1:5" x14ac:dyDescent="0.25">
      <c r="A15" s="16">
        <v>44546</v>
      </c>
      <c r="B15" t="s">
        <v>347</v>
      </c>
      <c r="D15" s="16">
        <v>44928</v>
      </c>
      <c r="E15" s="10" t="s">
        <v>348</v>
      </c>
    </row>
    <row r="16" spans="1:5" x14ac:dyDescent="0.25">
      <c r="A16" s="16">
        <v>44555</v>
      </c>
      <c r="B16" t="s">
        <v>349</v>
      </c>
      <c r="D16" s="16">
        <v>45006</v>
      </c>
      <c r="E16" s="10" t="s">
        <v>350</v>
      </c>
    </row>
    <row r="17" spans="1:5" x14ac:dyDescent="0.25">
      <c r="A17" s="16">
        <v>44557</v>
      </c>
      <c r="B17" t="s">
        <v>351</v>
      </c>
      <c r="D17" s="16">
        <v>45031</v>
      </c>
      <c r="E17" s="10" t="s">
        <v>352</v>
      </c>
    </row>
    <row r="18" spans="1:5" x14ac:dyDescent="0.25">
      <c r="A18" s="16">
        <v>44562</v>
      </c>
      <c r="B18" t="s">
        <v>348</v>
      </c>
      <c r="D18" s="16">
        <v>45034</v>
      </c>
      <c r="E18" s="17" t="s">
        <v>353</v>
      </c>
    </row>
    <row r="19" spans="1:5" x14ac:dyDescent="0.25">
      <c r="A19" s="16">
        <v>44641</v>
      </c>
      <c r="B19" t="s">
        <v>354</v>
      </c>
      <c r="D19" s="16">
        <v>45048</v>
      </c>
      <c r="E19" s="10" t="s">
        <v>355</v>
      </c>
    </row>
    <row r="20" spans="1:5" x14ac:dyDescent="0.25">
      <c r="A20" s="16">
        <v>44666</v>
      </c>
      <c r="B20" t="s">
        <v>352</v>
      </c>
      <c r="D20" s="16">
        <v>45050</v>
      </c>
      <c r="E20" s="10" t="s">
        <v>356</v>
      </c>
    </row>
    <row r="21" spans="1:5" x14ac:dyDescent="0.25">
      <c r="A21" s="16">
        <v>44669</v>
      </c>
      <c r="B21" t="s">
        <v>357</v>
      </c>
      <c r="D21" s="16">
        <v>45072</v>
      </c>
      <c r="E21" s="10" t="s">
        <v>358</v>
      </c>
    </row>
    <row r="22" spans="1:5" x14ac:dyDescent="0.25">
      <c r="A22" s="16">
        <v>44678</v>
      </c>
      <c r="B22" t="s">
        <v>359</v>
      </c>
      <c r="D22" s="16">
        <v>45164</v>
      </c>
      <c r="E22" s="10" t="s">
        <v>360</v>
      </c>
    </row>
    <row r="23" spans="1:5" x14ac:dyDescent="0.25">
      <c r="A23" s="16">
        <v>44682</v>
      </c>
      <c r="B23" t="s">
        <v>367</v>
      </c>
      <c r="D23" s="16">
        <v>45270</v>
      </c>
      <c r="E23" s="10" t="s">
        <v>354</v>
      </c>
    </row>
    <row r="24" spans="1:5" x14ac:dyDescent="0.25">
      <c r="A24" s="16">
        <v>44683</v>
      </c>
      <c r="B24" t="s">
        <v>368</v>
      </c>
      <c r="D24" s="16">
        <v>45270</v>
      </c>
      <c r="E24" s="10" t="s">
        <v>363</v>
      </c>
    </row>
    <row r="25" spans="1:5" x14ac:dyDescent="0.25">
      <c r="A25" s="16">
        <v>44728</v>
      </c>
      <c r="B25" t="s">
        <v>369</v>
      </c>
      <c r="D25" s="16">
        <v>45271</v>
      </c>
      <c r="E25" s="10" t="s">
        <v>354</v>
      </c>
    </row>
    <row r="26" spans="1:5" x14ac:dyDescent="0.25">
      <c r="A26" s="16">
        <v>44782</v>
      </c>
      <c r="B26" t="s">
        <v>364</v>
      </c>
      <c r="D26" s="16">
        <v>45271</v>
      </c>
      <c r="E26" s="10" t="s">
        <v>363</v>
      </c>
    </row>
    <row r="27" spans="1:5" x14ac:dyDescent="0.25">
      <c r="A27" s="16">
        <v>44828</v>
      </c>
      <c r="B27" t="s">
        <v>365</v>
      </c>
      <c r="D27" s="16">
        <v>45285</v>
      </c>
      <c r="E27" s="10" t="s">
        <v>349</v>
      </c>
    </row>
    <row r="28" spans="1:5" x14ac:dyDescent="0.25">
      <c r="A28" s="16">
        <v>44911</v>
      </c>
      <c r="B28" t="s">
        <v>347</v>
      </c>
    </row>
    <row r="29" spans="1:5" x14ac:dyDescent="0.25">
      <c r="A29" s="16">
        <v>44920</v>
      </c>
      <c r="B29" t="s">
        <v>349</v>
      </c>
    </row>
    <row r="30" spans="1:5" x14ac:dyDescent="0.25">
      <c r="A30" s="16">
        <v>44921</v>
      </c>
      <c r="B30" t="s">
        <v>370</v>
      </c>
    </row>
    <row r="31" spans="1:5" x14ac:dyDescent="0.25">
      <c r="A31" s="16">
        <v>44927</v>
      </c>
      <c r="B31" t="s">
        <v>348</v>
      </c>
    </row>
    <row r="32" spans="1:5" x14ac:dyDescent="0.25">
      <c r="A32" s="16">
        <v>44928</v>
      </c>
      <c r="B32" t="s">
        <v>371</v>
      </c>
    </row>
    <row r="33" spans="1:2" x14ac:dyDescent="0.25">
      <c r="A33" s="16">
        <v>45006</v>
      </c>
      <c r="B33" t="s">
        <v>354</v>
      </c>
    </row>
    <row r="34" spans="1:2" x14ac:dyDescent="0.25">
      <c r="A34" s="16">
        <v>45023</v>
      </c>
      <c r="B34" t="s">
        <v>352</v>
      </c>
    </row>
    <row r="35" spans="1:2" x14ac:dyDescent="0.25">
      <c r="A35" s="16">
        <v>45026</v>
      </c>
      <c r="B35" t="s">
        <v>357</v>
      </c>
    </row>
    <row r="36" spans="1:2" x14ac:dyDescent="0.25">
      <c r="A36" s="16">
        <v>45043</v>
      </c>
      <c r="B36" t="s">
        <v>359</v>
      </c>
    </row>
    <row r="37" spans="1:2" x14ac:dyDescent="0.25">
      <c r="A37" s="16">
        <v>45047</v>
      </c>
      <c r="B37" t="s">
        <v>367</v>
      </c>
    </row>
    <row r="38" spans="1:2" x14ac:dyDescent="0.25">
      <c r="A38" s="16">
        <v>45093</v>
      </c>
      <c r="B38" t="s">
        <v>369</v>
      </c>
    </row>
    <row r="39" spans="1:2" x14ac:dyDescent="0.25">
      <c r="A39" s="16">
        <v>45147</v>
      </c>
      <c r="B39" t="s">
        <v>364</v>
      </c>
    </row>
    <row r="40" spans="1:2" x14ac:dyDescent="0.25">
      <c r="A40" s="16">
        <v>45193</v>
      </c>
      <c r="B40" t="s">
        <v>365</v>
      </c>
    </row>
    <row r="41" spans="1:2" x14ac:dyDescent="0.25">
      <c r="A41" s="16">
        <v>45194</v>
      </c>
      <c r="B41" t="s">
        <v>372</v>
      </c>
    </row>
    <row r="42" spans="1:2" x14ac:dyDescent="0.25">
      <c r="A42" s="16">
        <v>45276</v>
      </c>
      <c r="B42" t="s">
        <v>347</v>
      </c>
    </row>
    <row r="43" spans="1:2" x14ac:dyDescent="0.25">
      <c r="A43" s="16">
        <v>45285</v>
      </c>
      <c r="B43" t="s">
        <v>349</v>
      </c>
    </row>
    <row r="44" spans="1:2" x14ac:dyDescent="0.25">
      <c r="A44" s="16">
        <v>45286</v>
      </c>
      <c r="B44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dates</vt:lpstr>
      <vt:lpstr>issuers</vt:lpstr>
      <vt:lpstr>cln</vt:lpstr>
      <vt:lpstr>frn</vt:lpstr>
      <vt:lpstr>ilb</vt:lpstr>
      <vt:lpstr>accr</vt:lpstr>
      <vt:lpstr>hols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Hilton Netta</dc:creator>
  <cp:lastModifiedBy>Hilton Netta</cp:lastModifiedBy>
  <dcterms:created xsi:type="dcterms:W3CDTF">2022-06-24T12:11:26Z</dcterms:created>
  <dcterms:modified xsi:type="dcterms:W3CDTF">2022-12-12T15:56:41Z</dcterms:modified>
</cp:coreProperties>
</file>